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D:\Mini Pro - 02.03\"/>
    </mc:Choice>
  </mc:AlternateContent>
  <xr:revisionPtr revIDLastSave="0" documentId="13_ncr:1_{02B306B8-60C2-4EBC-9084-B0D059ECBBB9}" xr6:coauthVersionLast="47" xr6:coauthVersionMax="47" xr10:uidLastSave="{00000000-0000-0000-0000-000000000000}"/>
  <bookViews>
    <workbookView xWindow="-108" yWindow="-108" windowWidth="23256" windowHeight="12456" activeTab="2" xr2:uid="{A34972D3-D5D9-4FFF-B362-EFD3360A5E82}"/>
  </bookViews>
  <sheets>
    <sheet name="Mini Project_Solar Ref Acc.," sheetId="2" r:id="rId1"/>
    <sheet name="Average Solar Resource by State" sheetId="4" r:id="rId2"/>
    <sheet name="Avg Total Energy cost by State" sheetId="6" r:id="rId3"/>
    <sheet name="Total Installed Cap by State" sheetId="7" r:id="rId4"/>
    <sheet name="Dis to Grid Vs Avg Total Costl" sheetId="8" r:id="rId5"/>
    <sheet name="Top 10 Lowest Cost Sites" sheetId="9" r:id="rId6"/>
    <sheet name="Cost Impact Analysis" sheetId="10" r:id="rId7"/>
    <sheet name="Pivot Chart" sheetId="5" r:id="rId8"/>
    <sheet name="Power BI Dashboard &amp; Measure" sheetId="11" r:id="rId9"/>
    <sheet name="Analysis Summary" sheetId="12" r:id="rId10"/>
  </sheets>
  <definedNames>
    <definedName name="_xlchart.v1.0" hidden="1">'Cost Impact Analysis'!$B$5:$B$9</definedName>
    <definedName name="_xlchart.v1.1" hidden="1">'Cost Impact Analysis'!$C$3:$C$4</definedName>
    <definedName name="_xlchart.v1.2" hidden="1">'Cost Impact Analysis'!$C$5:$C$9</definedName>
    <definedName name="_xlchart.v1.3" hidden="1">'Top 10 Lowest Cost Sites'!$B$6:$B$16</definedName>
    <definedName name="_xlchart.v1.4" hidden="1">'Top 10 Lowest Cost Sites'!$C$4:$C$5</definedName>
    <definedName name="_xlchart.v1.5" hidden="1">'Top 10 Lowest Cost Sites'!$C$6:$C$16</definedName>
  </definedNames>
  <calcPr calcId="191029"/>
  <pivotCaches>
    <pivotCache cacheId="0" r:id="rId11"/>
    <pivotCache cacheId="1" r:id="rId1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835" i="2" l="1"/>
  <c r="P835" i="2"/>
  <c r="Y835" i="2"/>
  <c r="K836" i="2"/>
  <c r="P836" i="2"/>
  <c r="Y836" i="2"/>
  <c r="K837" i="2"/>
  <c r="P837" i="2"/>
  <c r="Y837" i="2"/>
  <c r="K838" i="2"/>
  <c r="P838" i="2"/>
  <c r="Y838" i="2"/>
  <c r="K839" i="2"/>
  <c r="P839" i="2"/>
  <c r="Y839" i="2"/>
  <c r="K840" i="2"/>
  <c r="P840" i="2"/>
  <c r="Y840" i="2"/>
  <c r="K841" i="2"/>
  <c r="P841" i="2"/>
  <c r="Y841" i="2"/>
  <c r="K842" i="2"/>
  <c r="P842" i="2"/>
  <c r="Y842" i="2"/>
  <c r="K843" i="2"/>
  <c r="P843" i="2"/>
  <c r="Y843" i="2"/>
  <c r="K844" i="2"/>
  <c r="P844" i="2"/>
  <c r="Y844" i="2"/>
  <c r="K845" i="2"/>
  <c r="P845" i="2"/>
  <c r="Y845" i="2"/>
  <c r="K846" i="2"/>
  <c r="P846" i="2"/>
  <c r="Y846" i="2"/>
  <c r="K847" i="2"/>
  <c r="P847" i="2"/>
  <c r="Y847" i="2"/>
  <c r="K848" i="2"/>
  <c r="P848" i="2"/>
  <c r="Y848" i="2"/>
  <c r="K849" i="2"/>
  <c r="P849" i="2"/>
  <c r="Y849" i="2"/>
  <c r="K850" i="2"/>
  <c r="P850" i="2"/>
  <c r="Y850" i="2"/>
  <c r="K851" i="2"/>
  <c r="P851" i="2"/>
  <c r="Y851" i="2"/>
  <c r="K852" i="2"/>
  <c r="P852" i="2"/>
  <c r="Y852" i="2"/>
  <c r="K853" i="2"/>
  <c r="P853" i="2"/>
  <c r="Y853" i="2"/>
  <c r="K854" i="2"/>
  <c r="P854" i="2"/>
  <c r="Y854" i="2"/>
  <c r="K855" i="2"/>
  <c r="P855" i="2"/>
  <c r="Y855" i="2"/>
  <c r="K856" i="2"/>
  <c r="P856" i="2"/>
  <c r="Y856" i="2"/>
  <c r="K857" i="2"/>
  <c r="P857" i="2"/>
  <c r="Y857" i="2"/>
  <c r="K858" i="2"/>
  <c r="P858" i="2"/>
  <c r="Y858" i="2"/>
  <c r="K859" i="2"/>
  <c r="P859" i="2"/>
  <c r="Y859" i="2"/>
  <c r="K860" i="2"/>
  <c r="P860" i="2"/>
  <c r="Y860" i="2"/>
  <c r="K861" i="2"/>
  <c r="P861" i="2"/>
  <c r="Y861" i="2"/>
  <c r="K822" i="2"/>
  <c r="P822" i="2"/>
  <c r="Y822" i="2"/>
  <c r="K823" i="2"/>
  <c r="P823" i="2"/>
  <c r="Y823" i="2"/>
  <c r="K824" i="2"/>
  <c r="P824" i="2"/>
  <c r="Y824" i="2"/>
  <c r="K825" i="2"/>
  <c r="P825" i="2"/>
  <c r="Y825" i="2"/>
  <c r="K826" i="2"/>
  <c r="P826" i="2"/>
  <c r="Y826" i="2"/>
  <c r="K827" i="2"/>
  <c r="P827" i="2"/>
  <c r="Y827" i="2"/>
  <c r="K828" i="2"/>
  <c r="P828" i="2"/>
  <c r="Y828" i="2"/>
  <c r="K829" i="2"/>
  <c r="P829" i="2"/>
  <c r="Y829" i="2"/>
  <c r="K830" i="2"/>
  <c r="P830" i="2"/>
  <c r="Y830" i="2"/>
  <c r="K831" i="2"/>
  <c r="P831" i="2"/>
  <c r="Y831" i="2"/>
  <c r="K832" i="2"/>
  <c r="P832" i="2"/>
  <c r="Y832" i="2"/>
  <c r="K833" i="2"/>
  <c r="P833" i="2"/>
  <c r="Y833" i="2"/>
  <c r="K834" i="2"/>
  <c r="P834" i="2"/>
  <c r="Y834"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Y2"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3" i="2"/>
</calcChain>
</file>

<file path=xl/sharedStrings.xml><?xml version="1.0" encoding="utf-8"?>
<sst xmlns="http://schemas.openxmlformats.org/spreadsheetml/2006/main" count="2690" uniqueCount="112">
  <si>
    <t>State</t>
  </si>
  <si>
    <t>Idaho</t>
  </si>
  <si>
    <t>Maine</t>
  </si>
  <si>
    <t>Montana</t>
  </si>
  <si>
    <t>Washington</t>
  </si>
  <si>
    <t>Grand Total</t>
  </si>
  <si>
    <t>County</t>
  </si>
  <si>
    <t>Aroostook</t>
  </si>
  <si>
    <t>Blaine</t>
  </si>
  <si>
    <t>Bonner</t>
  </si>
  <si>
    <t>Boundary</t>
  </si>
  <si>
    <t>Chelan</t>
  </si>
  <si>
    <t>Clallam</t>
  </si>
  <si>
    <t>Douglas</t>
  </si>
  <si>
    <t>Ferry</t>
  </si>
  <si>
    <t>Flathead</t>
  </si>
  <si>
    <t>Glacier</t>
  </si>
  <si>
    <t>Grant</t>
  </si>
  <si>
    <t>Grays Harbor</t>
  </si>
  <si>
    <t>Hill</t>
  </si>
  <si>
    <t>Island</t>
  </si>
  <si>
    <t>Jefferson</t>
  </si>
  <si>
    <t>King</t>
  </si>
  <si>
    <t>Kitsap</t>
  </si>
  <si>
    <t>Kittitas</t>
  </si>
  <si>
    <t>Kootenai</t>
  </si>
  <si>
    <t>Liberty</t>
  </si>
  <si>
    <t>Lincoln</t>
  </si>
  <si>
    <t>Mason</t>
  </si>
  <si>
    <t>Okanogan</t>
  </si>
  <si>
    <t>Pend Oreille</t>
  </si>
  <si>
    <t>Phillips</t>
  </si>
  <si>
    <t>Pierce</t>
  </si>
  <si>
    <t>Sanders</t>
  </si>
  <si>
    <t>Skagit</t>
  </si>
  <si>
    <t>Snohomish</t>
  </si>
  <si>
    <t>Spokane</t>
  </si>
  <si>
    <t>Stevens</t>
  </si>
  <si>
    <t>Thurston</t>
  </si>
  <si>
    <t>Toole</t>
  </si>
  <si>
    <t>Whatcom</t>
  </si>
  <si>
    <t>S.No</t>
  </si>
  <si>
    <t>United States</t>
  </si>
  <si>
    <t>Site ID</t>
  </si>
  <si>
    <t>Latitude</t>
  </si>
  <si>
    <t>Longitude</t>
  </si>
  <si>
    <t>Country</t>
  </si>
  <si>
    <t>Time Zone</t>
  </si>
  <si>
    <t>Elevation (Mtrs)</t>
  </si>
  <si>
    <t>Generation Cost 
LCOE (USD/MWh)</t>
  </si>
  <si>
    <t>Grid Reinforcement 
Distance (Km)</t>
  </si>
  <si>
    <t>Grid Upgrade Cost 
(USD/MW)</t>
  </si>
  <si>
    <t>Total Transmission Cost 
(USD/MW)</t>
  </si>
  <si>
    <t>Transmission Cost
LCOT (USD/MWh)</t>
  </si>
  <si>
    <t>Total Energy Cost
(LCOE + LCOT)</t>
  </si>
  <si>
    <t>Developable Area 
(Sq.Km)</t>
  </si>
  <si>
    <t>Installed Capacity 
(AC -MW)</t>
  </si>
  <si>
    <t>Installed Capacity 
(DC -MW)</t>
  </si>
  <si>
    <t>Capacity Factor 
(AC %)</t>
  </si>
  <si>
    <t>Capacity Factor 
(DC %)</t>
  </si>
  <si>
    <t>Regional Capacity 
Multiplier</t>
  </si>
  <si>
    <t>Solar 
Resource</t>
  </si>
  <si>
    <t>Distance to 
Grid (Km)</t>
  </si>
  <si>
    <t>AC/ DC Ratio</t>
  </si>
  <si>
    <t>Resource Category</t>
  </si>
  <si>
    <t>Sum of Installed Capacity 
(AC -MW)</t>
  </si>
  <si>
    <t>Sum of Installed Capacity 
(DC -MW)</t>
  </si>
  <si>
    <t>(blank)</t>
  </si>
  <si>
    <t xml:space="preserve">Average of Solar </t>
  </si>
  <si>
    <t>Average Solar resource by state</t>
  </si>
  <si>
    <t>Average of Total Energy Cost</t>
  </si>
  <si>
    <t xml:space="preserve">Average Total Energy Cost by State </t>
  </si>
  <si>
    <t>Total Installed Capacity by State</t>
  </si>
  <si>
    <t>Row Labels</t>
  </si>
  <si>
    <t>Sum of Total Energy Cost</t>
  </si>
  <si>
    <t>Top 10 Lowest Cost Sites</t>
  </si>
  <si>
    <t>Distance to Grid (KM)</t>
  </si>
  <si>
    <t>Distance to Grid Vs Avg Total Cost</t>
  </si>
  <si>
    <t>Average of Transmission Cost</t>
  </si>
  <si>
    <t>Cost Impact Analysis</t>
  </si>
  <si>
    <t>Dashboard of Pivot Chart</t>
  </si>
  <si>
    <t>Dashboard - Power BI</t>
  </si>
  <si>
    <t>Insights &amp; Conclusions</t>
  </si>
  <si>
    <t>Analysis insights:</t>
  </si>
  <si>
    <t xml:space="preserve">Descriptive Analysis:- </t>
  </si>
  <si>
    <r>
      <t>·</t>
    </r>
    <r>
      <rPr>
        <sz val="7"/>
        <color theme="1"/>
        <rFont val="Times New Roman"/>
        <family val="1"/>
      </rPr>
      <t xml:space="preserve">     </t>
    </r>
    <r>
      <rPr>
        <sz val="12"/>
        <color theme="1"/>
        <rFont val="Arial"/>
        <family val="2"/>
      </rPr>
      <t>The average solar resource across the selected states is approximately 3.51 kWh/m²/day, indicating moderate solar irradiance levels.</t>
    </r>
  </si>
  <si>
    <r>
      <t>·</t>
    </r>
    <r>
      <rPr>
        <sz val="7"/>
        <color theme="1"/>
        <rFont val="Times New Roman"/>
        <family val="1"/>
      </rPr>
      <t xml:space="preserve">     </t>
    </r>
    <r>
      <rPr>
        <sz val="12"/>
        <color theme="1"/>
        <rFont val="Arial"/>
        <family val="2"/>
      </rPr>
      <t>Washington and Montana show significantly higher installed capacity (AC &amp; DC) compared to Idaho and Maine.</t>
    </r>
  </si>
  <si>
    <r>
      <t>·</t>
    </r>
    <r>
      <rPr>
        <sz val="7"/>
        <color theme="1"/>
        <rFont val="Times New Roman"/>
        <family val="1"/>
      </rPr>
      <t xml:space="preserve">     </t>
    </r>
    <r>
      <rPr>
        <sz val="12"/>
        <color theme="1"/>
        <rFont val="Arial"/>
        <family val="2"/>
      </rPr>
      <t>The overall average total energy cost is 94.58 USD/MWh, with noticeable variation between states.</t>
    </r>
  </si>
  <si>
    <r>
      <t>·</t>
    </r>
    <r>
      <rPr>
        <sz val="7"/>
        <color theme="1"/>
        <rFont val="Times New Roman"/>
        <family val="1"/>
      </rPr>
      <t xml:space="preserve">     </t>
    </r>
    <r>
      <rPr>
        <sz val="12"/>
        <color theme="1"/>
        <rFont val="Arial"/>
        <family val="2"/>
      </rPr>
      <t>Maine has the highest average total energy cost (260.45 USD/MWh), while Washington and Montana have comparatively lower costs.</t>
    </r>
  </si>
  <si>
    <t xml:space="preserve">     Diagnostic Analysis:-</t>
  </si>
  <si>
    <r>
      <t>·</t>
    </r>
    <r>
      <rPr>
        <sz val="7"/>
        <color theme="1"/>
        <rFont val="Times New Roman"/>
        <family val="1"/>
      </rPr>
      <t xml:space="preserve">     </t>
    </r>
    <r>
      <rPr>
        <sz val="12"/>
        <color theme="1"/>
        <rFont val="Arial"/>
        <family val="2"/>
      </rPr>
      <t>States with higher transmission cost (example: Maine – $213.04) show significantly higher total energy cost.</t>
    </r>
  </si>
  <si>
    <r>
      <t>·</t>
    </r>
    <r>
      <rPr>
        <sz val="7"/>
        <color theme="1"/>
        <rFont val="Times New Roman"/>
        <family val="1"/>
      </rPr>
      <t xml:space="preserve">     </t>
    </r>
    <r>
      <rPr>
        <sz val="12"/>
        <color theme="1"/>
        <rFont val="Arial"/>
        <family val="2"/>
      </rPr>
      <t>Longer grid reinforcement distance increases infrastructure cost, directly impacting LCOT (Levelized Cost of Transmission).</t>
    </r>
  </si>
  <si>
    <r>
      <t>·</t>
    </r>
    <r>
      <rPr>
        <sz val="7"/>
        <color theme="1"/>
        <rFont val="Times New Roman"/>
        <family val="1"/>
      </rPr>
      <t xml:space="preserve">     </t>
    </r>
    <r>
      <rPr>
        <sz val="12"/>
        <color theme="1"/>
        <rFont val="Arial"/>
        <family val="2"/>
      </rPr>
      <t>Higher installed capacity in Washington and Montana indicates better land availability and grid accessibility.</t>
    </r>
  </si>
  <si>
    <r>
      <t>·</t>
    </r>
    <r>
      <rPr>
        <sz val="7"/>
        <color theme="1"/>
        <rFont val="Times New Roman"/>
        <family val="1"/>
      </rPr>
      <t xml:space="preserve">     </t>
    </r>
    <r>
      <rPr>
        <sz val="12"/>
        <color theme="1"/>
        <rFont val="Arial"/>
        <family val="2"/>
      </rPr>
      <t>Regions with lower transmission distance demonstrate better cost efficiency.</t>
    </r>
  </si>
  <si>
    <t xml:space="preserve">      Conclusion:-</t>
  </si>
  <si>
    <r>
      <t>·</t>
    </r>
    <r>
      <rPr>
        <sz val="7"/>
        <color theme="1"/>
        <rFont val="Times New Roman"/>
        <family val="1"/>
      </rPr>
      <t xml:space="preserve">     </t>
    </r>
    <r>
      <rPr>
        <sz val="12"/>
        <color theme="1"/>
        <rFont val="Arial"/>
        <family val="2"/>
      </rPr>
      <t>Transmission infrastructure plays a major role in increasing total project cost.</t>
    </r>
  </si>
  <si>
    <r>
      <t xml:space="preserve">      </t>
    </r>
    <r>
      <rPr>
        <b/>
        <sz val="12"/>
        <color theme="1"/>
        <rFont val="Arial"/>
        <family val="2"/>
      </rPr>
      <t>Predictive Analysis:-</t>
    </r>
  </si>
  <si>
    <r>
      <t>·</t>
    </r>
    <r>
      <rPr>
        <sz val="7"/>
        <color theme="1"/>
        <rFont val="Times New Roman"/>
        <family val="1"/>
      </rPr>
      <t xml:space="preserve">     </t>
    </r>
    <r>
      <rPr>
        <sz val="12"/>
        <color theme="1"/>
        <rFont val="Arial"/>
        <family val="2"/>
      </rPr>
      <t>If grid reinforcement cost increases further, high-cost states may become less attractive for solar investment.</t>
    </r>
  </si>
  <si>
    <r>
      <t>·</t>
    </r>
    <r>
      <rPr>
        <sz val="7"/>
        <color theme="1"/>
        <rFont val="Times New Roman"/>
        <family val="1"/>
      </rPr>
      <t xml:space="preserve">     </t>
    </r>
    <r>
      <rPr>
        <sz val="12"/>
        <color theme="1"/>
        <rFont val="Arial"/>
        <family val="2"/>
      </rPr>
      <t>States with moderate solar resource but low transmission cost may continue to attract future solar development.</t>
    </r>
  </si>
  <si>
    <r>
      <t>·</t>
    </r>
    <r>
      <rPr>
        <sz val="7"/>
        <color theme="1"/>
        <rFont val="Times New Roman"/>
        <family val="1"/>
      </rPr>
      <t xml:space="preserve">     </t>
    </r>
    <r>
      <rPr>
        <sz val="12"/>
        <color theme="1"/>
        <rFont val="Arial"/>
        <family val="2"/>
      </rPr>
      <t>By 2035, moderate supply curve scenario suggests cost stabilization in regions with strong grid connectivity.</t>
    </r>
  </si>
  <si>
    <t xml:space="preserve">     Prescriptive Analysis:-</t>
  </si>
  <si>
    <r>
      <t>v</t>
    </r>
    <r>
      <rPr>
        <sz val="7"/>
        <color theme="1"/>
        <rFont val="Times New Roman"/>
        <family val="1"/>
      </rPr>
      <t xml:space="preserve"> </t>
    </r>
    <r>
      <rPr>
        <sz val="12"/>
        <color theme="1"/>
        <rFont val="Arial"/>
        <family val="2"/>
      </rPr>
      <t>Lower transmission cost</t>
    </r>
  </si>
  <si>
    <r>
      <t>v</t>
    </r>
    <r>
      <rPr>
        <sz val="7"/>
        <color theme="1"/>
        <rFont val="Times New Roman"/>
        <family val="1"/>
      </rPr>
      <t xml:space="preserve"> </t>
    </r>
    <r>
      <rPr>
        <sz val="12"/>
        <color theme="1"/>
        <rFont val="Arial"/>
        <family val="2"/>
      </rPr>
      <t>Higher installed capacity</t>
    </r>
  </si>
  <si>
    <r>
      <t>v</t>
    </r>
    <r>
      <rPr>
        <sz val="7"/>
        <color theme="1"/>
        <rFont val="Times New Roman"/>
        <family val="1"/>
      </rPr>
      <t xml:space="preserve"> </t>
    </r>
    <r>
      <rPr>
        <sz val="12"/>
        <color theme="1"/>
        <rFont val="Arial"/>
        <family val="2"/>
      </rPr>
      <t>Stable solar resource</t>
    </r>
  </si>
  <si>
    <r>
      <t>·</t>
    </r>
    <r>
      <rPr>
        <sz val="7"/>
        <color theme="1"/>
        <rFont val="Times New Roman"/>
        <family val="1"/>
      </rPr>
      <t xml:space="preserve">        </t>
    </r>
    <r>
      <rPr>
        <sz val="12"/>
        <color theme="1"/>
        <rFont val="Arial"/>
        <family val="2"/>
      </rPr>
      <t>The analysis indicates that while solar resource availability is important, transmission and grid-related costs significantly influence total energy cost. Regions with strong infrastructure and moderate solar irradiance demonstrate better cost efficiency and investment potential. Therefore, infrastructure optimization is key to sustainable solar expansion under the 2035 moderate supply scenario.</t>
    </r>
  </si>
  <si>
    <r>
      <t xml:space="preserve">  Key Findings:</t>
    </r>
    <r>
      <rPr>
        <sz val="12"/>
        <color theme="1"/>
        <rFont val="Arial"/>
        <family val="2"/>
      </rPr>
      <t xml:space="preserve"> Summarize trends, patterns, or anomalies identified in the data </t>
    </r>
  </si>
  <si>
    <t xml:space="preserve">   Investment should focus on states with:</t>
  </si>
  <si>
    <t xml:space="preserve">  Priority regions:</t>
  </si>
  <si>
    <t xml:space="preserve">  Washington and Montana (based on lower average total cost and higher capacity)</t>
  </si>
  <si>
    <t xml:space="preserve">  Improve grid infrastructure in high-cost states to reduce transmission burden.</t>
  </si>
  <si>
    <t xml:space="preserve">  Strategic planning of solar farms closer to grid points can reduce LCOT significantly.</t>
  </si>
  <si>
    <t>Conclusions:-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</si>
</sst>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00"/>
    <numFmt numFmtId="165" formatCode="0.00000"/>
  </numFmts>
  <fonts count="2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sz val="20"/>
      <color theme="1"/>
      <name val="Algerian"/>
      <family val="5"/>
    </font>
    <font>
      <b/>
      <sz val="20"/>
      <color theme="1"/>
      <name val="Algerian"/>
      <family val="5"/>
    </font>
    <font>
      <b/>
      <sz val="12"/>
      <color rgb="FF7030A0"/>
      <name val="Arial"/>
      <family val="2"/>
    </font>
    <font>
      <b/>
      <sz val="12"/>
      <color theme="1"/>
      <name val="Arial"/>
      <family val="2"/>
    </font>
    <font>
      <sz val="12"/>
      <color theme="1"/>
      <name val="Arial"/>
      <family val="2"/>
    </font>
    <font>
      <b/>
      <sz val="12"/>
      <color rgb="FFED7D31"/>
      <name val="Arial"/>
      <family val="2"/>
    </font>
    <font>
      <sz val="10"/>
      <color theme="1"/>
      <name val="Symbol"/>
      <family val="1"/>
      <charset val="2"/>
    </font>
    <font>
      <sz val="7"/>
      <color theme="1"/>
      <name val="Times New Roman"/>
      <family val="1"/>
    </font>
    <font>
      <sz val="12"/>
      <color theme="1"/>
      <name val="Symbol"/>
      <family val="1"/>
      <charset val="2"/>
    </font>
    <font>
      <sz val="12"/>
      <color theme="1"/>
      <name val="Wingdings"/>
      <charset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59999389629810485"/>
        <bgColor indexed="64"/>
      </patternFill>
    </fill>
    <fill>
      <patternFill patternType="solid">
        <fgColor rgb="FF9EF0F4"/>
        <bgColor indexed="64"/>
      </patternFill>
    </fill>
    <fill>
      <patternFill patternType="solid">
        <fgColor theme="7"/>
        <bgColor indexed="64"/>
      </patternFill>
    </fill>
    <fill>
      <patternFill patternType="solid">
        <fgColor theme="9" tint="0.79998168889431442"/>
        <bgColor indexed="64"/>
      </patternFill>
    </fill>
  </fills>
  <borders count="4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double">
        <color indexed="64"/>
      </right>
      <top/>
      <bottom style="double">
        <color indexed="64"/>
      </bottom>
      <diagonal/>
    </border>
    <border>
      <left style="medium">
        <color indexed="64"/>
      </left>
      <right/>
      <top style="double">
        <color indexed="64"/>
      </top>
      <bottom/>
      <diagonal/>
    </border>
    <border>
      <left/>
      <right style="medium">
        <color indexed="64"/>
      </right>
      <top style="double">
        <color indexed="64"/>
      </top>
      <bottom/>
      <diagonal/>
    </border>
    <border>
      <left style="medium">
        <color indexed="64"/>
      </left>
      <right/>
      <top/>
      <bottom style="double">
        <color indexed="64"/>
      </bottom>
      <diagonal/>
    </border>
    <border>
      <left/>
      <right style="medium">
        <color indexed="64"/>
      </right>
      <top/>
      <bottom style="double">
        <color indexed="64"/>
      </bottom>
      <diagonal/>
    </border>
    <border>
      <left style="medium">
        <color indexed="64"/>
      </left>
      <right/>
      <top/>
      <bottom style="medium">
        <color indexed="64"/>
      </bottom>
      <diagonal/>
    </border>
    <border>
      <left/>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91">
    <xf numFmtId="0" fontId="0" fillId="0" borderId="0" xfId="0"/>
    <xf numFmtId="0" fontId="0" fillId="0" borderId="0" xfId="0" applyAlignment="1">
      <alignment horizontal="center"/>
    </xf>
    <xf numFmtId="164" fontId="0" fillId="0" borderId="0" xfId="0" applyNumberFormat="1"/>
    <xf numFmtId="49" fontId="0" fillId="0" borderId="0" xfId="0" applyNumberFormat="1"/>
    <xf numFmtId="10" fontId="0" fillId="0" borderId="0" xfId="42" applyNumberFormat="1" applyFont="1"/>
    <xf numFmtId="165" fontId="0" fillId="0" borderId="0" xfId="0" applyNumberFormat="1"/>
    <xf numFmtId="2" fontId="0" fillId="0" borderId="0" xfId="42" applyNumberFormat="1" applyFont="1"/>
    <xf numFmtId="0" fontId="0" fillId="0" borderId="14" xfId="0" applyBorder="1" applyAlignment="1">
      <alignment horizontal="center"/>
    </xf>
    <xf numFmtId="0" fontId="0" fillId="0" borderId="10" xfId="0" applyBorder="1" applyAlignment="1">
      <alignment horizontal="center"/>
    </xf>
    <xf numFmtId="165" fontId="0" fillId="0" borderId="10" xfId="0" applyNumberFormat="1" applyBorder="1"/>
    <xf numFmtId="49" fontId="0" fillId="0" borderId="10" xfId="0" applyNumberFormat="1" applyBorder="1"/>
    <xf numFmtId="2" fontId="0" fillId="0" borderId="10" xfId="42" applyNumberFormat="1" applyFont="1" applyBorder="1"/>
    <xf numFmtId="10" fontId="0" fillId="0" borderId="10" xfId="42" applyNumberFormat="1" applyFont="1" applyBorder="1"/>
    <xf numFmtId="164" fontId="0" fillId="0" borderId="10" xfId="0" applyNumberFormat="1" applyBorder="1"/>
    <xf numFmtId="164" fontId="0" fillId="0" borderId="15" xfId="0" applyNumberFormat="1" applyBorder="1"/>
    <xf numFmtId="0" fontId="0" fillId="0" borderId="16" xfId="0" applyBorder="1" applyAlignment="1">
      <alignment horizontal="center"/>
    </xf>
    <xf numFmtId="0" fontId="0" fillId="0" borderId="17" xfId="0" applyBorder="1" applyAlignment="1">
      <alignment horizontal="center"/>
    </xf>
    <xf numFmtId="165" fontId="0" fillId="0" borderId="17" xfId="0" applyNumberFormat="1" applyBorder="1"/>
    <xf numFmtId="49" fontId="0" fillId="0" borderId="17" xfId="0" applyNumberFormat="1" applyBorder="1"/>
    <xf numFmtId="2" fontId="0" fillId="0" borderId="17" xfId="42" applyNumberFormat="1" applyFont="1" applyBorder="1"/>
    <xf numFmtId="10" fontId="0" fillId="0" borderId="17" xfId="42" applyNumberFormat="1" applyFont="1" applyBorder="1"/>
    <xf numFmtId="164" fontId="0" fillId="0" borderId="17" xfId="0" applyNumberFormat="1" applyBorder="1"/>
    <xf numFmtId="164" fontId="0" fillId="0" borderId="18" xfId="0" applyNumberFormat="1" applyBorder="1"/>
    <xf numFmtId="43" fontId="0" fillId="0" borderId="0" xfId="0" applyNumberFormat="1"/>
    <xf numFmtId="0" fontId="0" fillId="0" borderId="23" xfId="0" applyBorder="1"/>
    <xf numFmtId="0" fontId="0" fillId="0" borderId="22" xfId="0" applyBorder="1" applyAlignment="1">
      <alignment horizontal="left"/>
    </xf>
    <xf numFmtId="0" fontId="0" fillId="0" borderId="0" xfId="0" applyAlignment="1">
      <alignment wrapText="1"/>
    </xf>
    <xf numFmtId="0" fontId="0" fillId="0" borderId="29" xfId="0" pivotButton="1" applyBorder="1"/>
    <xf numFmtId="0" fontId="0" fillId="0" borderId="30" xfId="0" applyBorder="1"/>
    <xf numFmtId="0" fontId="0" fillId="0" borderId="29" xfId="0" applyBorder="1" applyAlignment="1">
      <alignment horizontal="left"/>
    </xf>
    <xf numFmtId="43" fontId="0" fillId="0" borderId="30" xfId="0" applyNumberFormat="1" applyBorder="1"/>
    <xf numFmtId="0" fontId="0" fillId="0" borderId="29" xfId="0" applyBorder="1"/>
    <xf numFmtId="164" fontId="0" fillId="0" borderId="30" xfId="0" applyNumberFormat="1" applyBorder="1"/>
    <xf numFmtId="0" fontId="0" fillId="0" borderId="22" xfId="0" pivotButton="1" applyBorder="1"/>
    <xf numFmtId="0" fontId="0" fillId="0" borderId="23" xfId="0" applyBorder="1" applyAlignment="1">
      <alignment horizontal="left"/>
    </xf>
    <xf numFmtId="2" fontId="0" fillId="0" borderId="23" xfId="0" applyNumberFormat="1" applyBorder="1"/>
    <xf numFmtId="0" fontId="0" fillId="0" borderId="24" xfId="0" applyBorder="1" applyAlignment="1">
      <alignment horizontal="left"/>
    </xf>
    <xf numFmtId="2" fontId="0" fillId="0" borderId="31" xfId="0" applyNumberFormat="1" applyBorder="1"/>
    <xf numFmtId="43" fontId="0" fillId="0" borderId="23" xfId="0" applyNumberFormat="1" applyBorder="1"/>
    <xf numFmtId="43" fontId="0" fillId="0" borderId="31" xfId="0" applyNumberFormat="1" applyBorder="1"/>
    <xf numFmtId="0" fontId="0" fillId="0" borderId="23" xfId="0" applyBorder="1" applyAlignment="1">
      <alignment wrapText="1"/>
    </xf>
    <xf numFmtId="43" fontId="0" fillId="0" borderId="25" xfId="0" applyNumberFormat="1" applyBorder="1"/>
    <xf numFmtId="0" fontId="0" fillId="0" borderId="31" xfId="0" applyBorder="1"/>
    <xf numFmtId="2" fontId="0" fillId="0" borderId="22" xfId="0" applyNumberFormat="1" applyBorder="1" applyAlignment="1">
      <alignment horizontal="left"/>
    </xf>
    <xf numFmtId="0" fontId="0" fillId="0" borderId="34" xfId="0" applyBorder="1" applyAlignment="1">
      <alignment horizontal="left"/>
    </xf>
    <xf numFmtId="43" fontId="0" fillId="0" borderId="35" xfId="0" applyNumberFormat="1" applyBorder="1"/>
    <xf numFmtId="164" fontId="0" fillId="0" borderId="35" xfId="0" applyNumberFormat="1" applyBorder="1"/>
    <xf numFmtId="0" fontId="0" fillId="0" borderId="36" xfId="0" applyBorder="1"/>
    <xf numFmtId="0" fontId="0" fillId="0" borderId="37" xfId="0" applyBorder="1"/>
    <xf numFmtId="2" fontId="0" fillId="0" borderId="38" xfId="0" applyNumberFormat="1" applyBorder="1" applyAlignment="1">
      <alignment horizontal="left"/>
    </xf>
    <xf numFmtId="164" fontId="0" fillId="0" borderId="39" xfId="0" applyNumberFormat="1" applyBorder="1"/>
    <xf numFmtId="0" fontId="0" fillId="0" borderId="39" xfId="0" applyBorder="1"/>
    <xf numFmtId="0" fontId="0" fillId="36" borderId="11" xfId="0" applyFill="1" applyBorder="1" applyAlignment="1">
      <alignment horizontal="center"/>
    </xf>
    <xf numFmtId="0" fontId="0" fillId="36" borderId="12" xfId="0" applyFill="1" applyBorder="1" applyAlignment="1">
      <alignment horizontal="center"/>
    </xf>
    <xf numFmtId="165" fontId="0" fillId="36" borderId="12" xfId="0" applyNumberFormat="1" applyFill="1" applyBorder="1" applyAlignment="1">
      <alignment horizontal="center"/>
    </xf>
    <xf numFmtId="49" fontId="0" fillId="36" borderId="12" xfId="0" applyNumberFormat="1" applyFill="1" applyBorder="1" applyAlignment="1">
      <alignment horizontal="center"/>
    </xf>
    <xf numFmtId="2" fontId="0" fillId="36" borderId="12" xfId="42" applyNumberFormat="1" applyFont="1" applyFill="1" applyBorder="1" applyAlignment="1">
      <alignment horizontal="center"/>
    </xf>
    <xf numFmtId="2" fontId="0" fillId="36" borderId="12" xfId="42" applyNumberFormat="1" applyFont="1" applyFill="1" applyBorder="1" applyAlignment="1">
      <alignment horizontal="center" wrapText="1"/>
    </xf>
    <xf numFmtId="10" fontId="0" fillId="36" borderId="12" xfId="42" applyNumberFormat="1" applyFont="1" applyFill="1" applyBorder="1" applyAlignment="1">
      <alignment horizontal="center" wrapText="1"/>
    </xf>
    <xf numFmtId="164" fontId="0" fillId="36" borderId="12" xfId="0" applyNumberFormat="1" applyFill="1" applyBorder="1" applyAlignment="1">
      <alignment horizontal="center" wrapText="1"/>
    </xf>
    <xf numFmtId="164" fontId="0" fillId="36" borderId="13" xfId="0" applyNumberFormat="1" applyFill="1" applyBorder="1" applyAlignment="1">
      <alignment horizontal="center" wrapText="1"/>
    </xf>
    <xf numFmtId="0" fontId="22" fillId="0" borderId="0" xfId="0" applyFont="1" applyAlignment="1">
      <alignment horizontal="left" vertical="center" indent="1"/>
    </xf>
    <xf numFmtId="0" fontId="24" fillId="0" borderId="0" xfId="0" applyFont="1" applyAlignment="1">
      <alignment horizontal="left" vertical="center" indent="2"/>
    </xf>
    <xf numFmtId="0" fontId="22" fillId="0" borderId="0" xfId="0" applyFont="1" applyAlignment="1">
      <alignment horizontal="left" vertical="center" indent="2"/>
    </xf>
    <xf numFmtId="0" fontId="25" fillId="0" borderId="0" xfId="0" applyFont="1" applyAlignment="1">
      <alignment horizontal="left" vertical="center" indent="5"/>
    </xf>
    <xf numFmtId="0" fontId="27" fillId="0" borderId="0" xfId="0" applyFont="1" applyAlignment="1">
      <alignment horizontal="left" vertical="center" indent="5"/>
    </xf>
    <xf numFmtId="0" fontId="28" fillId="0" borderId="0" xfId="0" applyFont="1" applyAlignment="1">
      <alignment horizontal="left" vertical="center" indent="10"/>
    </xf>
    <xf numFmtId="0" fontId="23" fillId="0" borderId="0" xfId="0" applyFont="1" applyAlignment="1">
      <alignment horizontal="left" vertical="center" indent="1"/>
    </xf>
    <xf numFmtId="0" fontId="23" fillId="0" borderId="0" xfId="0" applyFont="1" applyAlignment="1">
      <alignment horizontal="left" vertical="center" indent="2"/>
    </xf>
    <xf numFmtId="0" fontId="21" fillId="0" borderId="0" xfId="0" applyFont="1" applyAlignment="1">
      <alignment horizontal="left" vertical="center"/>
    </xf>
    <xf numFmtId="0" fontId="0" fillId="0" borderId="0" xfId="0" applyAlignment="1">
      <alignment horizontal="left"/>
    </xf>
    <xf numFmtId="0" fontId="22" fillId="0" borderId="0" xfId="0" applyFont="1" applyAlignment="1">
      <alignment horizontal="left" vertical="center"/>
    </xf>
    <xf numFmtId="0" fontId="23" fillId="0" borderId="0" xfId="0" applyFont="1" applyAlignment="1">
      <alignment horizontal="left" vertical="center"/>
    </xf>
    <xf numFmtId="0" fontId="18" fillId="33" borderId="32" xfId="0" applyFont="1" applyFill="1" applyBorder="1" applyAlignment="1">
      <alignment horizontal="center" vertical="center"/>
    </xf>
    <xf numFmtId="0" fontId="18" fillId="33" borderId="21" xfId="0" applyFont="1" applyFill="1" applyBorder="1" applyAlignment="1">
      <alignment horizontal="center" vertical="center"/>
    </xf>
    <xf numFmtId="0" fontId="0" fillId="0" borderId="29" xfId="0" applyBorder="1" applyAlignment="1">
      <alignment horizontal="center"/>
    </xf>
    <xf numFmtId="0" fontId="0" fillId="0" borderId="0" xfId="0" applyAlignment="1">
      <alignment horizontal="center"/>
    </xf>
    <xf numFmtId="0" fontId="18" fillId="33" borderId="19" xfId="0" applyFont="1" applyFill="1" applyBorder="1" applyAlignment="1">
      <alignment horizontal="center" vertical="center" wrapText="1"/>
    </xf>
    <xf numFmtId="0" fontId="18" fillId="33" borderId="33" xfId="0" applyFont="1" applyFill="1" applyBorder="1" applyAlignment="1">
      <alignment horizontal="center" vertical="center" wrapText="1"/>
    </xf>
    <xf numFmtId="0" fontId="18" fillId="33" borderId="20" xfId="0" applyFont="1" applyFill="1" applyBorder="1" applyAlignment="1">
      <alignment horizontal="center" vertical="center"/>
    </xf>
    <xf numFmtId="0" fontId="18" fillId="33" borderId="19" xfId="0" applyFont="1" applyFill="1" applyBorder="1" applyAlignment="1">
      <alignment horizontal="center" vertical="center"/>
    </xf>
    <xf numFmtId="0" fontId="18" fillId="33" borderId="33" xfId="0" applyFont="1" applyFill="1" applyBorder="1" applyAlignment="1">
      <alignment horizontal="center" vertical="center"/>
    </xf>
    <xf numFmtId="0" fontId="0" fillId="33" borderId="21" xfId="0" applyFill="1" applyBorder="1" applyAlignment="1">
      <alignment horizontal="center" vertical="center"/>
    </xf>
    <xf numFmtId="0" fontId="19" fillId="34" borderId="0" xfId="0" applyFont="1" applyFill="1" applyAlignment="1">
      <alignment horizontal="center" vertical="center"/>
    </xf>
    <xf numFmtId="0" fontId="20" fillId="35" borderId="26" xfId="0" applyFont="1" applyFill="1" applyBorder="1" applyAlignment="1">
      <alignment horizontal="center"/>
    </xf>
    <xf numFmtId="0" fontId="20" fillId="35" borderId="27" xfId="0" applyFont="1" applyFill="1" applyBorder="1" applyAlignment="1">
      <alignment horizontal="center"/>
    </xf>
    <xf numFmtId="0" fontId="20" fillId="35" borderId="28" xfId="0" applyFont="1" applyFill="1" applyBorder="1" applyAlignment="1">
      <alignment horizontal="center"/>
    </xf>
    <xf numFmtId="0" fontId="20" fillId="35" borderId="29" xfId="0" applyFont="1" applyFill="1" applyBorder="1" applyAlignment="1">
      <alignment horizontal="center"/>
    </xf>
    <xf numFmtId="0" fontId="20" fillId="35" borderId="0" xfId="0" applyFont="1" applyFill="1" applyAlignment="1">
      <alignment horizontal="center"/>
    </xf>
    <xf numFmtId="0" fontId="20" fillId="35" borderId="30" xfId="0" applyFont="1" applyFill="1" applyBorder="1" applyAlignment="1">
      <alignment horizontal="center"/>
    </xf>
    <xf numFmtId="0" fontId="25" fillId="0" borderId="0" xfId="0" applyFont="1" applyAlignment="1">
      <alignment horizontal="left" vertic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7">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double">
          <color indexed="64"/>
        </left>
        <right style="double">
          <color indexed="64"/>
        </right>
        <top style="double">
          <color indexed="64"/>
        </top>
        <bottom style="double">
          <color indexed="64"/>
        </bottom>
      </border>
    </dxf>
    <dxf>
      <border>
        <left style="double">
          <color indexed="64"/>
        </left>
        <right style="double">
          <color indexed="64"/>
        </right>
        <top style="double">
          <color indexed="64"/>
        </top>
        <bottom style="double">
          <color indexed="64"/>
        </bottom>
      </border>
    </dxf>
    <dxf>
      <border>
        <left style="double">
          <color indexed="64"/>
        </left>
        <right style="double">
          <color indexed="64"/>
        </right>
        <top style="double">
          <color indexed="64"/>
        </top>
        <bottom style="double">
          <color indexed="64"/>
        </bottom>
      </border>
    </dxf>
    <dxf>
      <border>
        <left style="double">
          <color indexed="64"/>
        </left>
        <right style="double">
          <color indexed="64"/>
        </right>
        <top style="double">
          <color indexed="64"/>
        </top>
        <bottom style="double">
          <color indexed="64"/>
        </bottom>
      </border>
    </dxf>
    <dxf>
      <border>
        <left style="double">
          <color indexed="64"/>
        </left>
        <right style="double">
          <color indexed="64"/>
        </right>
        <top style="double">
          <color indexed="64"/>
        </top>
        <bottom style="double">
          <color indexed="64"/>
        </bottom>
      </border>
    </dxf>
    <dxf>
      <border>
        <left style="double">
          <color indexed="64"/>
        </left>
        <right style="double">
          <color indexed="64"/>
        </right>
        <top style="double">
          <color indexed="64"/>
        </top>
        <bottom style="double">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double">
          <color indexed="64"/>
        </left>
        <right style="double">
          <color indexed="64"/>
        </right>
        <top style="double">
          <color indexed="64"/>
        </top>
        <bottom style="double">
          <color indexed="64"/>
        </bottom>
      </border>
    </dxf>
    <dxf>
      <border>
        <left style="double">
          <color indexed="64"/>
        </left>
        <right style="double">
          <color indexed="64"/>
        </right>
        <top style="double">
          <color indexed="64"/>
        </top>
        <bottom style="double">
          <color indexed="64"/>
        </bottom>
      </border>
    </dxf>
    <dxf>
      <border>
        <left style="double">
          <color indexed="64"/>
        </left>
        <right style="double">
          <color indexed="64"/>
        </right>
        <top style="double">
          <color indexed="64"/>
        </top>
        <bottom style="double">
          <color indexed="64"/>
        </bottom>
      </border>
    </dxf>
    <dxf>
      <border>
        <left style="double">
          <color indexed="64"/>
        </left>
        <right style="double">
          <color indexed="64"/>
        </right>
        <top style="double">
          <color indexed="64"/>
        </top>
        <bottom style="double">
          <color indexed="64"/>
        </bottom>
      </border>
    </dxf>
    <dxf>
      <border>
        <left style="double">
          <color indexed="64"/>
        </left>
        <right style="double">
          <color indexed="64"/>
        </right>
        <top style="double">
          <color indexed="64"/>
        </top>
        <bottom style="double">
          <color indexed="64"/>
        </bottom>
      </border>
    </dxf>
    <dxf>
      <border>
        <left style="double">
          <color indexed="64"/>
        </left>
        <right style="double">
          <color indexed="64"/>
        </right>
        <top style="double">
          <color indexed="64"/>
        </top>
        <bottom style="double">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double">
          <color indexed="64"/>
        </left>
        <right style="double">
          <color indexed="64"/>
        </right>
        <top style="double">
          <color indexed="64"/>
        </top>
        <bottom style="double">
          <color indexed="64"/>
        </bottom>
      </border>
    </dxf>
    <dxf>
      <border>
        <left style="double">
          <color indexed="64"/>
        </left>
        <right style="double">
          <color indexed="64"/>
        </right>
        <top style="double">
          <color indexed="64"/>
        </top>
        <bottom style="double">
          <color indexed="64"/>
        </bottom>
      </border>
    </dxf>
    <dxf>
      <border>
        <left style="double">
          <color indexed="64"/>
        </left>
        <right style="double">
          <color indexed="64"/>
        </right>
        <top style="double">
          <color indexed="64"/>
        </top>
        <bottom style="double">
          <color indexed="64"/>
        </bottom>
      </border>
    </dxf>
    <dxf>
      <border>
        <left style="double">
          <color indexed="64"/>
        </left>
        <right style="double">
          <color indexed="64"/>
        </right>
        <top style="double">
          <color indexed="64"/>
        </top>
        <bottom style="double">
          <color indexed="64"/>
        </bottom>
      </border>
    </dxf>
    <dxf>
      <border>
        <left style="double">
          <color indexed="64"/>
        </left>
        <right style="double">
          <color indexed="64"/>
        </right>
        <top style="double">
          <color indexed="64"/>
        </top>
        <bottom style="double">
          <color indexed="64"/>
        </bottom>
      </border>
    </dxf>
    <dxf>
      <border>
        <left style="double">
          <color indexed="64"/>
        </left>
        <right style="double">
          <color indexed="64"/>
        </right>
        <top style="double">
          <color indexed="64"/>
        </top>
        <bottom style="double">
          <color indexed="64"/>
        </bottom>
      </border>
    </dxf>
    <dxf>
      <border>
        <left style="double">
          <color indexed="64"/>
        </left>
        <right style="double">
          <color indexed="64"/>
        </right>
        <top style="double">
          <color indexed="64"/>
        </top>
        <bottom style="double">
          <color indexed="64"/>
        </bottom>
      </border>
    </dxf>
    <dxf>
      <border>
        <left style="double">
          <color indexed="64"/>
        </left>
        <right style="double">
          <color indexed="64"/>
        </right>
        <top style="double">
          <color indexed="64"/>
        </top>
        <bottom style="double">
          <color indexed="64"/>
        </bottom>
      </border>
    </dxf>
    <dxf>
      <border>
        <left style="double">
          <color indexed="64"/>
        </left>
        <right style="double">
          <color indexed="64"/>
        </right>
        <top style="double">
          <color indexed="64"/>
        </top>
        <bottom style="double">
          <color indexed="64"/>
        </bottom>
      </border>
    </dxf>
    <dxf>
      <border>
        <left style="double">
          <color indexed="64"/>
        </left>
        <right style="double">
          <color indexed="64"/>
        </right>
        <top style="double">
          <color indexed="64"/>
        </top>
        <bottom style="double">
          <color indexed="64"/>
        </bottom>
      </border>
    </dxf>
    <dxf>
      <border>
        <left style="double">
          <color indexed="64"/>
        </left>
        <right style="double">
          <color indexed="64"/>
        </right>
        <top style="double">
          <color indexed="64"/>
        </top>
        <bottom style="double">
          <color indexed="64"/>
        </bottom>
      </border>
    </dxf>
    <dxf>
      <border>
        <left style="double">
          <color indexed="64"/>
        </left>
        <right style="double">
          <color indexed="64"/>
        </right>
        <top style="double">
          <color indexed="64"/>
        </top>
        <bottom style="double">
          <color indexed="64"/>
        </bottom>
      </border>
    </dxf>
    <dxf>
      <border>
        <left style="double">
          <color indexed="64"/>
        </left>
        <right style="double">
          <color indexed="64"/>
        </right>
        <top style="double">
          <color indexed="64"/>
        </top>
        <bottom style="double">
          <color indexed="64"/>
        </bottom>
      </border>
    </dxf>
    <dxf>
      <border>
        <left style="double">
          <color indexed="64"/>
        </left>
        <right style="double">
          <color indexed="64"/>
        </right>
        <top style="double">
          <color indexed="64"/>
        </top>
        <bottom style="double">
          <color indexed="64"/>
        </bottom>
      </border>
    </dxf>
    <dxf>
      <border>
        <left style="double">
          <color indexed="64"/>
        </left>
        <right style="double">
          <color indexed="64"/>
        </right>
        <top style="double">
          <color indexed="64"/>
        </top>
        <bottom style="double">
          <color indexed="64"/>
        </bottom>
      </border>
    </dxf>
    <dxf>
      <border>
        <left style="double">
          <color indexed="64"/>
        </left>
        <right style="double">
          <color indexed="64"/>
        </right>
        <top style="double">
          <color indexed="64"/>
        </top>
        <bottom style="double">
          <color indexed="64"/>
        </bottom>
      </border>
    </dxf>
    <dxf>
      <border>
        <left style="double">
          <color indexed="64"/>
        </left>
        <right style="double">
          <color indexed="64"/>
        </right>
        <top style="double">
          <color indexed="64"/>
        </top>
        <bottom style="double">
          <color indexed="64"/>
        </bottom>
      </border>
    </dxf>
    <dxf>
      <border>
        <left style="double">
          <color indexed="64"/>
        </left>
        <right style="double">
          <color indexed="64"/>
        </right>
        <top style="double">
          <color indexed="64"/>
        </top>
        <bottom style="double">
          <color indexed="64"/>
        </bottom>
      </border>
    </dxf>
    <dxf>
      <border>
        <left style="double">
          <color indexed="64"/>
        </left>
        <right style="double">
          <color indexed="64"/>
        </right>
        <top style="double">
          <color indexed="64"/>
        </top>
        <bottom style="double">
          <color indexed="64"/>
        </bottom>
      </border>
    </dxf>
    <dxf>
      <border>
        <left style="double">
          <color indexed="64"/>
        </left>
        <right style="double">
          <color indexed="64"/>
        </right>
        <top style="double">
          <color indexed="64"/>
        </top>
        <bottom style="double">
          <color indexed="64"/>
        </bottom>
      </border>
    </dxf>
    <dxf>
      <border>
        <left style="double">
          <color indexed="64"/>
        </left>
        <right style="double">
          <color indexed="64"/>
        </right>
        <top style="double">
          <color indexed="64"/>
        </top>
        <bottom style="double">
          <color indexed="64"/>
        </bottom>
      </border>
    </dxf>
    <dxf>
      <border>
        <left style="double">
          <color indexed="64"/>
        </left>
        <right style="double">
          <color indexed="64"/>
        </right>
        <top style="double">
          <color indexed="64"/>
        </top>
        <bottom style="double">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double">
          <color indexed="64"/>
        </left>
        <right style="double">
          <color indexed="64"/>
        </right>
        <top style="double">
          <color indexed="64"/>
        </top>
        <bottom style="double">
          <color indexed="64"/>
        </bottom>
      </border>
    </dxf>
    <dxf>
      <border>
        <left style="double">
          <color indexed="64"/>
        </left>
        <right style="double">
          <color indexed="64"/>
        </right>
        <top style="double">
          <color indexed="64"/>
        </top>
        <bottom style="double">
          <color indexed="64"/>
        </bottom>
      </border>
    </dxf>
    <dxf>
      <border>
        <left style="double">
          <color indexed="64"/>
        </left>
        <right style="double">
          <color indexed="64"/>
        </right>
        <top style="double">
          <color indexed="64"/>
        </top>
        <bottom style="double">
          <color indexed="64"/>
        </bottom>
      </border>
    </dxf>
    <dxf>
      <border>
        <left style="double">
          <color indexed="64"/>
        </left>
        <right style="double">
          <color indexed="64"/>
        </right>
        <top style="double">
          <color indexed="64"/>
        </top>
        <bottom style="double">
          <color indexed="64"/>
        </bottom>
      </border>
    </dxf>
    <dxf>
      <border>
        <left style="double">
          <color indexed="64"/>
        </left>
        <right style="double">
          <color indexed="64"/>
        </right>
        <top style="double">
          <color indexed="64"/>
        </top>
        <bottom style="double">
          <color indexed="64"/>
        </bottom>
      </border>
    </dxf>
    <dxf>
      <border>
        <left style="double">
          <color indexed="64"/>
        </left>
        <right style="double">
          <color indexed="64"/>
        </right>
        <top style="double">
          <color indexed="64"/>
        </top>
        <bottom style="double">
          <color indexed="64"/>
        </bottom>
      </border>
    </dxf>
    <dxf>
      <alignment wrapText="1"/>
    </dxf>
    <dxf>
      <alignment wrapText="1"/>
    </dxf>
    <dxf>
      <numFmt numFmtId="35" formatCode="_(* #,##0.00_);_(* \(#,##0.0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double">
          <color indexed="64"/>
        </left>
        <right style="double">
          <color indexed="64"/>
        </right>
        <top style="double">
          <color indexed="64"/>
        </top>
        <bottom style="double">
          <color indexed="64"/>
        </bottom>
      </border>
    </dxf>
    <dxf>
      <border>
        <left style="double">
          <color indexed="64"/>
        </left>
        <right style="double">
          <color indexed="64"/>
        </right>
        <top style="double">
          <color indexed="64"/>
        </top>
        <bottom style="double">
          <color indexed="64"/>
        </bottom>
      </border>
    </dxf>
    <dxf>
      <border>
        <left style="double">
          <color indexed="64"/>
        </left>
        <right style="double">
          <color indexed="64"/>
        </right>
        <top style="double">
          <color indexed="64"/>
        </top>
        <bottom style="double">
          <color indexed="64"/>
        </bottom>
      </border>
    </dxf>
    <dxf>
      <border>
        <left style="double">
          <color indexed="64"/>
        </left>
        <right style="double">
          <color indexed="64"/>
        </right>
        <top style="double">
          <color indexed="64"/>
        </top>
        <bottom style="double">
          <color indexed="64"/>
        </bottom>
      </border>
    </dxf>
    <dxf>
      <border>
        <left style="double">
          <color indexed="64"/>
        </left>
        <right style="double">
          <color indexed="64"/>
        </right>
        <top style="double">
          <color indexed="64"/>
        </top>
        <bottom style="double">
          <color indexed="64"/>
        </bottom>
      </border>
    </dxf>
    <dxf>
      <border>
        <left style="double">
          <color indexed="64"/>
        </left>
        <right style="double">
          <color indexed="64"/>
        </right>
        <top style="double">
          <color indexed="64"/>
        </top>
        <bottom style="double">
          <color indexed="64"/>
        </bottom>
      </border>
    </dxf>
    <dxf>
      <numFmt numFmtId="35" formatCode="_(* #,##0.00_);_(* \(#,##0.00\);_(* &quot;-&quot;??_);_(@_)"/>
    </dxf>
    <dxf>
      <border>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double">
          <color indexed="64"/>
        </left>
        <right style="double">
          <color indexed="64"/>
        </right>
        <top style="double">
          <color indexed="64"/>
        </top>
        <bottom style="double">
          <color indexed="64"/>
        </bottom>
      </border>
    </dxf>
    <dxf>
      <border>
        <left style="double">
          <color indexed="64"/>
        </left>
        <right style="double">
          <color indexed="64"/>
        </right>
        <top style="double">
          <color indexed="64"/>
        </top>
        <bottom style="double">
          <color indexed="64"/>
        </bottom>
      </border>
    </dxf>
    <dxf>
      <border>
        <left style="double">
          <color indexed="64"/>
        </left>
        <right style="double">
          <color indexed="64"/>
        </right>
        <top style="double">
          <color indexed="64"/>
        </top>
        <bottom style="double">
          <color indexed="64"/>
        </bottom>
      </border>
    </dxf>
    <dxf>
      <border>
        <left style="double">
          <color indexed="64"/>
        </left>
        <right style="double">
          <color indexed="64"/>
        </right>
        <top style="double">
          <color indexed="64"/>
        </top>
        <bottom style="double">
          <color indexed="64"/>
        </bottom>
      </border>
    </dxf>
    <dxf>
      <border>
        <left style="double">
          <color indexed="64"/>
        </left>
        <right style="double">
          <color indexed="64"/>
        </right>
        <top style="double">
          <color indexed="64"/>
        </top>
        <bottom style="double">
          <color indexed="64"/>
        </bottom>
      </border>
    </dxf>
    <dxf>
      <border>
        <left style="double">
          <color indexed="64"/>
        </left>
        <right style="double">
          <color indexed="64"/>
        </right>
        <top style="double">
          <color indexed="64"/>
        </top>
        <bottom style="double">
          <color indexed="64"/>
        </bottom>
      </border>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00"/>
      <border diagonalUp="0" diagonalDown="0">
        <left style="thin">
          <color indexed="64"/>
        </left>
        <right/>
        <top style="thin">
          <color indexed="64"/>
        </top>
        <bottom style="thin">
          <color indexed="64"/>
        </bottom>
        <vertical style="thin">
          <color indexed="64"/>
        </vertical>
        <horizontal style="thin">
          <color indexed="64"/>
        </horizontal>
      </border>
    </dxf>
    <dxf>
      <numFmt numFmtId="164" formatCode="&quot;$&quot;#,##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0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0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ill>
        <patternFill patternType="solid">
          <fgColor indexed="64"/>
          <bgColor theme="9" tint="0.79998168889431442"/>
        </patternFill>
      </fill>
      <alignment horizontal="center" vertical="bottom" textRotation="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36E0E8"/>
      <color rgb="FF9EF0F4"/>
      <color rgb="FFE321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PROJECT-SOLAR REF ACCESS 2035 MODERATE SUPPLY CURVE.xlsx]Average Solar Resource by State!PivotTable1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Solar</a:t>
            </a:r>
            <a:r>
              <a:rPr lang="en-US" baseline="0"/>
              <a:t> Resource by State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'Average Solar Resource by State'!$C$3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2D5-4E37-92EB-BEB77A91652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2D5-4E37-92EB-BEB77A91652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2D5-4E37-92EB-BEB77A91652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2D5-4E37-92EB-BEB77A916527}"/>
              </c:ext>
            </c:extLst>
          </c:dPt>
          <c:cat>
            <c:strRef>
              <c:f>'Average Solar Resource by State'!$B$4:$B$8</c:f>
              <c:strCache>
                <c:ptCount val="4"/>
                <c:pt idx="0">
                  <c:v>Idaho</c:v>
                </c:pt>
                <c:pt idx="1">
                  <c:v>Maine</c:v>
                </c:pt>
                <c:pt idx="2">
                  <c:v>Montana</c:v>
                </c:pt>
                <c:pt idx="3">
                  <c:v>Washington</c:v>
                </c:pt>
              </c:strCache>
            </c:strRef>
          </c:cat>
          <c:val>
            <c:numRef>
              <c:f>'Average Solar Resource by State'!$C$4:$C$8</c:f>
              <c:numCache>
                <c:formatCode>0.00</c:formatCode>
                <c:ptCount val="4"/>
                <c:pt idx="0">
                  <c:v>3.461059833846154</c:v>
                </c:pt>
                <c:pt idx="1">
                  <c:v>3.5629102290322581</c:v>
                </c:pt>
                <c:pt idx="2">
                  <c:v>3.6078655696969695</c:v>
                </c:pt>
                <c:pt idx="3">
                  <c:v>3.4761533290806765</c:v>
                </c:pt>
              </c:numCache>
            </c:numRef>
          </c:val>
          <c:extLst>
            <c:ext xmlns:c16="http://schemas.microsoft.com/office/drawing/2014/chart" uri="{C3380CC4-5D6E-409C-BE32-E72D297353CC}">
              <c16:uniqueId val="{00000008-B2D5-4E37-92EB-BEB77A91652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lineChart>
        <c:grouping val="standard"/>
        <c:varyColors val="0"/>
        <c:ser>
          <c:idx val="0"/>
          <c:order val="0"/>
          <c:tx>
            <c:strRef>
              <c:f>'Avg Total Energy cost by State'!$B$3:$B$4</c:f>
              <c:strCache>
                <c:ptCount val="2"/>
                <c:pt idx="0">
                  <c:v>Average Total Energy Cost by State </c:v>
                </c:pt>
                <c:pt idx="1">
                  <c:v>Average of Total Energy Cost</c:v>
                </c:pt>
              </c:strCache>
            </c:strRef>
          </c:tx>
          <c:spPr>
            <a:ln w="34925" cap="rnd">
              <a:solidFill>
                <a:schemeClr val="lt1"/>
              </a:solidFill>
              <a:round/>
            </a:ln>
            <a:effectLst>
              <a:outerShdw dist="25400" dir="2700000" algn="tl" rotWithShape="0">
                <a:schemeClr val="accent1"/>
              </a:outerShdw>
            </a:effectLst>
          </c:spPr>
          <c:marker>
            <c:symbol val="none"/>
          </c:marker>
          <c:cat>
            <c:strRef>
              <c:f>'Avg Total Energy cost by State'!$A$5:$A$10</c:f>
              <c:strCache>
                <c:ptCount val="6"/>
                <c:pt idx="0">
                  <c:v>Idaho</c:v>
                </c:pt>
                <c:pt idx="1">
                  <c:v>Maine</c:v>
                </c:pt>
                <c:pt idx="2">
                  <c:v>Montana</c:v>
                </c:pt>
                <c:pt idx="3">
                  <c:v>Washington</c:v>
                </c:pt>
                <c:pt idx="4">
                  <c:v>(blank)</c:v>
                </c:pt>
                <c:pt idx="5">
                  <c:v>Grand Total</c:v>
                </c:pt>
              </c:strCache>
            </c:strRef>
          </c:cat>
          <c:val>
            <c:numRef>
              <c:f>'Avg Total Energy cost by State'!$B$5:$B$10</c:f>
              <c:numCache>
                <c:formatCode>_(* #,##0.00_);_(* \(#,##0.00\);_(* "-"??_);_(@_)</c:formatCode>
                <c:ptCount val="6"/>
                <c:pt idx="0">
                  <c:v>120.43584354600006</c:v>
                </c:pt>
                <c:pt idx="1">
                  <c:v>260.44889705096779</c:v>
                </c:pt>
                <c:pt idx="2">
                  <c:v>89.775068866363668</c:v>
                </c:pt>
                <c:pt idx="3">
                  <c:v>83.859237314465162</c:v>
                </c:pt>
                <c:pt idx="5">
                  <c:v>94.57820934396527</c:v>
                </c:pt>
              </c:numCache>
            </c:numRef>
          </c:val>
          <c:smooth val="0"/>
          <c:extLst>
            <c:ext xmlns:c16="http://schemas.microsoft.com/office/drawing/2014/chart" uri="{C3380CC4-5D6E-409C-BE32-E72D297353CC}">
              <c16:uniqueId val="{00000000-2A93-4CB9-AE19-273F331C6D7D}"/>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1566169839"/>
        <c:axId val="1566178479"/>
      </c:lineChart>
      <c:catAx>
        <c:axId val="1566169839"/>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566178479"/>
        <c:crosses val="autoZero"/>
        <c:auto val="1"/>
        <c:lblAlgn val="ctr"/>
        <c:lblOffset val="100"/>
        <c:noMultiLvlLbl val="0"/>
      </c:catAx>
      <c:valAx>
        <c:axId val="1566178479"/>
        <c:scaling>
          <c:orientation val="minMax"/>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66169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PROJECT-SOLAR REF ACCESS 2035 MODERATE SUPPLY CURVE.xlsx]Total Installed Cap by State!PivotTable3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Installed Cap by State'!$C$4</c:f>
              <c:strCache>
                <c:ptCount val="1"/>
                <c:pt idx="0">
                  <c:v>Sum of Installed Capacity 
(AC -MW)</c:v>
                </c:pt>
              </c:strCache>
            </c:strRef>
          </c:tx>
          <c:spPr>
            <a:solidFill>
              <a:schemeClr val="accent1"/>
            </a:solidFill>
            <a:ln>
              <a:noFill/>
            </a:ln>
            <a:effectLst/>
          </c:spPr>
          <c:invertIfNegative val="0"/>
          <c:cat>
            <c:strRef>
              <c:f>'Total Installed Cap by State'!$B$5:$B$10</c:f>
              <c:strCache>
                <c:ptCount val="5"/>
                <c:pt idx="0">
                  <c:v>Idaho</c:v>
                </c:pt>
                <c:pt idx="1">
                  <c:v>Maine</c:v>
                </c:pt>
                <c:pt idx="2">
                  <c:v>Montana</c:v>
                </c:pt>
                <c:pt idx="3">
                  <c:v>Washington</c:v>
                </c:pt>
                <c:pt idx="4">
                  <c:v>(blank)</c:v>
                </c:pt>
              </c:strCache>
            </c:strRef>
          </c:cat>
          <c:val>
            <c:numRef>
              <c:f>'Total Installed Cap by State'!$C$5:$C$10</c:f>
              <c:numCache>
                <c:formatCode>_(* #,##0.00_);_(* \(#,##0.00\);_(* "-"??_);_(@_)</c:formatCode>
                <c:ptCount val="5"/>
                <c:pt idx="0">
                  <c:v>26873.732170587002</c:v>
                </c:pt>
                <c:pt idx="1">
                  <c:v>57047.560064900004</c:v>
                </c:pt>
                <c:pt idx="2">
                  <c:v>274214.40013926092</c:v>
                </c:pt>
                <c:pt idx="3">
                  <c:v>323587.29466928082</c:v>
                </c:pt>
              </c:numCache>
            </c:numRef>
          </c:val>
          <c:extLst>
            <c:ext xmlns:c16="http://schemas.microsoft.com/office/drawing/2014/chart" uri="{C3380CC4-5D6E-409C-BE32-E72D297353CC}">
              <c16:uniqueId val="{00000000-500F-4759-BA20-392F96DB5404}"/>
            </c:ext>
          </c:extLst>
        </c:ser>
        <c:dLbls>
          <c:showLegendKey val="0"/>
          <c:showVal val="0"/>
          <c:showCatName val="0"/>
          <c:showSerName val="0"/>
          <c:showPercent val="0"/>
          <c:showBubbleSize val="0"/>
        </c:dLbls>
        <c:gapWidth val="150"/>
        <c:axId val="1449819519"/>
        <c:axId val="1449862719"/>
      </c:barChart>
      <c:lineChart>
        <c:grouping val="standard"/>
        <c:varyColors val="0"/>
        <c:ser>
          <c:idx val="1"/>
          <c:order val="1"/>
          <c:tx>
            <c:strRef>
              <c:f>'Total Installed Cap by State'!$D$4</c:f>
              <c:strCache>
                <c:ptCount val="1"/>
                <c:pt idx="0">
                  <c:v>Sum of Installed Capacity 
(DC -MW)</c:v>
                </c:pt>
              </c:strCache>
            </c:strRef>
          </c:tx>
          <c:spPr>
            <a:ln w="28575" cap="rnd">
              <a:solidFill>
                <a:schemeClr val="accent2"/>
              </a:solidFill>
              <a:round/>
            </a:ln>
            <a:effectLst/>
          </c:spPr>
          <c:marker>
            <c:symbol val="none"/>
          </c:marker>
          <c:cat>
            <c:strRef>
              <c:f>'Total Installed Cap by State'!$B$5:$B$10</c:f>
              <c:strCache>
                <c:ptCount val="5"/>
                <c:pt idx="0">
                  <c:v>Idaho</c:v>
                </c:pt>
                <c:pt idx="1">
                  <c:v>Maine</c:v>
                </c:pt>
                <c:pt idx="2">
                  <c:v>Montana</c:v>
                </c:pt>
                <c:pt idx="3">
                  <c:v>Washington</c:v>
                </c:pt>
                <c:pt idx="4">
                  <c:v>(blank)</c:v>
                </c:pt>
              </c:strCache>
            </c:strRef>
          </c:cat>
          <c:val>
            <c:numRef>
              <c:f>'Total Installed Cap by State'!$D$5:$D$10</c:f>
              <c:numCache>
                <c:formatCode>_(* #,##0.00_);_(* \(#,##0.00\);_(* "-"??_);_(@_)</c:formatCode>
                <c:ptCount val="5"/>
                <c:pt idx="0">
                  <c:v>36010.802716811995</c:v>
                </c:pt>
                <c:pt idx="1">
                  <c:v>76443.740802</c:v>
                </c:pt>
                <c:pt idx="2">
                  <c:v>367447.32422082801</c:v>
                </c:pt>
                <c:pt idx="3">
                  <c:v>433607.00253578072</c:v>
                </c:pt>
              </c:numCache>
            </c:numRef>
          </c:val>
          <c:smooth val="0"/>
          <c:extLst>
            <c:ext xmlns:c16="http://schemas.microsoft.com/office/drawing/2014/chart" uri="{C3380CC4-5D6E-409C-BE32-E72D297353CC}">
              <c16:uniqueId val="{00000001-500F-4759-BA20-392F96DB5404}"/>
            </c:ext>
          </c:extLst>
        </c:ser>
        <c:dLbls>
          <c:showLegendKey val="0"/>
          <c:showVal val="0"/>
          <c:showCatName val="0"/>
          <c:showSerName val="0"/>
          <c:showPercent val="0"/>
          <c:showBubbleSize val="0"/>
        </c:dLbls>
        <c:marker val="1"/>
        <c:smooth val="0"/>
        <c:axId val="1449819519"/>
        <c:axId val="1449862719"/>
      </c:lineChart>
      <c:catAx>
        <c:axId val="14498195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862719"/>
        <c:crosses val="autoZero"/>
        <c:auto val="1"/>
        <c:lblAlgn val="ctr"/>
        <c:lblOffset val="100"/>
        <c:noMultiLvlLbl val="0"/>
      </c:catAx>
      <c:valAx>
        <c:axId val="1449862719"/>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819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PROJECT-SOLAR REF ACCESS 2035 MODERATE SUPPLY CURVE.xlsx]Dis to Grid Vs Avg Total Costl!PivotTable7</c:name>
    <c:fmtId val="2"/>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Distance to Grid Vs Avg Total Cost</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sp3d contourW="1905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sp3d contourW="1905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a:sp3d contourW="1905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'Dis to Grid Vs Avg Total Costl'!$C$4</c:f>
              <c:strCache>
                <c:ptCount val="1"/>
                <c:pt idx="0">
                  <c:v>Total</c:v>
                </c:pt>
              </c:strCache>
            </c:strRef>
          </c:tx>
          <c:spPr>
            <a:solidFill>
              <a:schemeClr val="accent1"/>
            </a:solidFill>
            <a:ln w="19050">
              <a:solidFill>
                <a:schemeClr val="lt1"/>
              </a:solidFill>
            </a:ln>
            <a:effectLst/>
            <a:sp3d contourW="19050">
              <a:contourClr>
                <a:schemeClr val="lt1"/>
              </a:contourClr>
            </a:sp3d>
          </c:spPr>
          <c:cat>
            <c:strRef>
              <c:f>'Dis to Grid Vs Avg Total Costl'!$B$5:$B$808</c:f>
              <c:strCache>
                <c:ptCount val="803"/>
                <c:pt idx="0">
                  <c:v>0.00</c:v>
                </c:pt>
                <c:pt idx="1">
                  <c:v>0.09</c:v>
                </c:pt>
                <c:pt idx="2">
                  <c:v>0.13</c:v>
                </c:pt>
                <c:pt idx="3">
                  <c:v>0.18</c:v>
                </c:pt>
                <c:pt idx="4">
                  <c:v>0.22</c:v>
                </c:pt>
                <c:pt idx="5">
                  <c:v>0.25</c:v>
                </c:pt>
                <c:pt idx="6">
                  <c:v>0.27</c:v>
                </c:pt>
                <c:pt idx="7">
                  <c:v>0.31</c:v>
                </c:pt>
                <c:pt idx="8">
                  <c:v>0.34</c:v>
                </c:pt>
                <c:pt idx="9">
                  <c:v>0.36</c:v>
                </c:pt>
                <c:pt idx="10">
                  <c:v>0.38</c:v>
                </c:pt>
                <c:pt idx="11">
                  <c:v>0.43</c:v>
                </c:pt>
                <c:pt idx="12">
                  <c:v>0.45</c:v>
                </c:pt>
                <c:pt idx="13">
                  <c:v>0.47</c:v>
                </c:pt>
                <c:pt idx="14">
                  <c:v>0.49</c:v>
                </c:pt>
                <c:pt idx="15">
                  <c:v>0.51</c:v>
                </c:pt>
                <c:pt idx="16">
                  <c:v>0.52</c:v>
                </c:pt>
                <c:pt idx="17">
                  <c:v>0.56</c:v>
                </c:pt>
                <c:pt idx="18">
                  <c:v>0.58</c:v>
                </c:pt>
                <c:pt idx="19">
                  <c:v>0.61</c:v>
                </c:pt>
                <c:pt idx="20">
                  <c:v>0.63</c:v>
                </c:pt>
                <c:pt idx="21">
                  <c:v>0.65</c:v>
                </c:pt>
                <c:pt idx="22">
                  <c:v>0.67</c:v>
                </c:pt>
                <c:pt idx="23">
                  <c:v>0.69</c:v>
                </c:pt>
                <c:pt idx="24">
                  <c:v>0.70</c:v>
                </c:pt>
                <c:pt idx="25">
                  <c:v>0.74</c:v>
                </c:pt>
                <c:pt idx="26">
                  <c:v>0.76</c:v>
                </c:pt>
                <c:pt idx="27">
                  <c:v>0.78</c:v>
                </c:pt>
                <c:pt idx="28">
                  <c:v>0.85</c:v>
                </c:pt>
                <c:pt idx="29">
                  <c:v>0.87</c:v>
                </c:pt>
                <c:pt idx="30">
                  <c:v>0.90</c:v>
                </c:pt>
                <c:pt idx="31">
                  <c:v>0.92</c:v>
                </c:pt>
                <c:pt idx="32">
                  <c:v>0.94</c:v>
                </c:pt>
                <c:pt idx="33">
                  <c:v>0.96</c:v>
                </c:pt>
                <c:pt idx="34">
                  <c:v>1.00</c:v>
                </c:pt>
                <c:pt idx="35">
                  <c:v>1.03</c:v>
                </c:pt>
                <c:pt idx="36">
                  <c:v>1.05</c:v>
                </c:pt>
                <c:pt idx="37">
                  <c:v>1.07</c:v>
                </c:pt>
                <c:pt idx="38">
                  <c:v>1.08</c:v>
                </c:pt>
                <c:pt idx="39">
                  <c:v>1.10</c:v>
                </c:pt>
                <c:pt idx="40">
                  <c:v>1.16</c:v>
                </c:pt>
                <c:pt idx="41">
                  <c:v>1.18</c:v>
                </c:pt>
                <c:pt idx="42">
                  <c:v>1.19</c:v>
                </c:pt>
                <c:pt idx="43">
                  <c:v>1.20</c:v>
                </c:pt>
                <c:pt idx="44">
                  <c:v>1.21</c:v>
                </c:pt>
                <c:pt idx="45">
                  <c:v>1.23</c:v>
                </c:pt>
                <c:pt idx="46">
                  <c:v>1.25</c:v>
                </c:pt>
                <c:pt idx="47">
                  <c:v>1.28</c:v>
                </c:pt>
                <c:pt idx="48">
                  <c:v>1.29</c:v>
                </c:pt>
                <c:pt idx="49">
                  <c:v>1.30</c:v>
                </c:pt>
                <c:pt idx="50">
                  <c:v>1.32</c:v>
                </c:pt>
                <c:pt idx="51">
                  <c:v>1.36</c:v>
                </c:pt>
                <c:pt idx="52">
                  <c:v>1.36</c:v>
                </c:pt>
                <c:pt idx="53">
                  <c:v>1.38</c:v>
                </c:pt>
                <c:pt idx="54">
                  <c:v>1.41</c:v>
                </c:pt>
                <c:pt idx="55">
                  <c:v>1.43</c:v>
                </c:pt>
                <c:pt idx="56">
                  <c:v>1.44</c:v>
                </c:pt>
                <c:pt idx="57">
                  <c:v>1.45</c:v>
                </c:pt>
                <c:pt idx="58">
                  <c:v>1.48</c:v>
                </c:pt>
                <c:pt idx="59">
                  <c:v>1.52</c:v>
                </c:pt>
                <c:pt idx="60">
                  <c:v>1.54</c:v>
                </c:pt>
                <c:pt idx="61">
                  <c:v>1.54</c:v>
                </c:pt>
                <c:pt idx="62">
                  <c:v>1.55</c:v>
                </c:pt>
                <c:pt idx="63">
                  <c:v>1.56</c:v>
                </c:pt>
                <c:pt idx="64">
                  <c:v>1.57</c:v>
                </c:pt>
                <c:pt idx="65">
                  <c:v>1.67</c:v>
                </c:pt>
                <c:pt idx="66">
                  <c:v>1.70</c:v>
                </c:pt>
                <c:pt idx="67">
                  <c:v>1.71</c:v>
                </c:pt>
                <c:pt idx="68">
                  <c:v>1.72</c:v>
                </c:pt>
                <c:pt idx="69">
                  <c:v>1.75</c:v>
                </c:pt>
                <c:pt idx="70">
                  <c:v>1.78</c:v>
                </c:pt>
                <c:pt idx="71">
                  <c:v>1.81</c:v>
                </c:pt>
                <c:pt idx="72">
                  <c:v>1.83</c:v>
                </c:pt>
                <c:pt idx="73">
                  <c:v>1.86</c:v>
                </c:pt>
                <c:pt idx="74">
                  <c:v>1.90</c:v>
                </c:pt>
                <c:pt idx="75">
                  <c:v>1.92</c:v>
                </c:pt>
                <c:pt idx="76">
                  <c:v>1.93</c:v>
                </c:pt>
                <c:pt idx="77">
                  <c:v>1.96</c:v>
                </c:pt>
                <c:pt idx="78">
                  <c:v>1.98</c:v>
                </c:pt>
                <c:pt idx="79">
                  <c:v>1.99</c:v>
                </c:pt>
                <c:pt idx="80">
                  <c:v>2.00</c:v>
                </c:pt>
                <c:pt idx="81">
                  <c:v>2.08</c:v>
                </c:pt>
                <c:pt idx="82">
                  <c:v>2.14</c:v>
                </c:pt>
                <c:pt idx="83">
                  <c:v>2.14</c:v>
                </c:pt>
                <c:pt idx="84">
                  <c:v>2.16</c:v>
                </c:pt>
                <c:pt idx="85">
                  <c:v>2.18</c:v>
                </c:pt>
                <c:pt idx="86">
                  <c:v>2.19</c:v>
                </c:pt>
                <c:pt idx="87">
                  <c:v>2.19</c:v>
                </c:pt>
                <c:pt idx="88">
                  <c:v>2.21</c:v>
                </c:pt>
                <c:pt idx="89">
                  <c:v>2.25</c:v>
                </c:pt>
                <c:pt idx="90">
                  <c:v>2.28</c:v>
                </c:pt>
                <c:pt idx="91">
                  <c:v>2.31</c:v>
                </c:pt>
                <c:pt idx="92">
                  <c:v>2.32</c:v>
                </c:pt>
                <c:pt idx="93">
                  <c:v>2.32</c:v>
                </c:pt>
                <c:pt idx="94">
                  <c:v>2.34</c:v>
                </c:pt>
                <c:pt idx="95">
                  <c:v>2.35</c:v>
                </c:pt>
                <c:pt idx="96">
                  <c:v>2.41</c:v>
                </c:pt>
                <c:pt idx="97">
                  <c:v>2.42</c:v>
                </c:pt>
                <c:pt idx="98">
                  <c:v>2.44</c:v>
                </c:pt>
                <c:pt idx="99">
                  <c:v>2.48</c:v>
                </c:pt>
                <c:pt idx="100">
                  <c:v>2.50</c:v>
                </c:pt>
                <c:pt idx="101">
                  <c:v>2.50</c:v>
                </c:pt>
                <c:pt idx="102">
                  <c:v>2.53</c:v>
                </c:pt>
                <c:pt idx="103">
                  <c:v>2.55</c:v>
                </c:pt>
                <c:pt idx="104">
                  <c:v>2.57</c:v>
                </c:pt>
                <c:pt idx="105">
                  <c:v>2.59</c:v>
                </c:pt>
                <c:pt idx="106">
                  <c:v>2.63</c:v>
                </c:pt>
                <c:pt idx="107">
                  <c:v>2.70</c:v>
                </c:pt>
                <c:pt idx="108">
                  <c:v>2.77</c:v>
                </c:pt>
                <c:pt idx="109">
                  <c:v>2.80</c:v>
                </c:pt>
                <c:pt idx="110">
                  <c:v>2.88</c:v>
                </c:pt>
                <c:pt idx="111">
                  <c:v>2.90</c:v>
                </c:pt>
                <c:pt idx="112">
                  <c:v>2.92</c:v>
                </c:pt>
                <c:pt idx="113">
                  <c:v>2.94</c:v>
                </c:pt>
                <c:pt idx="114">
                  <c:v>2.95</c:v>
                </c:pt>
                <c:pt idx="115">
                  <c:v>2.97</c:v>
                </c:pt>
                <c:pt idx="116">
                  <c:v>2.98</c:v>
                </c:pt>
                <c:pt idx="117">
                  <c:v>2.98</c:v>
                </c:pt>
                <c:pt idx="118">
                  <c:v>3.00</c:v>
                </c:pt>
                <c:pt idx="119">
                  <c:v>3.00</c:v>
                </c:pt>
                <c:pt idx="120">
                  <c:v>3.06</c:v>
                </c:pt>
                <c:pt idx="121">
                  <c:v>3.09</c:v>
                </c:pt>
                <c:pt idx="122">
                  <c:v>3.09</c:v>
                </c:pt>
                <c:pt idx="123">
                  <c:v>3.13</c:v>
                </c:pt>
                <c:pt idx="124">
                  <c:v>3.14</c:v>
                </c:pt>
                <c:pt idx="125">
                  <c:v>3.18</c:v>
                </c:pt>
                <c:pt idx="126">
                  <c:v>3.22</c:v>
                </c:pt>
                <c:pt idx="127">
                  <c:v>3.22</c:v>
                </c:pt>
                <c:pt idx="128">
                  <c:v>3.24</c:v>
                </c:pt>
                <c:pt idx="129">
                  <c:v>3.27</c:v>
                </c:pt>
                <c:pt idx="130">
                  <c:v>3.28</c:v>
                </c:pt>
                <c:pt idx="131">
                  <c:v>3.30</c:v>
                </c:pt>
                <c:pt idx="132">
                  <c:v>3.33</c:v>
                </c:pt>
                <c:pt idx="133">
                  <c:v>3.33</c:v>
                </c:pt>
                <c:pt idx="134">
                  <c:v>3.33</c:v>
                </c:pt>
                <c:pt idx="135">
                  <c:v>3.36</c:v>
                </c:pt>
                <c:pt idx="136">
                  <c:v>3.39</c:v>
                </c:pt>
                <c:pt idx="137">
                  <c:v>3.43</c:v>
                </c:pt>
                <c:pt idx="138">
                  <c:v>3.44</c:v>
                </c:pt>
                <c:pt idx="139">
                  <c:v>3.45</c:v>
                </c:pt>
                <c:pt idx="140">
                  <c:v>3.48</c:v>
                </c:pt>
                <c:pt idx="141">
                  <c:v>3.57</c:v>
                </c:pt>
                <c:pt idx="142">
                  <c:v>3.59</c:v>
                </c:pt>
                <c:pt idx="143">
                  <c:v>3.61</c:v>
                </c:pt>
                <c:pt idx="144">
                  <c:v>3.61</c:v>
                </c:pt>
                <c:pt idx="145">
                  <c:v>3.73</c:v>
                </c:pt>
                <c:pt idx="146">
                  <c:v>3.75</c:v>
                </c:pt>
                <c:pt idx="147">
                  <c:v>3.84</c:v>
                </c:pt>
                <c:pt idx="148">
                  <c:v>3.88</c:v>
                </c:pt>
                <c:pt idx="149">
                  <c:v>3.90</c:v>
                </c:pt>
                <c:pt idx="150">
                  <c:v>3.92</c:v>
                </c:pt>
                <c:pt idx="151">
                  <c:v>3.92</c:v>
                </c:pt>
                <c:pt idx="152">
                  <c:v>3.98</c:v>
                </c:pt>
                <c:pt idx="153">
                  <c:v>3.99</c:v>
                </c:pt>
                <c:pt idx="154">
                  <c:v>3.99</c:v>
                </c:pt>
                <c:pt idx="155">
                  <c:v>4.00</c:v>
                </c:pt>
                <c:pt idx="156">
                  <c:v>4.01</c:v>
                </c:pt>
                <c:pt idx="157">
                  <c:v>4.02</c:v>
                </c:pt>
                <c:pt idx="158">
                  <c:v>4.04</c:v>
                </c:pt>
                <c:pt idx="159">
                  <c:v>4.12</c:v>
                </c:pt>
                <c:pt idx="160">
                  <c:v>4.14</c:v>
                </c:pt>
                <c:pt idx="161">
                  <c:v>4.17</c:v>
                </c:pt>
                <c:pt idx="162">
                  <c:v>4.20</c:v>
                </c:pt>
                <c:pt idx="163">
                  <c:v>4.21</c:v>
                </c:pt>
                <c:pt idx="164">
                  <c:v>4.25</c:v>
                </c:pt>
                <c:pt idx="165">
                  <c:v>4.27</c:v>
                </c:pt>
                <c:pt idx="166">
                  <c:v>4.27</c:v>
                </c:pt>
                <c:pt idx="167">
                  <c:v>4.29</c:v>
                </c:pt>
                <c:pt idx="168">
                  <c:v>4.35</c:v>
                </c:pt>
                <c:pt idx="169">
                  <c:v>4.38</c:v>
                </c:pt>
                <c:pt idx="170">
                  <c:v>4.43</c:v>
                </c:pt>
                <c:pt idx="171">
                  <c:v>4.44</c:v>
                </c:pt>
                <c:pt idx="172">
                  <c:v>4.53</c:v>
                </c:pt>
                <c:pt idx="173">
                  <c:v>4.55</c:v>
                </c:pt>
                <c:pt idx="174">
                  <c:v>4.56</c:v>
                </c:pt>
                <c:pt idx="175">
                  <c:v>4.58</c:v>
                </c:pt>
                <c:pt idx="176">
                  <c:v>4.59</c:v>
                </c:pt>
                <c:pt idx="177">
                  <c:v>4.62</c:v>
                </c:pt>
                <c:pt idx="178">
                  <c:v>4.66</c:v>
                </c:pt>
                <c:pt idx="179">
                  <c:v>4.71</c:v>
                </c:pt>
                <c:pt idx="180">
                  <c:v>4.73</c:v>
                </c:pt>
                <c:pt idx="181">
                  <c:v>4.78</c:v>
                </c:pt>
                <c:pt idx="182">
                  <c:v>4.78</c:v>
                </c:pt>
                <c:pt idx="183">
                  <c:v>4.83</c:v>
                </c:pt>
                <c:pt idx="184">
                  <c:v>4.84</c:v>
                </c:pt>
                <c:pt idx="185">
                  <c:v>4.85</c:v>
                </c:pt>
                <c:pt idx="186">
                  <c:v>4.86</c:v>
                </c:pt>
                <c:pt idx="187">
                  <c:v>4.93</c:v>
                </c:pt>
                <c:pt idx="188">
                  <c:v>4.94</c:v>
                </c:pt>
                <c:pt idx="189">
                  <c:v>4.94</c:v>
                </c:pt>
                <c:pt idx="190">
                  <c:v>4.99</c:v>
                </c:pt>
                <c:pt idx="191">
                  <c:v>5.03</c:v>
                </c:pt>
                <c:pt idx="192">
                  <c:v>5.10</c:v>
                </c:pt>
                <c:pt idx="193">
                  <c:v>5.14</c:v>
                </c:pt>
                <c:pt idx="194">
                  <c:v>5.17</c:v>
                </c:pt>
                <c:pt idx="195">
                  <c:v>5.18</c:v>
                </c:pt>
                <c:pt idx="196">
                  <c:v>5.22</c:v>
                </c:pt>
                <c:pt idx="197">
                  <c:v>5.25</c:v>
                </c:pt>
                <c:pt idx="198">
                  <c:v>5.27</c:v>
                </c:pt>
                <c:pt idx="199">
                  <c:v>5.37</c:v>
                </c:pt>
                <c:pt idx="200">
                  <c:v>5.40</c:v>
                </c:pt>
                <c:pt idx="201">
                  <c:v>5.43</c:v>
                </c:pt>
                <c:pt idx="202">
                  <c:v>5.45</c:v>
                </c:pt>
                <c:pt idx="203">
                  <c:v>5.50</c:v>
                </c:pt>
                <c:pt idx="204">
                  <c:v>5.51</c:v>
                </c:pt>
                <c:pt idx="205">
                  <c:v>5.53</c:v>
                </c:pt>
                <c:pt idx="206">
                  <c:v>5.53</c:v>
                </c:pt>
                <c:pt idx="207">
                  <c:v>5.54</c:v>
                </c:pt>
                <c:pt idx="208">
                  <c:v>5.58</c:v>
                </c:pt>
                <c:pt idx="209">
                  <c:v>5.66</c:v>
                </c:pt>
                <c:pt idx="210">
                  <c:v>5.67</c:v>
                </c:pt>
                <c:pt idx="211">
                  <c:v>5.69</c:v>
                </c:pt>
                <c:pt idx="212">
                  <c:v>5.72</c:v>
                </c:pt>
                <c:pt idx="213">
                  <c:v>5.77</c:v>
                </c:pt>
                <c:pt idx="214">
                  <c:v>5.77</c:v>
                </c:pt>
                <c:pt idx="215">
                  <c:v>5.80</c:v>
                </c:pt>
                <c:pt idx="216">
                  <c:v>5.81</c:v>
                </c:pt>
                <c:pt idx="217">
                  <c:v>5.87</c:v>
                </c:pt>
                <c:pt idx="218">
                  <c:v>5.90</c:v>
                </c:pt>
                <c:pt idx="219">
                  <c:v>5.93</c:v>
                </c:pt>
                <c:pt idx="220">
                  <c:v>5.98</c:v>
                </c:pt>
                <c:pt idx="221">
                  <c:v>6.03</c:v>
                </c:pt>
                <c:pt idx="222">
                  <c:v>6.10</c:v>
                </c:pt>
                <c:pt idx="223">
                  <c:v>6.10</c:v>
                </c:pt>
                <c:pt idx="224">
                  <c:v>6.11</c:v>
                </c:pt>
                <c:pt idx="225">
                  <c:v>6.12</c:v>
                </c:pt>
                <c:pt idx="226">
                  <c:v>6.12</c:v>
                </c:pt>
                <c:pt idx="227">
                  <c:v>6.16</c:v>
                </c:pt>
                <c:pt idx="228">
                  <c:v>6.17</c:v>
                </c:pt>
                <c:pt idx="229">
                  <c:v>6.27</c:v>
                </c:pt>
                <c:pt idx="230">
                  <c:v>6.38</c:v>
                </c:pt>
                <c:pt idx="231">
                  <c:v>6.50</c:v>
                </c:pt>
                <c:pt idx="232">
                  <c:v>6.58</c:v>
                </c:pt>
                <c:pt idx="233">
                  <c:v>6.61</c:v>
                </c:pt>
                <c:pt idx="234">
                  <c:v>6.67</c:v>
                </c:pt>
                <c:pt idx="235">
                  <c:v>6.69</c:v>
                </c:pt>
                <c:pt idx="236">
                  <c:v>6.71</c:v>
                </c:pt>
                <c:pt idx="237">
                  <c:v>6.73</c:v>
                </c:pt>
                <c:pt idx="238">
                  <c:v>6.79</c:v>
                </c:pt>
                <c:pt idx="239">
                  <c:v>6.80</c:v>
                </c:pt>
                <c:pt idx="240">
                  <c:v>6.80</c:v>
                </c:pt>
                <c:pt idx="241">
                  <c:v>6.81</c:v>
                </c:pt>
                <c:pt idx="242">
                  <c:v>6.81</c:v>
                </c:pt>
                <c:pt idx="243">
                  <c:v>6.84</c:v>
                </c:pt>
                <c:pt idx="244">
                  <c:v>6.86</c:v>
                </c:pt>
                <c:pt idx="245">
                  <c:v>6.88</c:v>
                </c:pt>
                <c:pt idx="246">
                  <c:v>6.90</c:v>
                </c:pt>
                <c:pt idx="247">
                  <c:v>6.91</c:v>
                </c:pt>
                <c:pt idx="248">
                  <c:v>6.93</c:v>
                </c:pt>
                <c:pt idx="249">
                  <c:v>7.00</c:v>
                </c:pt>
                <c:pt idx="250">
                  <c:v>7.04</c:v>
                </c:pt>
                <c:pt idx="251">
                  <c:v>7.05</c:v>
                </c:pt>
                <c:pt idx="252">
                  <c:v>7.06</c:v>
                </c:pt>
                <c:pt idx="253">
                  <c:v>7.06</c:v>
                </c:pt>
                <c:pt idx="254">
                  <c:v>7.13</c:v>
                </c:pt>
                <c:pt idx="255">
                  <c:v>7.18</c:v>
                </c:pt>
                <c:pt idx="256">
                  <c:v>7.19</c:v>
                </c:pt>
                <c:pt idx="257">
                  <c:v>7.25</c:v>
                </c:pt>
                <c:pt idx="258">
                  <c:v>7.32</c:v>
                </c:pt>
                <c:pt idx="259">
                  <c:v>7.33</c:v>
                </c:pt>
                <c:pt idx="260">
                  <c:v>7.35</c:v>
                </c:pt>
                <c:pt idx="261">
                  <c:v>7.36</c:v>
                </c:pt>
                <c:pt idx="262">
                  <c:v>7.37</c:v>
                </c:pt>
                <c:pt idx="263">
                  <c:v>7.38</c:v>
                </c:pt>
                <c:pt idx="264">
                  <c:v>7.42</c:v>
                </c:pt>
                <c:pt idx="265">
                  <c:v>7.47</c:v>
                </c:pt>
                <c:pt idx="266">
                  <c:v>7.50</c:v>
                </c:pt>
                <c:pt idx="267">
                  <c:v>7.53</c:v>
                </c:pt>
                <c:pt idx="268">
                  <c:v>7.53</c:v>
                </c:pt>
                <c:pt idx="269">
                  <c:v>7.54</c:v>
                </c:pt>
                <c:pt idx="270">
                  <c:v>7.55</c:v>
                </c:pt>
                <c:pt idx="271">
                  <c:v>7.55</c:v>
                </c:pt>
                <c:pt idx="272">
                  <c:v>7.59</c:v>
                </c:pt>
                <c:pt idx="273">
                  <c:v>7.60</c:v>
                </c:pt>
                <c:pt idx="274">
                  <c:v>7.64</c:v>
                </c:pt>
                <c:pt idx="275">
                  <c:v>7.68</c:v>
                </c:pt>
                <c:pt idx="276">
                  <c:v>7.71</c:v>
                </c:pt>
                <c:pt idx="277">
                  <c:v>7.75</c:v>
                </c:pt>
                <c:pt idx="278">
                  <c:v>7.79</c:v>
                </c:pt>
                <c:pt idx="279">
                  <c:v>7.83</c:v>
                </c:pt>
                <c:pt idx="280">
                  <c:v>7.86</c:v>
                </c:pt>
                <c:pt idx="281">
                  <c:v>7.87</c:v>
                </c:pt>
                <c:pt idx="282">
                  <c:v>7.88</c:v>
                </c:pt>
                <c:pt idx="283">
                  <c:v>7.90</c:v>
                </c:pt>
                <c:pt idx="284">
                  <c:v>7.93</c:v>
                </c:pt>
                <c:pt idx="285">
                  <c:v>7.96</c:v>
                </c:pt>
                <c:pt idx="286">
                  <c:v>7.97</c:v>
                </c:pt>
                <c:pt idx="287">
                  <c:v>7.99</c:v>
                </c:pt>
                <c:pt idx="288">
                  <c:v>8.01</c:v>
                </c:pt>
                <c:pt idx="289">
                  <c:v>8.03</c:v>
                </c:pt>
                <c:pt idx="290">
                  <c:v>8.09</c:v>
                </c:pt>
                <c:pt idx="291">
                  <c:v>8.15</c:v>
                </c:pt>
                <c:pt idx="292">
                  <c:v>8.18</c:v>
                </c:pt>
                <c:pt idx="293">
                  <c:v>8.19</c:v>
                </c:pt>
                <c:pt idx="294">
                  <c:v>8.21</c:v>
                </c:pt>
                <c:pt idx="295">
                  <c:v>8.27</c:v>
                </c:pt>
                <c:pt idx="296">
                  <c:v>8.29</c:v>
                </c:pt>
                <c:pt idx="297">
                  <c:v>8.30</c:v>
                </c:pt>
                <c:pt idx="298">
                  <c:v>8.44</c:v>
                </c:pt>
                <c:pt idx="299">
                  <c:v>8.54</c:v>
                </c:pt>
                <c:pt idx="300">
                  <c:v>8.58</c:v>
                </c:pt>
                <c:pt idx="301">
                  <c:v>8.74</c:v>
                </c:pt>
                <c:pt idx="302">
                  <c:v>8.87</c:v>
                </c:pt>
                <c:pt idx="303">
                  <c:v>8.97</c:v>
                </c:pt>
                <c:pt idx="304">
                  <c:v>8.99</c:v>
                </c:pt>
                <c:pt idx="305">
                  <c:v>9.06</c:v>
                </c:pt>
                <c:pt idx="306">
                  <c:v>9.11</c:v>
                </c:pt>
                <c:pt idx="307">
                  <c:v>9.17</c:v>
                </c:pt>
                <c:pt idx="308">
                  <c:v>9.19</c:v>
                </c:pt>
                <c:pt idx="309">
                  <c:v>9.27</c:v>
                </c:pt>
                <c:pt idx="310">
                  <c:v>9.27</c:v>
                </c:pt>
                <c:pt idx="311">
                  <c:v>9.34</c:v>
                </c:pt>
                <c:pt idx="312">
                  <c:v>9.36</c:v>
                </c:pt>
                <c:pt idx="313">
                  <c:v>9.39</c:v>
                </c:pt>
                <c:pt idx="314">
                  <c:v>9.41</c:v>
                </c:pt>
                <c:pt idx="315">
                  <c:v>9.52</c:v>
                </c:pt>
                <c:pt idx="316">
                  <c:v>9.55</c:v>
                </c:pt>
                <c:pt idx="317">
                  <c:v>9.57</c:v>
                </c:pt>
                <c:pt idx="318">
                  <c:v>9.63</c:v>
                </c:pt>
                <c:pt idx="319">
                  <c:v>9.64</c:v>
                </c:pt>
                <c:pt idx="320">
                  <c:v>9.71</c:v>
                </c:pt>
                <c:pt idx="321">
                  <c:v>9.74</c:v>
                </c:pt>
                <c:pt idx="322">
                  <c:v>9.74</c:v>
                </c:pt>
                <c:pt idx="323">
                  <c:v>9.77</c:v>
                </c:pt>
                <c:pt idx="324">
                  <c:v>9.78</c:v>
                </c:pt>
                <c:pt idx="325">
                  <c:v>9.83</c:v>
                </c:pt>
                <c:pt idx="326">
                  <c:v>9.83</c:v>
                </c:pt>
                <c:pt idx="327">
                  <c:v>9.88</c:v>
                </c:pt>
                <c:pt idx="328">
                  <c:v>9.93</c:v>
                </c:pt>
                <c:pt idx="329">
                  <c:v>10.01</c:v>
                </c:pt>
                <c:pt idx="330">
                  <c:v>10.05</c:v>
                </c:pt>
                <c:pt idx="331">
                  <c:v>10.09</c:v>
                </c:pt>
                <c:pt idx="332">
                  <c:v>10.09</c:v>
                </c:pt>
                <c:pt idx="333">
                  <c:v>10.11</c:v>
                </c:pt>
                <c:pt idx="334">
                  <c:v>10.12</c:v>
                </c:pt>
                <c:pt idx="335">
                  <c:v>10.12</c:v>
                </c:pt>
                <c:pt idx="336">
                  <c:v>10.14</c:v>
                </c:pt>
                <c:pt idx="337">
                  <c:v>10.15</c:v>
                </c:pt>
                <c:pt idx="338">
                  <c:v>10.21</c:v>
                </c:pt>
                <c:pt idx="339">
                  <c:v>10.22</c:v>
                </c:pt>
                <c:pt idx="340">
                  <c:v>10.24</c:v>
                </c:pt>
                <c:pt idx="341">
                  <c:v>10.33</c:v>
                </c:pt>
                <c:pt idx="342">
                  <c:v>10.36</c:v>
                </c:pt>
                <c:pt idx="343">
                  <c:v>10.37</c:v>
                </c:pt>
                <c:pt idx="344">
                  <c:v>10.37</c:v>
                </c:pt>
                <c:pt idx="345">
                  <c:v>10.49</c:v>
                </c:pt>
                <c:pt idx="346">
                  <c:v>10.58</c:v>
                </c:pt>
                <c:pt idx="347">
                  <c:v>10.63</c:v>
                </c:pt>
                <c:pt idx="348">
                  <c:v>10.63</c:v>
                </c:pt>
                <c:pt idx="349">
                  <c:v>10.71</c:v>
                </c:pt>
                <c:pt idx="350">
                  <c:v>10.93</c:v>
                </c:pt>
                <c:pt idx="351">
                  <c:v>11.00</c:v>
                </c:pt>
                <c:pt idx="352">
                  <c:v>11.00</c:v>
                </c:pt>
                <c:pt idx="353">
                  <c:v>11.02</c:v>
                </c:pt>
                <c:pt idx="354">
                  <c:v>11.03</c:v>
                </c:pt>
                <c:pt idx="355">
                  <c:v>11.03</c:v>
                </c:pt>
                <c:pt idx="356">
                  <c:v>11.05</c:v>
                </c:pt>
                <c:pt idx="357">
                  <c:v>11.08</c:v>
                </c:pt>
                <c:pt idx="358">
                  <c:v>11.10</c:v>
                </c:pt>
                <c:pt idx="359">
                  <c:v>11.18</c:v>
                </c:pt>
                <c:pt idx="360">
                  <c:v>11.19</c:v>
                </c:pt>
                <c:pt idx="361">
                  <c:v>11.21</c:v>
                </c:pt>
                <c:pt idx="362">
                  <c:v>11.22</c:v>
                </c:pt>
                <c:pt idx="363">
                  <c:v>11.24</c:v>
                </c:pt>
                <c:pt idx="364">
                  <c:v>11.25</c:v>
                </c:pt>
                <c:pt idx="365">
                  <c:v>11.26</c:v>
                </c:pt>
                <c:pt idx="366">
                  <c:v>11.32</c:v>
                </c:pt>
                <c:pt idx="367">
                  <c:v>11.44</c:v>
                </c:pt>
                <c:pt idx="368">
                  <c:v>11.54</c:v>
                </c:pt>
                <c:pt idx="369">
                  <c:v>11.55</c:v>
                </c:pt>
                <c:pt idx="370">
                  <c:v>11.57</c:v>
                </c:pt>
                <c:pt idx="371">
                  <c:v>11.61</c:v>
                </c:pt>
                <c:pt idx="372">
                  <c:v>11.64</c:v>
                </c:pt>
                <c:pt idx="373">
                  <c:v>11.66</c:v>
                </c:pt>
                <c:pt idx="374">
                  <c:v>11.67</c:v>
                </c:pt>
                <c:pt idx="375">
                  <c:v>11.72</c:v>
                </c:pt>
                <c:pt idx="376">
                  <c:v>11.73</c:v>
                </c:pt>
                <c:pt idx="377">
                  <c:v>11.76</c:v>
                </c:pt>
                <c:pt idx="378">
                  <c:v>11.83</c:v>
                </c:pt>
                <c:pt idx="379">
                  <c:v>11.86</c:v>
                </c:pt>
                <c:pt idx="380">
                  <c:v>11.89</c:v>
                </c:pt>
                <c:pt idx="381">
                  <c:v>11.92</c:v>
                </c:pt>
                <c:pt idx="382">
                  <c:v>12.02</c:v>
                </c:pt>
                <c:pt idx="383">
                  <c:v>12.10</c:v>
                </c:pt>
                <c:pt idx="384">
                  <c:v>12.11</c:v>
                </c:pt>
                <c:pt idx="385">
                  <c:v>12.12</c:v>
                </c:pt>
                <c:pt idx="386">
                  <c:v>12.21</c:v>
                </c:pt>
                <c:pt idx="387">
                  <c:v>12.21</c:v>
                </c:pt>
                <c:pt idx="388">
                  <c:v>12.26</c:v>
                </c:pt>
                <c:pt idx="389">
                  <c:v>12.31</c:v>
                </c:pt>
                <c:pt idx="390">
                  <c:v>12.31</c:v>
                </c:pt>
                <c:pt idx="391">
                  <c:v>12.31</c:v>
                </c:pt>
                <c:pt idx="392">
                  <c:v>12.32</c:v>
                </c:pt>
                <c:pt idx="393">
                  <c:v>12.37</c:v>
                </c:pt>
                <c:pt idx="394">
                  <c:v>12.52</c:v>
                </c:pt>
                <c:pt idx="395">
                  <c:v>12.65</c:v>
                </c:pt>
                <c:pt idx="396">
                  <c:v>12.69</c:v>
                </c:pt>
                <c:pt idx="397">
                  <c:v>12.76</c:v>
                </c:pt>
                <c:pt idx="398">
                  <c:v>12.84</c:v>
                </c:pt>
                <c:pt idx="399">
                  <c:v>12.88</c:v>
                </c:pt>
                <c:pt idx="400">
                  <c:v>12.92</c:v>
                </c:pt>
                <c:pt idx="401">
                  <c:v>12.95</c:v>
                </c:pt>
                <c:pt idx="402">
                  <c:v>13.06</c:v>
                </c:pt>
                <c:pt idx="403">
                  <c:v>13.14</c:v>
                </c:pt>
                <c:pt idx="404">
                  <c:v>13.20</c:v>
                </c:pt>
                <c:pt idx="405">
                  <c:v>13.26</c:v>
                </c:pt>
                <c:pt idx="406">
                  <c:v>13.38</c:v>
                </c:pt>
                <c:pt idx="407">
                  <c:v>13.45</c:v>
                </c:pt>
                <c:pt idx="408">
                  <c:v>13.46</c:v>
                </c:pt>
                <c:pt idx="409">
                  <c:v>13.51</c:v>
                </c:pt>
                <c:pt idx="410">
                  <c:v>13.72</c:v>
                </c:pt>
                <c:pt idx="411">
                  <c:v>13.73</c:v>
                </c:pt>
                <c:pt idx="412">
                  <c:v>13.74</c:v>
                </c:pt>
                <c:pt idx="413">
                  <c:v>13.74</c:v>
                </c:pt>
                <c:pt idx="414">
                  <c:v>13.78</c:v>
                </c:pt>
                <c:pt idx="415">
                  <c:v>13.92</c:v>
                </c:pt>
                <c:pt idx="416">
                  <c:v>13.97</c:v>
                </c:pt>
                <c:pt idx="417">
                  <c:v>14.03</c:v>
                </c:pt>
                <c:pt idx="418">
                  <c:v>14.16</c:v>
                </c:pt>
                <c:pt idx="419">
                  <c:v>14.25</c:v>
                </c:pt>
                <c:pt idx="420">
                  <c:v>14.35</c:v>
                </c:pt>
                <c:pt idx="421">
                  <c:v>14.37</c:v>
                </c:pt>
                <c:pt idx="422">
                  <c:v>14.51</c:v>
                </c:pt>
                <c:pt idx="423">
                  <c:v>14.55</c:v>
                </c:pt>
                <c:pt idx="424">
                  <c:v>14.56</c:v>
                </c:pt>
                <c:pt idx="425">
                  <c:v>14.62</c:v>
                </c:pt>
                <c:pt idx="426">
                  <c:v>14.70</c:v>
                </c:pt>
                <c:pt idx="427">
                  <c:v>14.74</c:v>
                </c:pt>
                <c:pt idx="428">
                  <c:v>14.81</c:v>
                </c:pt>
                <c:pt idx="429">
                  <c:v>14.88</c:v>
                </c:pt>
                <c:pt idx="430">
                  <c:v>14.90</c:v>
                </c:pt>
                <c:pt idx="431">
                  <c:v>15.14</c:v>
                </c:pt>
                <c:pt idx="432">
                  <c:v>15.20</c:v>
                </c:pt>
                <c:pt idx="433">
                  <c:v>15.23</c:v>
                </c:pt>
                <c:pt idx="434">
                  <c:v>15.31</c:v>
                </c:pt>
                <c:pt idx="435">
                  <c:v>15.35</c:v>
                </c:pt>
                <c:pt idx="436">
                  <c:v>15.37</c:v>
                </c:pt>
                <c:pt idx="437">
                  <c:v>15.39</c:v>
                </c:pt>
                <c:pt idx="438">
                  <c:v>15.40</c:v>
                </c:pt>
                <c:pt idx="439">
                  <c:v>15.40</c:v>
                </c:pt>
                <c:pt idx="440">
                  <c:v>15.40</c:v>
                </c:pt>
                <c:pt idx="441">
                  <c:v>15.41</c:v>
                </c:pt>
                <c:pt idx="442">
                  <c:v>15.50</c:v>
                </c:pt>
                <c:pt idx="443">
                  <c:v>15.53</c:v>
                </c:pt>
                <c:pt idx="444">
                  <c:v>15.58</c:v>
                </c:pt>
                <c:pt idx="445">
                  <c:v>15.61</c:v>
                </c:pt>
                <c:pt idx="446">
                  <c:v>15.69</c:v>
                </c:pt>
                <c:pt idx="447">
                  <c:v>15.70</c:v>
                </c:pt>
                <c:pt idx="448">
                  <c:v>15.84</c:v>
                </c:pt>
                <c:pt idx="449">
                  <c:v>15.96</c:v>
                </c:pt>
                <c:pt idx="450">
                  <c:v>16.00</c:v>
                </c:pt>
                <c:pt idx="451">
                  <c:v>16.07</c:v>
                </c:pt>
                <c:pt idx="452">
                  <c:v>16.16</c:v>
                </c:pt>
                <c:pt idx="453">
                  <c:v>16.17</c:v>
                </c:pt>
                <c:pt idx="454">
                  <c:v>16.18</c:v>
                </c:pt>
                <c:pt idx="455">
                  <c:v>16.19</c:v>
                </c:pt>
                <c:pt idx="456">
                  <c:v>16.23</c:v>
                </c:pt>
                <c:pt idx="457">
                  <c:v>16.30</c:v>
                </c:pt>
                <c:pt idx="458">
                  <c:v>16.39</c:v>
                </c:pt>
                <c:pt idx="459">
                  <c:v>16.51</c:v>
                </c:pt>
                <c:pt idx="460">
                  <c:v>16.57</c:v>
                </c:pt>
                <c:pt idx="461">
                  <c:v>16.57</c:v>
                </c:pt>
                <c:pt idx="462">
                  <c:v>16.61</c:v>
                </c:pt>
                <c:pt idx="463">
                  <c:v>16.66</c:v>
                </c:pt>
                <c:pt idx="464">
                  <c:v>16.67</c:v>
                </c:pt>
                <c:pt idx="465">
                  <c:v>16.67</c:v>
                </c:pt>
                <c:pt idx="466">
                  <c:v>16.70</c:v>
                </c:pt>
                <c:pt idx="467">
                  <c:v>16.71</c:v>
                </c:pt>
                <c:pt idx="468">
                  <c:v>16.75</c:v>
                </c:pt>
                <c:pt idx="469">
                  <c:v>16.84</c:v>
                </c:pt>
                <c:pt idx="470">
                  <c:v>16.89</c:v>
                </c:pt>
                <c:pt idx="471">
                  <c:v>16.92</c:v>
                </c:pt>
                <c:pt idx="472">
                  <c:v>16.92</c:v>
                </c:pt>
                <c:pt idx="473">
                  <c:v>16.94</c:v>
                </c:pt>
                <c:pt idx="474">
                  <c:v>16.95</c:v>
                </c:pt>
                <c:pt idx="475">
                  <c:v>17.18</c:v>
                </c:pt>
                <c:pt idx="476">
                  <c:v>17.24</c:v>
                </c:pt>
                <c:pt idx="477">
                  <c:v>17.42</c:v>
                </c:pt>
                <c:pt idx="478">
                  <c:v>17.45</c:v>
                </c:pt>
                <c:pt idx="479">
                  <c:v>17.46</c:v>
                </c:pt>
                <c:pt idx="480">
                  <c:v>17.48</c:v>
                </c:pt>
                <c:pt idx="481">
                  <c:v>17.51</c:v>
                </c:pt>
                <c:pt idx="482">
                  <c:v>17.56</c:v>
                </c:pt>
                <c:pt idx="483">
                  <c:v>17.56</c:v>
                </c:pt>
                <c:pt idx="484">
                  <c:v>17.71</c:v>
                </c:pt>
                <c:pt idx="485">
                  <c:v>17.72</c:v>
                </c:pt>
                <c:pt idx="486">
                  <c:v>17.78</c:v>
                </c:pt>
                <c:pt idx="487">
                  <c:v>17.82</c:v>
                </c:pt>
                <c:pt idx="488">
                  <c:v>17.88</c:v>
                </c:pt>
                <c:pt idx="489">
                  <c:v>17.90</c:v>
                </c:pt>
                <c:pt idx="490">
                  <c:v>17.97</c:v>
                </c:pt>
                <c:pt idx="491">
                  <c:v>18.10</c:v>
                </c:pt>
                <c:pt idx="492">
                  <c:v>18.14</c:v>
                </c:pt>
                <c:pt idx="493">
                  <c:v>18.16</c:v>
                </c:pt>
                <c:pt idx="494">
                  <c:v>18.19</c:v>
                </c:pt>
                <c:pt idx="495">
                  <c:v>18.22</c:v>
                </c:pt>
                <c:pt idx="496">
                  <c:v>18.22</c:v>
                </c:pt>
                <c:pt idx="497">
                  <c:v>18.24</c:v>
                </c:pt>
                <c:pt idx="498">
                  <c:v>18.31</c:v>
                </c:pt>
                <c:pt idx="499">
                  <c:v>18.32</c:v>
                </c:pt>
                <c:pt idx="500">
                  <c:v>18.41</c:v>
                </c:pt>
                <c:pt idx="501">
                  <c:v>18.42</c:v>
                </c:pt>
                <c:pt idx="502">
                  <c:v>18.44</c:v>
                </c:pt>
                <c:pt idx="503">
                  <c:v>18.50</c:v>
                </c:pt>
                <c:pt idx="504">
                  <c:v>18.63</c:v>
                </c:pt>
                <c:pt idx="505">
                  <c:v>18.82</c:v>
                </c:pt>
                <c:pt idx="506">
                  <c:v>18.82</c:v>
                </c:pt>
                <c:pt idx="507">
                  <c:v>18.87</c:v>
                </c:pt>
                <c:pt idx="508">
                  <c:v>18.89</c:v>
                </c:pt>
                <c:pt idx="509">
                  <c:v>18.95</c:v>
                </c:pt>
                <c:pt idx="510">
                  <c:v>19.03</c:v>
                </c:pt>
                <c:pt idx="511">
                  <c:v>19.05</c:v>
                </c:pt>
                <c:pt idx="512">
                  <c:v>19.31</c:v>
                </c:pt>
                <c:pt idx="513">
                  <c:v>19.33</c:v>
                </c:pt>
                <c:pt idx="514">
                  <c:v>19.44</c:v>
                </c:pt>
                <c:pt idx="515">
                  <c:v>19.45</c:v>
                </c:pt>
                <c:pt idx="516">
                  <c:v>19.48</c:v>
                </c:pt>
                <c:pt idx="517">
                  <c:v>19.53</c:v>
                </c:pt>
                <c:pt idx="518">
                  <c:v>19.60</c:v>
                </c:pt>
                <c:pt idx="519">
                  <c:v>19.60</c:v>
                </c:pt>
                <c:pt idx="520">
                  <c:v>19.62</c:v>
                </c:pt>
                <c:pt idx="521">
                  <c:v>19.69</c:v>
                </c:pt>
                <c:pt idx="522">
                  <c:v>19.73</c:v>
                </c:pt>
                <c:pt idx="523">
                  <c:v>19.83</c:v>
                </c:pt>
                <c:pt idx="524">
                  <c:v>19.85</c:v>
                </c:pt>
                <c:pt idx="525">
                  <c:v>19.88</c:v>
                </c:pt>
                <c:pt idx="526">
                  <c:v>19.93</c:v>
                </c:pt>
                <c:pt idx="527">
                  <c:v>19.94</c:v>
                </c:pt>
                <c:pt idx="528">
                  <c:v>20.00</c:v>
                </c:pt>
                <c:pt idx="529">
                  <c:v>20.01</c:v>
                </c:pt>
                <c:pt idx="530">
                  <c:v>20.03</c:v>
                </c:pt>
                <c:pt idx="531">
                  <c:v>20.06</c:v>
                </c:pt>
                <c:pt idx="532">
                  <c:v>20.14</c:v>
                </c:pt>
                <c:pt idx="533">
                  <c:v>20.16</c:v>
                </c:pt>
                <c:pt idx="534">
                  <c:v>20.20</c:v>
                </c:pt>
                <c:pt idx="535">
                  <c:v>20.29</c:v>
                </c:pt>
                <c:pt idx="536">
                  <c:v>20.55</c:v>
                </c:pt>
                <c:pt idx="537">
                  <c:v>20.61</c:v>
                </c:pt>
                <c:pt idx="538">
                  <c:v>20.67</c:v>
                </c:pt>
                <c:pt idx="539">
                  <c:v>20.69</c:v>
                </c:pt>
                <c:pt idx="540">
                  <c:v>20.79</c:v>
                </c:pt>
                <c:pt idx="541">
                  <c:v>20.89</c:v>
                </c:pt>
                <c:pt idx="542">
                  <c:v>20.93</c:v>
                </c:pt>
                <c:pt idx="543">
                  <c:v>20.97</c:v>
                </c:pt>
                <c:pt idx="544">
                  <c:v>21.01</c:v>
                </c:pt>
                <c:pt idx="545">
                  <c:v>21.05</c:v>
                </c:pt>
                <c:pt idx="546">
                  <c:v>21.08</c:v>
                </c:pt>
                <c:pt idx="547">
                  <c:v>21.09</c:v>
                </c:pt>
                <c:pt idx="548">
                  <c:v>21.11</c:v>
                </c:pt>
                <c:pt idx="549">
                  <c:v>21.36</c:v>
                </c:pt>
                <c:pt idx="550">
                  <c:v>21.38</c:v>
                </c:pt>
                <c:pt idx="551">
                  <c:v>21.40</c:v>
                </c:pt>
                <c:pt idx="552">
                  <c:v>21.43</c:v>
                </c:pt>
                <c:pt idx="553">
                  <c:v>21.51</c:v>
                </c:pt>
                <c:pt idx="554">
                  <c:v>21.54</c:v>
                </c:pt>
                <c:pt idx="555">
                  <c:v>21.59</c:v>
                </c:pt>
                <c:pt idx="556">
                  <c:v>21.68</c:v>
                </c:pt>
                <c:pt idx="557">
                  <c:v>21.75</c:v>
                </c:pt>
                <c:pt idx="558">
                  <c:v>21.94</c:v>
                </c:pt>
                <c:pt idx="559">
                  <c:v>22.00</c:v>
                </c:pt>
                <c:pt idx="560">
                  <c:v>22.13</c:v>
                </c:pt>
                <c:pt idx="561">
                  <c:v>22.17</c:v>
                </c:pt>
                <c:pt idx="562">
                  <c:v>22.23</c:v>
                </c:pt>
                <c:pt idx="563">
                  <c:v>22.24</c:v>
                </c:pt>
                <c:pt idx="564">
                  <c:v>22.24</c:v>
                </c:pt>
                <c:pt idx="565">
                  <c:v>22.27</c:v>
                </c:pt>
                <c:pt idx="566">
                  <c:v>22.35</c:v>
                </c:pt>
                <c:pt idx="567">
                  <c:v>22.41</c:v>
                </c:pt>
                <c:pt idx="568">
                  <c:v>22.42</c:v>
                </c:pt>
                <c:pt idx="569">
                  <c:v>22.44</c:v>
                </c:pt>
                <c:pt idx="570">
                  <c:v>22.57</c:v>
                </c:pt>
                <c:pt idx="571">
                  <c:v>22.58</c:v>
                </c:pt>
                <c:pt idx="572">
                  <c:v>22.68</c:v>
                </c:pt>
                <c:pt idx="573">
                  <c:v>22.76</c:v>
                </c:pt>
                <c:pt idx="574">
                  <c:v>22.98</c:v>
                </c:pt>
                <c:pt idx="575">
                  <c:v>22.99</c:v>
                </c:pt>
                <c:pt idx="576">
                  <c:v>23.07</c:v>
                </c:pt>
                <c:pt idx="577">
                  <c:v>23.18</c:v>
                </c:pt>
                <c:pt idx="578">
                  <c:v>23.33</c:v>
                </c:pt>
                <c:pt idx="579">
                  <c:v>23.64</c:v>
                </c:pt>
                <c:pt idx="580">
                  <c:v>23.81</c:v>
                </c:pt>
                <c:pt idx="581">
                  <c:v>23.84</c:v>
                </c:pt>
                <c:pt idx="582">
                  <c:v>23.88</c:v>
                </c:pt>
                <c:pt idx="583">
                  <c:v>23.97</c:v>
                </c:pt>
                <c:pt idx="584">
                  <c:v>24.03</c:v>
                </c:pt>
                <c:pt idx="585">
                  <c:v>24.06</c:v>
                </c:pt>
                <c:pt idx="586">
                  <c:v>24.07</c:v>
                </c:pt>
                <c:pt idx="587">
                  <c:v>24.10</c:v>
                </c:pt>
                <c:pt idx="588">
                  <c:v>24.18</c:v>
                </c:pt>
                <c:pt idx="589">
                  <c:v>24.26</c:v>
                </c:pt>
                <c:pt idx="590">
                  <c:v>24.33</c:v>
                </c:pt>
                <c:pt idx="591">
                  <c:v>24.34</c:v>
                </c:pt>
                <c:pt idx="592">
                  <c:v>24.35</c:v>
                </c:pt>
                <c:pt idx="593">
                  <c:v>24.37</c:v>
                </c:pt>
                <c:pt idx="594">
                  <c:v>24.55</c:v>
                </c:pt>
                <c:pt idx="595">
                  <c:v>24.58</c:v>
                </c:pt>
                <c:pt idx="596">
                  <c:v>24.65</c:v>
                </c:pt>
                <c:pt idx="597">
                  <c:v>24.66</c:v>
                </c:pt>
                <c:pt idx="598">
                  <c:v>24.72</c:v>
                </c:pt>
                <c:pt idx="599">
                  <c:v>24.77</c:v>
                </c:pt>
                <c:pt idx="600">
                  <c:v>24.98</c:v>
                </c:pt>
                <c:pt idx="601">
                  <c:v>25.04</c:v>
                </c:pt>
                <c:pt idx="602">
                  <c:v>25.06</c:v>
                </c:pt>
                <c:pt idx="603">
                  <c:v>25.06</c:v>
                </c:pt>
                <c:pt idx="604">
                  <c:v>25.13</c:v>
                </c:pt>
                <c:pt idx="605">
                  <c:v>25.14</c:v>
                </c:pt>
                <c:pt idx="606">
                  <c:v>25.20</c:v>
                </c:pt>
                <c:pt idx="607">
                  <c:v>25.28</c:v>
                </c:pt>
                <c:pt idx="608">
                  <c:v>25.30</c:v>
                </c:pt>
                <c:pt idx="609">
                  <c:v>25.36</c:v>
                </c:pt>
                <c:pt idx="610">
                  <c:v>25.78</c:v>
                </c:pt>
                <c:pt idx="611">
                  <c:v>25.87</c:v>
                </c:pt>
                <c:pt idx="612">
                  <c:v>25.89</c:v>
                </c:pt>
                <c:pt idx="613">
                  <c:v>26.08</c:v>
                </c:pt>
                <c:pt idx="614">
                  <c:v>26.13</c:v>
                </c:pt>
                <c:pt idx="615">
                  <c:v>26.38</c:v>
                </c:pt>
                <c:pt idx="616">
                  <c:v>26.44</c:v>
                </c:pt>
                <c:pt idx="617">
                  <c:v>26.46</c:v>
                </c:pt>
                <c:pt idx="618">
                  <c:v>26.55</c:v>
                </c:pt>
                <c:pt idx="619">
                  <c:v>26.56</c:v>
                </c:pt>
                <c:pt idx="620">
                  <c:v>26.56</c:v>
                </c:pt>
                <c:pt idx="621">
                  <c:v>26.61</c:v>
                </c:pt>
                <c:pt idx="622">
                  <c:v>26.64</c:v>
                </c:pt>
                <c:pt idx="623">
                  <c:v>27.01</c:v>
                </c:pt>
                <c:pt idx="624">
                  <c:v>27.04</c:v>
                </c:pt>
                <c:pt idx="625">
                  <c:v>27.11</c:v>
                </c:pt>
                <c:pt idx="626">
                  <c:v>27.13</c:v>
                </c:pt>
                <c:pt idx="627">
                  <c:v>27.20</c:v>
                </c:pt>
                <c:pt idx="628">
                  <c:v>27.28</c:v>
                </c:pt>
                <c:pt idx="629">
                  <c:v>27.44</c:v>
                </c:pt>
                <c:pt idx="630">
                  <c:v>27.49</c:v>
                </c:pt>
                <c:pt idx="631">
                  <c:v>27.66</c:v>
                </c:pt>
                <c:pt idx="632">
                  <c:v>27.86</c:v>
                </c:pt>
                <c:pt idx="633">
                  <c:v>28.14</c:v>
                </c:pt>
                <c:pt idx="634">
                  <c:v>28.30</c:v>
                </c:pt>
                <c:pt idx="635">
                  <c:v>28.41</c:v>
                </c:pt>
                <c:pt idx="636">
                  <c:v>28.45</c:v>
                </c:pt>
                <c:pt idx="637">
                  <c:v>28.45</c:v>
                </c:pt>
                <c:pt idx="638">
                  <c:v>28.47</c:v>
                </c:pt>
                <c:pt idx="639">
                  <c:v>28.48</c:v>
                </c:pt>
                <c:pt idx="640">
                  <c:v>28.48</c:v>
                </c:pt>
                <c:pt idx="641">
                  <c:v>28.70</c:v>
                </c:pt>
                <c:pt idx="642">
                  <c:v>28.82</c:v>
                </c:pt>
                <c:pt idx="643">
                  <c:v>28.87</c:v>
                </c:pt>
                <c:pt idx="644">
                  <c:v>29.19</c:v>
                </c:pt>
                <c:pt idx="645">
                  <c:v>29.26</c:v>
                </c:pt>
                <c:pt idx="646">
                  <c:v>29.72</c:v>
                </c:pt>
                <c:pt idx="647">
                  <c:v>29.75</c:v>
                </c:pt>
                <c:pt idx="648">
                  <c:v>30.04</c:v>
                </c:pt>
                <c:pt idx="649">
                  <c:v>30.10</c:v>
                </c:pt>
                <c:pt idx="650">
                  <c:v>30.19</c:v>
                </c:pt>
                <c:pt idx="651">
                  <c:v>30.56</c:v>
                </c:pt>
                <c:pt idx="652">
                  <c:v>30.69</c:v>
                </c:pt>
                <c:pt idx="653">
                  <c:v>30.74</c:v>
                </c:pt>
                <c:pt idx="654">
                  <c:v>30.82</c:v>
                </c:pt>
                <c:pt idx="655">
                  <c:v>31.12</c:v>
                </c:pt>
                <c:pt idx="656">
                  <c:v>31.47</c:v>
                </c:pt>
                <c:pt idx="657">
                  <c:v>31.55</c:v>
                </c:pt>
                <c:pt idx="658">
                  <c:v>31.86</c:v>
                </c:pt>
                <c:pt idx="659">
                  <c:v>32.04</c:v>
                </c:pt>
                <c:pt idx="660">
                  <c:v>32.15</c:v>
                </c:pt>
                <c:pt idx="661">
                  <c:v>32.34</c:v>
                </c:pt>
                <c:pt idx="662">
                  <c:v>32.54</c:v>
                </c:pt>
                <c:pt idx="663">
                  <c:v>32.70</c:v>
                </c:pt>
                <c:pt idx="664">
                  <c:v>32.78</c:v>
                </c:pt>
                <c:pt idx="665">
                  <c:v>32.86</c:v>
                </c:pt>
                <c:pt idx="666">
                  <c:v>32.96</c:v>
                </c:pt>
                <c:pt idx="667">
                  <c:v>32.97</c:v>
                </c:pt>
                <c:pt idx="668">
                  <c:v>33.12</c:v>
                </c:pt>
                <c:pt idx="669">
                  <c:v>33.23</c:v>
                </c:pt>
                <c:pt idx="670">
                  <c:v>33.36</c:v>
                </c:pt>
                <c:pt idx="671">
                  <c:v>33.46</c:v>
                </c:pt>
                <c:pt idx="672">
                  <c:v>33.60</c:v>
                </c:pt>
                <c:pt idx="673">
                  <c:v>34.19</c:v>
                </c:pt>
                <c:pt idx="674">
                  <c:v>34.19</c:v>
                </c:pt>
                <c:pt idx="675">
                  <c:v>34.31</c:v>
                </c:pt>
                <c:pt idx="676">
                  <c:v>34.37</c:v>
                </c:pt>
                <c:pt idx="677">
                  <c:v>34.60</c:v>
                </c:pt>
                <c:pt idx="678">
                  <c:v>34.93</c:v>
                </c:pt>
                <c:pt idx="679">
                  <c:v>34.96</c:v>
                </c:pt>
                <c:pt idx="680">
                  <c:v>35.24</c:v>
                </c:pt>
                <c:pt idx="681">
                  <c:v>35.57</c:v>
                </c:pt>
                <c:pt idx="682">
                  <c:v>35.74</c:v>
                </c:pt>
                <c:pt idx="683">
                  <c:v>35.95</c:v>
                </c:pt>
                <c:pt idx="684">
                  <c:v>36.03</c:v>
                </c:pt>
                <c:pt idx="685">
                  <c:v>36.06</c:v>
                </c:pt>
                <c:pt idx="686">
                  <c:v>36.14</c:v>
                </c:pt>
                <c:pt idx="687">
                  <c:v>36.16</c:v>
                </c:pt>
                <c:pt idx="688">
                  <c:v>36.32</c:v>
                </c:pt>
                <c:pt idx="689">
                  <c:v>36.33</c:v>
                </c:pt>
                <c:pt idx="690">
                  <c:v>36.80</c:v>
                </c:pt>
                <c:pt idx="691">
                  <c:v>37.31</c:v>
                </c:pt>
                <c:pt idx="692">
                  <c:v>37.54</c:v>
                </c:pt>
                <c:pt idx="693">
                  <c:v>37.64</c:v>
                </c:pt>
                <c:pt idx="694">
                  <c:v>37.66</c:v>
                </c:pt>
                <c:pt idx="695">
                  <c:v>37.69</c:v>
                </c:pt>
                <c:pt idx="696">
                  <c:v>37.75</c:v>
                </c:pt>
                <c:pt idx="697">
                  <c:v>37.93</c:v>
                </c:pt>
                <c:pt idx="698">
                  <c:v>38.07</c:v>
                </c:pt>
                <c:pt idx="699">
                  <c:v>38.09</c:v>
                </c:pt>
                <c:pt idx="700">
                  <c:v>38.11</c:v>
                </c:pt>
                <c:pt idx="701">
                  <c:v>38.27</c:v>
                </c:pt>
                <c:pt idx="702">
                  <c:v>38.29</c:v>
                </c:pt>
                <c:pt idx="703">
                  <c:v>38.32</c:v>
                </c:pt>
                <c:pt idx="704">
                  <c:v>38.44</c:v>
                </c:pt>
                <c:pt idx="705">
                  <c:v>38.72</c:v>
                </c:pt>
                <c:pt idx="706">
                  <c:v>38.76</c:v>
                </c:pt>
                <c:pt idx="707">
                  <c:v>38.83</c:v>
                </c:pt>
                <c:pt idx="708">
                  <c:v>38.86</c:v>
                </c:pt>
                <c:pt idx="709">
                  <c:v>39.44</c:v>
                </c:pt>
                <c:pt idx="710">
                  <c:v>39.63</c:v>
                </c:pt>
                <c:pt idx="711">
                  <c:v>39.81</c:v>
                </c:pt>
                <c:pt idx="712">
                  <c:v>39.87</c:v>
                </c:pt>
                <c:pt idx="713">
                  <c:v>40.04</c:v>
                </c:pt>
                <c:pt idx="714">
                  <c:v>40.37</c:v>
                </c:pt>
                <c:pt idx="715">
                  <c:v>40.52</c:v>
                </c:pt>
                <c:pt idx="716">
                  <c:v>41.70</c:v>
                </c:pt>
                <c:pt idx="717">
                  <c:v>42.16</c:v>
                </c:pt>
                <c:pt idx="718">
                  <c:v>42.37</c:v>
                </c:pt>
                <c:pt idx="719">
                  <c:v>42.54</c:v>
                </c:pt>
                <c:pt idx="720">
                  <c:v>42.71</c:v>
                </c:pt>
                <c:pt idx="721">
                  <c:v>42.83</c:v>
                </c:pt>
                <c:pt idx="722">
                  <c:v>43.06</c:v>
                </c:pt>
                <c:pt idx="723">
                  <c:v>43.95</c:v>
                </c:pt>
                <c:pt idx="724">
                  <c:v>44.21</c:v>
                </c:pt>
                <c:pt idx="725">
                  <c:v>44.23</c:v>
                </c:pt>
                <c:pt idx="726">
                  <c:v>45.98</c:v>
                </c:pt>
                <c:pt idx="727">
                  <c:v>46.08</c:v>
                </c:pt>
                <c:pt idx="728">
                  <c:v>46.35</c:v>
                </c:pt>
                <c:pt idx="729">
                  <c:v>47.16</c:v>
                </c:pt>
                <c:pt idx="730">
                  <c:v>47.24</c:v>
                </c:pt>
                <c:pt idx="731">
                  <c:v>47.36</c:v>
                </c:pt>
                <c:pt idx="732">
                  <c:v>47.85</c:v>
                </c:pt>
                <c:pt idx="733">
                  <c:v>47.97</c:v>
                </c:pt>
                <c:pt idx="734">
                  <c:v>48.31</c:v>
                </c:pt>
                <c:pt idx="735">
                  <c:v>48.55</c:v>
                </c:pt>
                <c:pt idx="736">
                  <c:v>48.78</c:v>
                </c:pt>
                <c:pt idx="737">
                  <c:v>48.83</c:v>
                </c:pt>
                <c:pt idx="738">
                  <c:v>49.42</c:v>
                </c:pt>
                <c:pt idx="739">
                  <c:v>50.16</c:v>
                </c:pt>
                <c:pt idx="740">
                  <c:v>50.24</c:v>
                </c:pt>
                <c:pt idx="741">
                  <c:v>50.24</c:v>
                </c:pt>
                <c:pt idx="742">
                  <c:v>50.58</c:v>
                </c:pt>
                <c:pt idx="743">
                  <c:v>50.60</c:v>
                </c:pt>
                <c:pt idx="744">
                  <c:v>51.84</c:v>
                </c:pt>
                <c:pt idx="745">
                  <c:v>51.91</c:v>
                </c:pt>
                <c:pt idx="746">
                  <c:v>52.01</c:v>
                </c:pt>
                <c:pt idx="747">
                  <c:v>52.56</c:v>
                </c:pt>
                <c:pt idx="748">
                  <c:v>52.64</c:v>
                </c:pt>
                <c:pt idx="749">
                  <c:v>53.01</c:v>
                </c:pt>
                <c:pt idx="750">
                  <c:v>53.54</c:v>
                </c:pt>
                <c:pt idx="751">
                  <c:v>53.62</c:v>
                </c:pt>
                <c:pt idx="752">
                  <c:v>54.29</c:v>
                </c:pt>
                <c:pt idx="753">
                  <c:v>55.88</c:v>
                </c:pt>
                <c:pt idx="754">
                  <c:v>56.01</c:v>
                </c:pt>
                <c:pt idx="755">
                  <c:v>56.20</c:v>
                </c:pt>
                <c:pt idx="756">
                  <c:v>56.87</c:v>
                </c:pt>
                <c:pt idx="757">
                  <c:v>57.70</c:v>
                </c:pt>
                <c:pt idx="758">
                  <c:v>57.91</c:v>
                </c:pt>
                <c:pt idx="759">
                  <c:v>58.25</c:v>
                </c:pt>
                <c:pt idx="760">
                  <c:v>59.79</c:v>
                </c:pt>
                <c:pt idx="761">
                  <c:v>60.62</c:v>
                </c:pt>
                <c:pt idx="762">
                  <c:v>61.66</c:v>
                </c:pt>
                <c:pt idx="763">
                  <c:v>61.68</c:v>
                </c:pt>
                <c:pt idx="764">
                  <c:v>62.76</c:v>
                </c:pt>
                <c:pt idx="765">
                  <c:v>63.56</c:v>
                </c:pt>
                <c:pt idx="766">
                  <c:v>66.11</c:v>
                </c:pt>
                <c:pt idx="767">
                  <c:v>69.38</c:v>
                </c:pt>
                <c:pt idx="768">
                  <c:v>74.07</c:v>
                </c:pt>
                <c:pt idx="769">
                  <c:v>74.49</c:v>
                </c:pt>
                <c:pt idx="770">
                  <c:v>80.73</c:v>
                </c:pt>
                <c:pt idx="771">
                  <c:v>121.88</c:v>
                </c:pt>
                <c:pt idx="772">
                  <c:v>144.01</c:v>
                </c:pt>
                <c:pt idx="773">
                  <c:v>150.80</c:v>
                </c:pt>
                <c:pt idx="774">
                  <c:v>161.25</c:v>
                </c:pt>
                <c:pt idx="775">
                  <c:v>161.57</c:v>
                </c:pt>
                <c:pt idx="776">
                  <c:v>164.59</c:v>
                </c:pt>
                <c:pt idx="777">
                  <c:v>169.63</c:v>
                </c:pt>
                <c:pt idx="778">
                  <c:v>177.48</c:v>
                </c:pt>
                <c:pt idx="779">
                  <c:v>181.26</c:v>
                </c:pt>
                <c:pt idx="780">
                  <c:v>187.47</c:v>
                </c:pt>
                <c:pt idx="781">
                  <c:v>190.13</c:v>
                </c:pt>
                <c:pt idx="782">
                  <c:v>199.36</c:v>
                </c:pt>
                <c:pt idx="783">
                  <c:v>199.47</c:v>
                </c:pt>
                <c:pt idx="784">
                  <c:v>201.68</c:v>
                </c:pt>
                <c:pt idx="785">
                  <c:v>214.91</c:v>
                </c:pt>
                <c:pt idx="786">
                  <c:v>241.83</c:v>
                </c:pt>
                <c:pt idx="787">
                  <c:v>248.49</c:v>
                </c:pt>
                <c:pt idx="788">
                  <c:v>254.79</c:v>
                </c:pt>
                <c:pt idx="789">
                  <c:v>254.99</c:v>
                </c:pt>
                <c:pt idx="790">
                  <c:v>267.58</c:v>
                </c:pt>
                <c:pt idx="791">
                  <c:v>271.56</c:v>
                </c:pt>
                <c:pt idx="792">
                  <c:v>282.07</c:v>
                </c:pt>
                <c:pt idx="793">
                  <c:v>288.27</c:v>
                </c:pt>
                <c:pt idx="794">
                  <c:v>298.83</c:v>
                </c:pt>
                <c:pt idx="795">
                  <c:v>301.73</c:v>
                </c:pt>
                <c:pt idx="796">
                  <c:v>304.84</c:v>
                </c:pt>
                <c:pt idx="797">
                  <c:v>314.43</c:v>
                </c:pt>
                <c:pt idx="798">
                  <c:v>323.52</c:v>
                </c:pt>
                <c:pt idx="799">
                  <c:v>325.79</c:v>
                </c:pt>
                <c:pt idx="800">
                  <c:v>328.64</c:v>
                </c:pt>
                <c:pt idx="801">
                  <c:v>333.14</c:v>
                </c:pt>
                <c:pt idx="802">
                  <c:v>333.89</c:v>
                </c:pt>
              </c:strCache>
            </c:strRef>
          </c:cat>
          <c:val>
            <c:numRef>
              <c:f>'Dis to Grid Vs Avg Total Costl'!$C$5:$C$808</c:f>
              <c:numCache>
                <c:formatCode>"$"#,##0.00</c:formatCode>
                <c:ptCount val="803"/>
                <c:pt idx="0">
                  <c:v>88.636799370000006</c:v>
                </c:pt>
                <c:pt idx="1">
                  <c:v>75.55864583124999</c:v>
                </c:pt>
                <c:pt idx="2">
                  <c:v>76.009864743333324</c:v>
                </c:pt>
                <c:pt idx="3">
                  <c:v>80.508866373333333</c:v>
                </c:pt>
                <c:pt idx="4">
                  <c:v>72.734827363999997</c:v>
                </c:pt>
                <c:pt idx="5">
                  <c:v>73.205161660000002</c:v>
                </c:pt>
                <c:pt idx="6">
                  <c:v>66.753339705000002</c:v>
                </c:pt>
                <c:pt idx="7">
                  <c:v>103.581801175</c:v>
                </c:pt>
                <c:pt idx="8">
                  <c:v>63.11807864</c:v>
                </c:pt>
                <c:pt idx="9">
                  <c:v>88.111448795000001</c:v>
                </c:pt>
                <c:pt idx="10">
                  <c:v>70.168870980000008</c:v>
                </c:pt>
                <c:pt idx="11">
                  <c:v>114.40449575</c:v>
                </c:pt>
                <c:pt idx="12">
                  <c:v>65.039716634999991</c:v>
                </c:pt>
                <c:pt idx="13">
                  <c:v>107.48259132999999</c:v>
                </c:pt>
                <c:pt idx="14">
                  <c:v>94.532323109999993</c:v>
                </c:pt>
                <c:pt idx="15">
                  <c:v>76.034744520000004</c:v>
                </c:pt>
                <c:pt idx="16">
                  <c:v>85.775076179999999</c:v>
                </c:pt>
                <c:pt idx="17">
                  <c:v>77.414784574999999</c:v>
                </c:pt>
                <c:pt idx="18">
                  <c:v>69.78830443999999</c:v>
                </c:pt>
                <c:pt idx="19">
                  <c:v>91.140368405000004</c:v>
                </c:pt>
                <c:pt idx="20">
                  <c:v>69.909126404999995</c:v>
                </c:pt>
                <c:pt idx="21">
                  <c:v>120.69693853000001</c:v>
                </c:pt>
                <c:pt idx="22">
                  <c:v>87.241440659999995</c:v>
                </c:pt>
                <c:pt idx="23">
                  <c:v>72.208401190000004</c:v>
                </c:pt>
                <c:pt idx="24">
                  <c:v>90.754417349999997</c:v>
                </c:pt>
                <c:pt idx="25">
                  <c:v>54.032434199999997</c:v>
                </c:pt>
                <c:pt idx="26">
                  <c:v>70.18834695999999</c:v>
                </c:pt>
                <c:pt idx="27">
                  <c:v>109.539188225</c:v>
                </c:pt>
                <c:pt idx="28">
                  <c:v>56.554810279999998</c:v>
                </c:pt>
                <c:pt idx="29">
                  <c:v>61.409459460000001</c:v>
                </c:pt>
                <c:pt idx="30">
                  <c:v>131.96277635999999</c:v>
                </c:pt>
                <c:pt idx="31">
                  <c:v>104.62584966</c:v>
                </c:pt>
                <c:pt idx="32">
                  <c:v>80.195733169999997</c:v>
                </c:pt>
                <c:pt idx="33">
                  <c:v>66.041072650000004</c:v>
                </c:pt>
                <c:pt idx="34">
                  <c:v>75.575551599999997</c:v>
                </c:pt>
                <c:pt idx="35">
                  <c:v>106.14070240000001</c:v>
                </c:pt>
                <c:pt idx="36">
                  <c:v>82.692194183333328</c:v>
                </c:pt>
                <c:pt idx="37">
                  <c:v>60.267946674999997</c:v>
                </c:pt>
                <c:pt idx="38">
                  <c:v>62.622413989999998</c:v>
                </c:pt>
                <c:pt idx="39">
                  <c:v>60.835797229999997</c:v>
                </c:pt>
                <c:pt idx="40">
                  <c:v>70.026558559999998</c:v>
                </c:pt>
                <c:pt idx="41">
                  <c:v>72.680208590000007</c:v>
                </c:pt>
                <c:pt idx="42">
                  <c:v>86.184970620000001</c:v>
                </c:pt>
                <c:pt idx="43">
                  <c:v>56.159784009999996</c:v>
                </c:pt>
                <c:pt idx="44">
                  <c:v>89.714775360000004</c:v>
                </c:pt>
                <c:pt idx="45">
                  <c:v>112.72054076000001</c:v>
                </c:pt>
                <c:pt idx="46">
                  <c:v>73.215490639999999</c:v>
                </c:pt>
                <c:pt idx="47">
                  <c:v>71.027648145000001</c:v>
                </c:pt>
                <c:pt idx="48">
                  <c:v>86.535123169999991</c:v>
                </c:pt>
                <c:pt idx="49">
                  <c:v>94.554254950000001</c:v>
                </c:pt>
                <c:pt idx="50">
                  <c:v>94.863872319999999</c:v>
                </c:pt>
                <c:pt idx="51">
                  <c:v>67.541105220000006</c:v>
                </c:pt>
                <c:pt idx="52">
                  <c:v>61.798873389999997</c:v>
                </c:pt>
                <c:pt idx="53">
                  <c:v>86.555447795000006</c:v>
                </c:pt>
                <c:pt idx="54">
                  <c:v>86.006848419999997</c:v>
                </c:pt>
                <c:pt idx="55">
                  <c:v>60.000554110000003</c:v>
                </c:pt>
                <c:pt idx="56">
                  <c:v>82.405721450000001</c:v>
                </c:pt>
                <c:pt idx="57">
                  <c:v>62.811155339999999</c:v>
                </c:pt>
                <c:pt idx="58">
                  <c:v>69.454169570000005</c:v>
                </c:pt>
                <c:pt idx="59">
                  <c:v>82.855605244999992</c:v>
                </c:pt>
                <c:pt idx="60">
                  <c:v>75.085915833333331</c:v>
                </c:pt>
                <c:pt idx="61">
                  <c:v>91.236792199999996</c:v>
                </c:pt>
                <c:pt idx="62">
                  <c:v>66.029385520000005</c:v>
                </c:pt>
                <c:pt idx="63">
                  <c:v>65.760946266666664</c:v>
                </c:pt>
                <c:pt idx="64">
                  <c:v>74.773606709999996</c:v>
                </c:pt>
                <c:pt idx="65">
                  <c:v>70.931834899999998</c:v>
                </c:pt>
                <c:pt idx="66">
                  <c:v>67.342934790000001</c:v>
                </c:pt>
                <c:pt idx="67">
                  <c:v>61.298264360000005</c:v>
                </c:pt>
                <c:pt idx="68">
                  <c:v>99.904913219999997</c:v>
                </c:pt>
                <c:pt idx="69">
                  <c:v>90.996057530000002</c:v>
                </c:pt>
                <c:pt idx="70">
                  <c:v>71.348813829999997</c:v>
                </c:pt>
                <c:pt idx="71">
                  <c:v>67.268208579999992</c:v>
                </c:pt>
                <c:pt idx="72">
                  <c:v>84.652831969999994</c:v>
                </c:pt>
                <c:pt idx="73">
                  <c:v>75.914130479999997</c:v>
                </c:pt>
                <c:pt idx="74">
                  <c:v>75.939059569999998</c:v>
                </c:pt>
                <c:pt idx="75">
                  <c:v>58.000490490000004</c:v>
                </c:pt>
                <c:pt idx="76">
                  <c:v>88.576493900000003</c:v>
                </c:pt>
                <c:pt idx="77">
                  <c:v>67.110074319999995</c:v>
                </c:pt>
                <c:pt idx="78">
                  <c:v>56.935543799999998</c:v>
                </c:pt>
                <c:pt idx="79">
                  <c:v>100.89829379</c:v>
                </c:pt>
                <c:pt idx="80">
                  <c:v>59.261692159999996</c:v>
                </c:pt>
                <c:pt idx="81">
                  <c:v>66.69633752</c:v>
                </c:pt>
                <c:pt idx="82">
                  <c:v>71.362145290000001</c:v>
                </c:pt>
                <c:pt idx="83">
                  <c:v>59.603181039999996</c:v>
                </c:pt>
                <c:pt idx="84">
                  <c:v>70.383926465000002</c:v>
                </c:pt>
                <c:pt idx="85">
                  <c:v>104.62491403999999</c:v>
                </c:pt>
                <c:pt idx="86">
                  <c:v>96.60663292000001</c:v>
                </c:pt>
                <c:pt idx="87">
                  <c:v>71.660324510000009</c:v>
                </c:pt>
                <c:pt idx="88">
                  <c:v>67.71266747</c:v>
                </c:pt>
                <c:pt idx="89">
                  <c:v>70.843779810000001</c:v>
                </c:pt>
                <c:pt idx="90">
                  <c:v>100.89502141</c:v>
                </c:pt>
                <c:pt idx="91">
                  <c:v>63.112270370000005</c:v>
                </c:pt>
                <c:pt idx="92">
                  <c:v>54.693258149999998</c:v>
                </c:pt>
                <c:pt idx="93">
                  <c:v>71.31007446000001</c:v>
                </c:pt>
                <c:pt idx="94">
                  <c:v>68.765664790000002</c:v>
                </c:pt>
                <c:pt idx="95">
                  <c:v>74.120782140000003</c:v>
                </c:pt>
                <c:pt idx="96">
                  <c:v>85.917810889999998</c:v>
                </c:pt>
                <c:pt idx="97">
                  <c:v>75.901073795000002</c:v>
                </c:pt>
                <c:pt idx="98">
                  <c:v>75.148091984999994</c:v>
                </c:pt>
                <c:pt idx="99">
                  <c:v>64.52266625</c:v>
                </c:pt>
                <c:pt idx="100">
                  <c:v>131.11972185000002</c:v>
                </c:pt>
                <c:pt idx="101">
                  <c:v>90.878352390000003</c:v>
                </c:pt>
                <c:pt idx="102">
                  <c:v>84.823470729999997</c:v>
                </c:pt>
                <c:pt idx="103">
                  <c:v>84.071989950000003</c:v>
                </c:pt>
                <c:pt idx="104">
                  <c:v>60.253472670000001</c:v>
                </c:pt>
                <c:pt idx="105">
                  <c:v>90.494864449999994</c:v>
                </c:pt>
                <c:pt idx="106">
                  <c:v>113.82789348</c:v>
                </c:pt>
                <c:pt idx="107">
                  <c:v>83.597005240000001</c:v>
                </c:pt>
                <c:pt idx="108">
                  <c:v>103.86911797</c:v>
                </c:pt>
                <c:pt idx="109">
                  <c:v>79.239687900000007</c:v>
                </c:pt>
                <c:pt idx="110">
                  <c:v>98.30275223000001</c:v>
                </c:pt>
                <c:pt idx="111">
                  <c:v>63.332133220000003</c:v>
                </c:pt>
                <c:pt idx="112">
                  <c:v>66.055369150000004</c:v>
                </c:pt>
                <c:pt idx="113">
                  <c:v>102.17838799</c:v>
                </c:pt>
                <c:pt idx="114">
                  <c:v>109.21562134999999</c:v>
                </c:pt>
                <c:pt idx="115">
                  <c:v>75.569791600000002</c:v>
                </c:pt>
                <c:pt idx="116">
                  <c:v>92.799287289999995</c:v>
                </c:pt>
                <c:pt idx="117">
                  <c:v>69.180188090000001</c:v>
                </c:pt>
                <c:pt idx="118">
                  <c:v>84.634037379999995</c:v>
                </c:pt>
                <c:pt idx="119">
                  <c:v>83.217496225000005</c:v>
                </c:pt>
                <c:pt idx="120">
                  <c:v>52.64898599</c:v>
                </c:pt>
                <c:pt idx="121">
                  <c:v>58.262629610000005</c:v>
                </c:pt>
                <c:pt idx="122">
                  <c:v>80.990362360000006</c:v>
                </c:pt>
                <c:pt idx="123">
                  <c:v>121.23335940999999</c:v>
                </c:pt>
                <c:pt idx="124">
                  <c:v>90.809980209999992</c:v>
                </c:pt>
                <c:pt idx="125">
                  <c:v>78.789536760000004</c:v>
                </c:pt>
                <c:pt idx="126">
                  <c:v>93.963442540000003</c:v>
                </c:pt>
                <c:pt idx="127">
                  <c:v>103.34346675</c:v>
                </c:pt>
                <c:pt idx="128">
                  <c:v>79.213293660000005</c:v>
                </c:pt>
                <c:pt idx="129">
                  <c:v>57.098316510000004</c:v>
                </c:pt>
                <c:pt idx="130">
                  <c:v>118.16849658000001</c:v>
                </c:pt>
                <c:pt idx="131">
                  <c:v>63.309272849999999</c:v>
                </c:pt>
                <c:pt idx="132">
                  <c:v>67.63746209</c:v>
                </c:pt>
                <c:pt idx="133">
                  <c:v>75.02744229000001</c:v>
                </c:pt>
                <c:pt idx="134">
                  <c:v>53.327913249999995</c:v>
                </c:pt>
                <c:pt idx="135">
                  <c:v>65.973732690000006</c:v>
                </c:pt>
                <c:pt idx="136">
                  <c:v>76.590415649999997</c:v>
                </c:pt>
                <c:pt idx="137">
                  <c:v>56.578932450000003</c:v>
                </c:pt>
                <c:pt idx="138">
                  <c:v>85.454874520000004</c:v>
                </c:pt>
                <c:pt idx="139">
                  <c:v>83.689036450000003</c:v>
                </c:pt>
                <c:pt idx="140">
                  <c:v>66.844599860000002</c:v>
                </c:pt>
                <c:pt idx="141">
                  <c:v>96.427111739999987</c:v>
                </c:pt>
                <c:pt idx="142">
                  <c:v>87.684927500000001</c:v>
                </c:pt>
                <c:pt idx="143">
                  <c:v>67.100884249999993</c:v>
                </c:pt>
                <c:pt idx="144">
                  <c:v>66.093140890000001</c:v>
                </c:pt>
                <c:pt idx="145">
                  <c:v>73.090894710000001</c:v>
                </c:pt>
                <c:pt idx="146">
                  <c:v>59.489117149999998</c:v>
                </c:pt>
                <c:pt idx="147">
                  <c:v>59.903076349999999</c:v>
                </c:pt>
                <c:pt idx="148">
                  <c:v>88.782139729999997</c:v>
                </c:pt>
                <c:pt idx="149">
                  <c:v>91.061964579999994</c:v>
                </c:pt>
                <c:pt idx="150">
                  <c:v>75.927635370000004</c:v>
                </c:pt>
                <c:pt idx="151">
                  <c:v>53.162744089999997</c:v>
                </c:pt>
                <c:pt idx="152">
                  <c:v>101.5224111</c:v>
                </c:pt>
                <c:pt idx="153">
                  <c:v>70.764305159999992</c:v>
                </c:pt>
                <c:pt idx="154">
                  <c:v>78.577307020000006</c:v>
                </c:pt>
                <c:pt idx="155">
                  <c:v>103.92288221999999</c:v>
                </c:pt>
                <c:pt idx="156">
                  <c:v>118.43099104999999</c:v>
                </c:pt>
                <c:pt idx="157">
                  <c:v>80.700868119999996</c:v>
                </c:pt>
                <c:pt idx="158">
                  <c:v>67.612813759999995</c:v>
                </c:pt>
                <c:pt idx="159">
                  <c:v>71.922660469999997</c:v>
                </c:pt>
                <c:pt idx="160">
                  <c:v>64.505625425000005</c:v>
                </c:pt>
                <c:pt idx="161">
                  <c:v>89.938290060000014</c:v>
                </c:pt>
                <c:pt idx="162">
                  <c:v>64.327609289999998</c:v>
                </c:pt>
                <c:pt idx="163">
                  <c:v>82.204373320000002</c:v>
                </c:pt>
                <c:pt idx="164">
                  <c:v>54.310033619999999</c:v>
                </c:pt>
                <c:pt idx="165">
                  <c:v>96.104820419999996</c:v>
                </c:pt>
                <c:pt idx="166">
                  <c:v>62.514071959999995</c:v>
                </c:pt>
                <c:pt idx="167">
                  <c:v>144.36272805000002</c:v>
                </c:pt>
                <c:pt idx="168">
                  <c:v>70.708566590000004</c:v>
                </c:pt>
                <c:pt idx="169">
                  <c:v>112.37084835</c:v>
                </c:pt>
                <c:pt idx="170">
                  <c:v>107.60376983</c:v>
                </c:pt>
                <c:pt idx="171">
                  <c:v>116.77640091999999</c:v>
                </c:pt>
                <c:pt idx="172">
                  <c:v>78.956351869999992</c:v>
                </c:pt>
                <c:pt idx="173">
                  <c:v>102.19621756000001</c:v>
                </c:pt>
                <c:pt idx="174">
                  <c:v>99.021944939999997</c:v>
                </c:pt>
                <c:pt idx="175">
                  <c:v>74.4613236</c:v>
                </c:pt>
                <c:pt idx="176">
                  <c:v>71.328447780000005</c:v>
                </c:pt>
                <c:pt idx="177">
                  <c:v>78.785209780000002</c:v>
                </c:pt>
                <c:pt idx="178">
                  <c:v>60.32279218</c:v>
                </c:pt>
                <c:pt idx="179">
                  <c:v>105.30035947</c:v>
                </c:pt>
                <c:pt idx="180">
                  <c:v>74.974279330000002</c:v>
                </c:pt>
                <c:pt idx="181">
                  <c:v>54.403753809999998</c:v>
                </c:pt>
                <c:pt idx="182">
                  <c:v>104.69051752</c:v>
                </c:pt>
                <c:pt idx="183">
                  <c:v>106.37293654</c:v>
                </c:pt>
                <c:pt idx="184">
                  <c:v>69.322889070000002</c:v>
                </c:pt>
                <c:pt idx="185">
                  <c:v>55.807987320000002</c:v>
                </c:pt>
                <c:pt idx="186">
                  <c:v>98.792656730000004</c:v>
                </c:pt>
                <c:pt idx="187">
                  <c:v>60.224819060000002</c:v>
                </c:pt>
                <c:pt idx="188">
                  <c:v>95.123330960000004</c:v>
                </c:pt>
                <c:pt idx="189">
                  <c:v>99.995888589999993</c:v>
                </c:pt>
                <c:pt idx="190">
                  <c:v>55.631101629999996</c:v>
                </c:pt>
                <c:pt idx="191">
                  <c:v>70.907265050000007</c:v>
                </c:pt>
                <c:pt idx="192">
                  <c:v>53.056386459999999</c:v>
                </c:pt>
                <c:pt idx="193">
                  <c:v>70.175589849999994</c:v>
                </c:pt>
                <c:pt idx="194">
                  <c:v>62.035352419999995</c:v>
                </c:pt>
                <c:pt idx="195">
                  <c:v>76.381016500000001</c:v>
                </c:pt>
                <c:pt idx="196">
                  <c:v>92.896559969999998</c:v>
                </c:pt>
                <c:pt idx="197">
                  <c:v>75.480518134999997</c:v>
                </c:pt>
                <c:pt idx="198">
                  <c:v>88.850328410000003</c:v>
                </c:pt>
                <c:pt idx="199">
                  <c:v>110.49380594</c:v>
                </c:pt>
                <c:pt idx="200">
                  <c:v>71.023659109999997</c:v>
                </c:pt>
                <c:pt idx="201">
                  <c:v>89.235825220000009</c:v>
                </c:pt>
                <c:pt idx="202">
                  <c:v>82.810460750000004</c:v>
                </c:pt>
                <c:pt idx="203">
                  <c:v>90.314818959999997</c:v>
                </c:pt>
                <c:pt idx="204">
                  <c:v>59.309413599999999</c:v>
                </c:pt>
                <c:pt idx="205">
                  <c:v>67.352734739999988</c:v>
                </c:pt>
                <c:pt idx="206">
                  <c:v>135.76520608000001</c:v>
                </c:pt>
                <c:pt idx="207">
                  <c:v>69.895511420000005</c:v>
                </c:pt>
                <c:pt idx="208">
                  <c:v>84.672616509999997</c:v>
                </c:pt>
                <c:pt idx="209">
                  <c:v>75.508895539999997</c:v>
                </c:pt>
                <c:pt idx="210">
                  <c:v>76.967506299999997</c:v>
                </c:pt>
                <c:pt idx="211">
                  <c:v>64.641637950000003</c:v>
                </c:pt>
                <c:pt idx="212">
                  <c:v>98.022886190000008</c:v>
                </c:pt>
                <c:pt idx="213">
                  <c:v>88.824725529999995</c:v>
                </c:pt>
                <c:pt idx="214">
                  <c:v>61.204680490000001</c:v>
                </c:pt>
                <c:pt idx="215">
                  <c:v>74.996548860000004</c:v>
                </c:pt>
                <c:pt idx="216">
                  <c:v>124.69813675</c:v>
                </c:pt>
                <c:pt idx="217">
                  <c:v>69.477230640000002</c:v>
                </c:pt>
                <c:pt idx="218">
                  <c:v>92.865906300000006</c:v>
                </c:pt>
                <c:pt idx="219">
                  <c:v>89.066443429999993</c:v>
                </c:pt>
                <c:pt idx="220">
                  <c:v>58.409332370000001</c:v>
                </c:pt>
                <c:pt idx="221">
                  <c:v>64.397891700000002</c:v>
                </c:pt>
                <c:pt idx="222">
                  <c:v>70.07355530000001</c:v>
                </c:pt>
                <c:pt idx="223">
                  <c:v>70.352000050000001</c:v>
                </c:pt>
                <c:pt idx="224">
                  <c:v>118.28557139999999</c:v>
                </c:pt>
                <c:pt idx="225">
                  <c:v>63.22040887</c:v>
                </c:pt>
                <c:pt idx="226">
                  <c:v>73.016749290000007</c:v>
                </c:pt>
                <c:pt idx="227">
                  <c:v>70.314407579999994</c:v>
                </c:pt>
                <c:pt idx="228">
                  <c:v>87.65780642</c:v>
                </c:pt>
                <c:pt idx="229">
                  <c:v>67.461141209999994</c:v>
                </c:pt>
                <c:pt idx="230">
                  <c:v>84.355117419999999</c:v>
                </c:pt>
                <c:pt idx="231">
                  <c:v>63.06548772</c:v>
                </c:pt>
                <c:pt idx="232">
                  <c:v>88.614137839999998</c:v>
                </c:pt>
                <c:pt idx="233">
                  <c:v>60.133008680000003</c:v>
                </c:pt>
                <c:pt idx="234">
                  <c:v>93.783033270000004</c:v>
                </c:pt>
                <c:pt idx="235">
                  <c:v>113.11887942999999</c:v>
                </c:pt>
                <c:pt idx="236">
                  <c:v>104.50149984000001</c:v>
                </c:pt>
                <c:pt idx="237">
                  <c:v>92.126013919999991</c:v>
                </c:pt>
                <c:pt idx="238">
                  <c:v>71.727115279999992</c:v>
                </c:pt>
                <c:pt idx="239">
                  <c:v>63.883349979999998</c:v>
                </c:pt>
                <c:pt idx="240">
                  <c:v>90.098429460000006</c:v>
                </c:pt>
                <c:pt idx="241">
                  <c:v>97.945124289999995</c:v>
                </c:pt>
                <c:pt idx="242">
                  <c:v>92.849731640000002</c:v>
                </c:pt>
                <c:pt idx="243">
                  <c:v>96.704446775000008</c:v>
                </c:pt>
                <c:pt idx="244">
                  <c:v>63.791646329999999</c:v>
                </c:pt>
                <c:pt idx="245">
                  <c:v>83.132574840000004</c:v>
                </c:pt>
                <c:pt idx="246">
                  <c:v>99.754599499999998</c:v>
                </c:pt>
                <c:pt idx="247">
                  <c:v>90.669652499999998</c:v>
                </c:pt>
                <c:pt idx="248">
                  <c:v>61.016563520000005</c:v>
                </c:pt>
                <c:pt idx="249">
                  <c:v>85.492897330000005</c:v>
                </c:pt>
                <c:pt idx="250">
                  <c:v>79.527497159999996</c:v>
                </c:pt>
                <c:pt idx="251">
                  <c:v>83.82994841</c:v>
                </c:pt>
                <c:pt idx="252">
                  <c:v>105.77382098999999</c:v>
                </c:pt>
                <c:pt idx="253">
                  <c:v>58.354662019999999</c:v>
                </c:pt>
                <c:pt idx="254">
                  <c:v>67.510219599999999</c:v>
                </c:pt>
                <c:pt idx="255">
                  <c:v>66.152324859999993</c:v>
                </c:pt>
                <c:pt idx="256">
                  <c:v>58.04868175</c:v>
                </c:pt>
                <c:pt idx="257">
                  <c:v>57.099091749999999</c:v>
                </c:pt>
                <c:pt idx="258">
                  <c:v>63.583355339999997</c:v>
                </c:pt>
                <c:pt idx="259">
                  <c:v>107.16196076</c:v>
                </c:pt>
                <c:pt idx="260">
                  <c:v>64.574279810000007</c:v>
                </c:pt>
                <c:pt idx="261">
                  <c:v>75.627081939999997</c:v>
                </c:pt>
                <c:pt idx="262">
                  <c:v>53.164891439999998</c:v>
                </c:pt>
                <c:pt idx="263">
                  <c:v>57.457013880000005</c:v>
                </c:pt>
                <c:pt idx="264">
                  <c:v>70.187791579999995</c:v>
                </c:pt>
                <c:pt idx="265">
                  <c:v>106.10333677</c:v>
                </c:pt>
                <c:pt idx="266">
                  <c:v>129.38842733000001</c:v>
                </c:pt>
                <c:pt idx="267">
                  <c:v>111.38824740999999</c:v>
                </c:pt>
                <c:pt idx="268">
                  <c:v>86.334237720000004</c:v>
                </c:pt>
                <c:pt idx="269">
                  <c:v>83.736174009999999</c:v>
                </c:pt>
                <c:pt idx="270">
                  <c:v>93.197387489999997</c:v>
                </c:pt>
                <c:pt idx="271">
                  <c:v>107.38070977999999</c:v>
                </c:pt>
                <c:pt idx="272">
                  <c:v>83.804448829999998</c:v>
                </c:pt>
                <c:pt idx="273">
                  <c:v>60.424689749999999</c:v>
                </c:pt>
                <c:pt idx="274">
                  <c:v>77.804326919999994</c:v>
                </c:pt>
                <c:pt idx="275">
                  <c:v>142.18516325000002</c:v>
                </c:pt>
                <c:pt idx="276">
                  <c:v>75.042282540000002</c:v>
                </c:pt>
                <c:pt idx="277">
                  <c:v>59.756910959999999</c:v>
                </c:pt>
                <c:pt idx="278">
                  <c:v>117.6135702</c:v>
                </c:pt>
                <c:pt idx="279">
                  <c:v>74.339924280000005</c:v>
                </c:pt>
                <c:pt idx="280">
                  <c:v>92.018090440000009</c:v>
                </c:pt>
                <c:pt idx="281">
                  <c:v>102.44732766</c:v>
                </c:pt>
                <c:pt idx="282">
                  <c:v>92.612891380000008</c:v>
                </c:pt>
                <c:pt idx="283">
                  <c:v>72.033849329999995</c:v>
                </c:pt>
                <c:pt idx="284">
                  <c:v>127.27139241</c:v>
                </c:pt>
                <c:pt idx="285">
                  <c:v>65.652825019999995</c:v>
                </c:pt>
                <c:pt idx="286">
                  <c:v>83.065360850000005</c:v>
                </c:pt>
                <c:pt idx="287">
                  <c:v>56.828879960000002</c:v>
                </c:pt>
                <c:pt idx="288">
                  <c:v>63.432000190000004</c:v>
                </c:pt>
                <c:pt idx="289">
                  <c:v>55.91998581</c:v>
                </c:pt>
                <c:pt idx="290">
                  <c:v>65.887944959999999</c:v>
                </c:pt>
                <c:pt idx="291">
                  <c:v>59.72497001</c:v>
                </c:pt>
                <c:pt idx="292">
                  <c:v>97.071458440000001</c:v>
                </c:pt>
                <c:pt idx="293">
                  <c:v>90.768449150000009</c:v>
                </c:pt>
                <c:pt idx="294">
                  <c:v>81.955614890000007</c:v>
                </c:pt>
                <c:pt idx="295">
                  <c:v>69.524033680000002</c:v>
                </c:pt>
                <c:pt idx="296">
                  <c:v>110.76853131</c:v>
                </c:pt>
                <c:pt idx="297">
                  <c:v>68.915860769999995</c:v>
                </c:pt>
                <c:pt idx="298">
                  <c:v>54.968740079999996</c:v>
                </c:pt>
                <c:pt idx="299">
                  <c:v>60.509381959999999</c:v>
                </c:pt>
                <c:pt idx="300">
                  <c:v>79.379408009999992</c:v>
                </c:pt>
                <c:pt idx="301">
                  <c:v>72.393937930000007</c:v>
                </c:pt>
                <c:pt idx="302">
                  <c:v>120.47604195000001</c:v>
                </c:pt>
                <c:pt idx="303">
                  <c:v>104.63274047</c:v>
                </c:pt>
                <c:pt idx="304">
                  <c:v>100.77178667000001</c:v>
                </c:pt>
                <c:pt idx="305">
                  <c:v>115.45200238999999</c:v>
                </c:pt>
                <c:pt idx="306">
                  <c:v>124.93671741</c:v>
                </c:pt>
                <c:pt idx="307">
                  <c:v>59.591329869999996</c:v>
                </c:pt>
                <c:pt idx="308">
                  <c:v>83.656648709999999</c:v>
                </c:pt>
                <c:pt idx="309">
                  <c:v>122.71323626</c:v>
                </c:pt>
                <c:pt idx="310">
                  <c:v>115.03141884</c:v>
                </c:pt>
                <c:pt idx="311">
                  <c:v>52.878634130000002</c:v>
                </c:pt>
                <c:pt idx="312">
                  <c:v>65.79539509</c:v>
                </c:pt>
                <c:pt idx="313">
                  <c:v>73.568113729999993</c:v>
                </c:pt>
                <c:pt idx="314">
                  <c:v>92.30000763999999</c:v>
                </c:pt>
                <c:pt idx="315">
                  <c:v>66.594964619999999</c:v>
                </c:pt>
                <c:pt idx="316">
                  <c:v>87.026601395</c:v>
                </c:pt>
                <c:pt idx="317">
                  <c:v>80.699678079999998</c:v>
                </c:pt>
                <c:pt idx="318">
                  <c:v>89.079080839999989</c:v>
                </c:pt>
                <c:pt idx="319">
                  <c:v>56.555143970000003</c:v>
                </c:pt>
                <c:pt idx="320">
                  <c:v>65.284597070000004</c:v>
                </c:pt>
                <c:pt idx="321">
                  <c:v>86.669348220000003</c:v>
                </c:pt>
                <c:pt idx="322">
                  <c:v>135.99087906</c:v>
                </c:pt>
                <c:pt idx="323">
                  <c:v>99.704701470000003</c:v>
                </c:pt>
                <c:pt idx="324">
                  <c:v>75.308436470000004</c:v>
                </c:pt>
                <c:pt idx="325">
                  <c:v>103.59253513</c:v>
                </c:pt>
                <c:pt idx="326">
                  <c:v>60.662970799999997</c:v>
                </c:pt>
                <c:pt idx="327">
                  <c:v>60.611828469999999</c:v>
                </c:pt>
                <c:pt idx="328">
                  <c:v>87.025159860000002</c:v>
                </c:pt>
                <c:pt idx="329">
                  <c:v>71.005021769999999</c:v>
                </c:pt>
                <c:pt idx="330">
                  <c:v>58.183867540000001</c:v>
                </c:pt>
                <c:pt idx="331">
                  <c:v>68.337243959999995</c:v>
                </c:pt>
                <c:pt idx="332">
                  <c:v>142.04177079999999</c:v>
                </c:pt>
                <c:pt idx="333">
                  <c:v>75.947073579999994</c:v>
                </c:pt>
                <c:pt idx="334">
                  <c:v>75.593422770000004</c:v>
                </c:pt>
                <c:pt idx="335">
                  <c:v>101.27282661000001</c:v>
                </c:pt>
                <c:pt idx="336">
                  <c:v>57.458402149999998</c:v>
                </c:pt>
                <c:pt idx="337">
                  <c:v>67.525602149999997</c:v>
                </c:pt>
                <c:pt idx="338">
                  <c:v>91.965870539999997</c:v>
                </c:pt>
                <c:pt idx="339">
                  <c:v>67.199334500000006</c:v>
                </c:pt>
                <c:pt idx="340">
                  <c:v>135.40844902000001</c:v>
                </c:pt>
                <c:pt idx="341">
                  <c:v>83.119255989999999</c:v>
                </c:pt>
                <c:pt idx="342">
                  <c:v>129.50170342000001</c:v>
                </c:pt>
                <c:pt idx="343">
                  <c:v>77.659841549999996</c:v>
                </c:pt>
                <c:pt idx="344">
                  <c:v>70.598745649999998</c:v>
                </c:pt>
                <c:pt idx="345">
                  <c:v>60.55455353</c:v>
                </c:pt>
                <c:pt idx="346">
                  <c:v>88.441178859999994</c:v>
                </c:pt>
                <c:pt idx="347">
                  <c:v>85.968434479999999</c:v>
                </c:pt>
                <c:pt idx="348">
                  <c:v>105.19887780000001</c:v>
                </c:pt>
                <c:pt idx="349">
                  <c:v>99.897436130000003</c:v>
                </c:pt>
                <c:pt idx="350">
                  <c:v>89.662990860000008</c:v>
                </c:pt>
                <c:pt idx="351">
                  <c:v>71.931972049999999</c:v>
                </c:pt>
                <c:pt idx="352">
                  <c:v>83.627674900000002</c:v>
                </c:pt>
                <c:pt idx="353">
                  <c:v>81.583358290000007</c:v>
                </c:pt>
                <c:pt idx="354">
                  <c:v>85.759248450000001</c:v>
                </c:pt>
                <c:pt idx="355">
                  <c:v>119.05989809</c:v>
                </c:pt>
                <c:pt idx="356">
                  <c:v>54.009464620000003</c:v>
                </c:pt>
                <c:pt idx="357">
                  <c:v>55.800565180000007</c:v>
                </c:pt>
                <c:pt idx="358">
                  <c:v>102.86841751</c:v>
                </c:pt>
                <c:pt idx="359">
                  <c:v>77.223056040000003</c:v>
                </c:pt>
                <c:pt idx="360">
                  <c:v>108.19293598</c:v>
                </c:pt>
                <c:pt idx="361">
                  <c:v>111.17395702</c:v>
                </c:pt>
                <c:pt idx="362">
                  <c:v>89.11220745</c:v>
                </c:pt>
                <c:pt idx="363">
                  <c:v>110.13801570000001</c:v>
                </c:pt>
                <c:pt idx="364">
                  <c:v>65.451014839999999</c:v>
                </c:pt>
                <c:pt idx="365">
                  <c:v>76.378123369999997</c:v>
                </c:pt>
                <c:pt idx="366">
                  <c:v>116.91070381</c:v>
                </c:pt>
                <c:pt idx="367">
                  <c:v>89.337138140000008</c:v>
                </c:pt>
                <c:pt idx="368">
                  <c:v>65.352223070000008</c:v>
                </c:pt>
                <c:pt idx="369">
                  <c:v>112.89185502000001</c:v>
                </c:pt>
                <c:pt idx="370">
                  <c:v>117.24922835000001</c:v>
                </c:pt>
                <c:pt idx="371">
                  <c:v>73.66470545</c:v>
                </c:pt>
                <c:pt idx="372">
                  <c:v>124.91358878</c:v>
                </c:pt>
                <c:pt idx="373">
                  <c:v>60.840635399999996</c:v>
                </c:pt>
                <c:pt idx="374">
                  <c:v>144.35484298</c:v>
                </c:pt>
                <c:pt idx="375">
                  <c:v>111.03785805</c:v>
                </c:pt>
                <c:pt idx="376">
                  <c:v>114.15913644</c:v>
                </c:pt>
                <c:pt idx="377">
                  <c:v>121.30463659999999</c:v>
                </c:pt>
                <c:pt idx="378">
                  <c:v>143.31467164</c:v>
                </c:pt>
                <c:pt idx="379">
                  <c:v>74.590991869999996</c:v>
                </c:pt>
                <c:pt idx="380">
                  <c:v>115.4707698</c:v>
                </c:pt>
                <c:pt idx="381">
                  <c:v>146.99282840000001</c:v>
                </c:pt>
                <c:pt idx="382">
                  <c:v>87.365511600000005</c:v>
                </c:pt>
                <c:pt idx="383">
                  <c:v>109.43329968</c:v>
                </c:pt>
                <c:pt idx="384">
                  <c:v>115.36885100000001</c:v>
                </c:pt>
                <c:pt idx="385">
                  <c:v>133.08523479999999</c:v>
                </c:pt>
                <c:pt idx="386">
                  <c:v>65.511892740000008</c:v>
                </c:pt>
                <c:pt idx="387">
                  <c:v>76.853585049999992</c:v>
                </c:pt>
                <c:pt idx="388">
                  <c:v>79.532448900000006</c:v>
                </c:pt>
                <c:pt idx="389">
                  <c:v>91.179799860000003</c:v>
                </c:pt>
                <c:pt idx="390">
                  <c:v>91.420200789999996</c:v>
                </c:pt>
                <c:pt idx="391">
                  <c:v>118.06110941</c:v>
                </c:pt>
                <c:pt idx="392">
                  <c:v>71.106152210000005</c:v>
                </c:pt>
                <c:pt idx="393">
                  <c:v>111.63964883</c:v>
                </c:pt>
                <c:pt idx="394">
                  <c:v>138.10867299</c:v>
                </c:pt>
                <c:pt idx="395">
                  <c:v>101.49969253</c:v>
                </c:pt>
                <c:pt idx="396">
                  <c:v>91.904955489999992</c:v>
                </c:pt>
                <c:pt idx="397">
                  <c:v>64.491669699999989</c:v>
                </c:pt>
                <c:pt idx="398">
                  <c:v>63.291129509999998</c:v>
                </c:pt>
                <c:pt idx="399">
                  <c:v>141.13183960999999</c:v>
                </c:pt>
                <c:pt idx="400">
                  <c:v>90.220991159999997</c:v>
                </c:pt>
                <c:pt idx="401">
                  <c:v>99.297657700000002</c:v>
                </c:pt>
                <c:pt idx="402">
                  <c:v>59.492359870000001</c:v>
                </c:pt>
                <c:pt idx="403">
                  <c:v>68.632946009999998</c:v>
                </c:pt>
                <c:pt idx="404">
                  <c:v>110.09793375</c:v>
                </c:pt>
                <c:pt idx="405">
                  <c:v>72.168440040000007</c:v>
                </c:pt>
                <c:pt idx="406">
                  <c:v>57.677557910000004</c:v>
                </c:pt>
                <c:pt idx="407">
                  <c:v>81.221543669999988</c:v>
                </c:pt>
                <c:pt idx="408">
                  <c:v>70.252286380000001</c:v>
                </c:pt>
                <c:pt idx="409">
                  <c:v>80.408745780000004</c:v>
                </c:pt>
                <c:pt idx="410">
                  <c:v>97.043624149999999</c:v>
                </c:pt>
                <c:pt idx="411">
                  <c:v>67.64181468000001</c:v>
                </c:pt>
                <c:pt idx="412">
                  <c:v>122.08954635000001</c:v>
                </c:pt>
                <c:pt idx="413">
                  <c:v>149.16075128</c:v>
                </c:pt>
                <c:pt idx="414">
                  <c:v>87.44559455000001</c:v>
                </c:pt>
                <c:pt idx="415">
                  <c:v>80.640886600000002</c:v>
                </c:pt>
                <c:pt idx="416">
                  <c:v>59.12091933</c:v>
                </c:pt>
                <c:pt idx="417">
                  <c:v>60.539387939999997</c:v>
                </c:pt>
                <c:pt idx="418">
                  <c:v>67.175188570000003</c:v>
                </c:pt>
                <c:pt idx="419">
                  <c:v>104.06949445000001</c:v>
                </c:pt>
                <c:pt idx="420">
                  <c:v>70.27210135</c:v>
                </c:pt>
                <c:pt idx="421">
                  <c:v>70.05902691</c:v>
                </c:pt>
                <c:pt idx="422">
                  <c:v>55.904661449999999</c:v>
                </c:pt>
                <c:pt idx="423">
                  <c:v>81.4810303</c:v>
                </c:pt>
                <c:pt idx="424">
                  <c:v>106.89829361</c:v>
                </c:pt>
                <c:pt idx="425">
                  <c:v>92.980740370000007</c:v>
                </c:pt>
                <c:pt idx="426">
                  <c:v>89.134208760000007</c:v>
                </c:pt>
                <c:pt idx="427">
                  <c:v>73.305727630000007</c:v>
                </c:pt>
                <c:pt idx="428">
                  <c:v>72.314170779999998</c:v>
                </c:pt>
                <c:pt idx="429">
                  <c:v>113.76866354000001</c:v>
                </c:pt>
                <c:pt idx="430">
                  <c:v>107.99711618000001</c:v>
                </c:pt>
                <c:pt idx="431">
                  <c:v>108.72947672000001</c:v>
                </c:pt>
                <c:pt idx="432">
                  <c:v>101.78201958</c:v>
                </c:pt>
                <c:pt idx="433">
                  <c:v>102.48114741000001</c:v>
                </c:pt>
                <c:pt idx="434">
                  <c:v>78.294917709999993</c:v>
                </c:pt>
                <c:pt idx="435">
                  <c:v>69.678802130000008</c:v>
                </c:pt>
                <c:pt idx="436">
                  <c:v>91.506934690000008</c:v>
                </c:pt>
                <c:pt idx="437">
                  <c:v>85.400543929999998</c:v>
                </c:pt>
                <c:pt idx="438">
                  <c:v>80.195136919999996</c:v>
                </c:pt>
                <c:pt idx="439">
                  <c:v>83.907786610000002</c:v>
                </c:pt>
                <c:pt idx="440">
                  <c:v>74.324323410000005</c:v>
                </c:pt>
                <c:pt idx="441">
                  <c:v>108.75571829</c:v>
                </c:pt>
                <c:pt idx="442">
                  <c:v>67.781215589999988</c:v>
                </c:pt>
                <c:pt idx="443">
                  <c:v>71.459091819999998</c:v>
                </c:pt>
                <c:pt idx="444">
                  <c:v>97.581812020000001</c:v>
                </c:pt>
                <c:pt idx="445">
                  <c:v>65.34765969</c:v>
                </c:pt>
                <c:pt idx="446">
                  <c:v>65.756884759999991</c:v>
                </c:pt>
                <c:pt idx="447">
                  <c:v>105.01400111999999</c:v>
                </c:pt>
                <c:pt idx="448">
                  <c:v>93.067441809999991</c:v>
                </c:pt>
                <c:pt idx="449">
                  <c:v>78.900322869999997</c:v>
                </c:pt>
                <c:pt idx="450">
                  <c:v>85.872114760000002</c:v>
                </c:pt>
                <c:pt idx="451">
                  <c:v>120.62784035999999</c:v>
                </c:pt>
                <c:pt idx="452">
                  <c:v>74.48826244</c:v>
                </c:pt>
                <c:pt idx="453">
                  <c:v>57.604149300000003</c:v>
                </c:pt>
                <c:pt idx="454">
                  <c:v>60.579242039999997</c:v>
                </c:pt>
                <c:pt idx="455">
                  <c:v>100.94079022</c:v>
                </c:pt>
                <c:pt idx="456">
                  <c:v>69.486223929999994</c:v>
                </c:pt>
                <c:pt idx="457">
                  <c:v>107.10325517</c:v>
                </c:pt>
                <c:pt idx="458">
                  <c:v>71.238071840000003</c:v>
                </c:pt>
                <c:pt idx="459">
                  <c:v>138.0878117</c:v>
                </c:pt>
                <c:pt idx="460">
                  <c:v>58.227868839999999</c:v>
                </c:pt>
                <c:pt idx="461">
                  <c:v>82.278103420000008</c:v>
                </c:pt>
                <c:pt idx="462">
                  <c:v>76.25783856999999</c:v>
                </c:pt>
                <c:pt idx="463">
                  <c:v>67.98197193</c:v>
                </c:pt>
                <c:pt idx="464">
                  <c:v>82.097884140000005</c:v>
                </c:pt>
                <c:pt idx="465">
                  <c:v>91.30699731</c:v>
                </c:pt>
                <c:pt idx="466">
                  <c:v>131.28435582999998</c:v>
                </c:pt>
                <c:pt idx="467">
                  <c:v>114.12530742</c:v>
                </c:pt>
                <c:pt idx="468">
                  <c:v>122.37756507</c:v>
                </c:pt>
                <c:pt idx="469">
                  <c:v>101.48485600000001</c:v>
                </c:pt>
                <c:pt idx="470">
                  <c:v>70.800860020000002</c:v>
                </c:pt>
                <c:pt idx="471">
                  <c:v>144.10632009</c:v>
                </c:pt>
                <c:pt idx="472">
                  <c:v>86.412057379999993</c:v>
                </c:pt>
                <c:pt idx="473">
                  <c:v>71.224157450000007</c:v>
                </c:pt>
                <c:pt idx="474">
                  <c:v>84.326820920000003</c:v>
                </c:pt>
                <c:pt idx="475">
                  <c:v>73.722970709999998</c:v>
                </c:pt>
                <c:pt idx="476">
                  <c:v>107.54370531000001</c:v>
                </c:pt>
                <c:pt idx="477">
                  <c:v>76.819599409999995</c:v>
                </c:pt>
                <c:pt idx="478">
                  <c:v>114.94150345</c:v>
                </c:pt>
                <c:pt idx="479">
                  <c:v>55.792064359999998</c:v>
                </c:pt>
                <c:pt idx="480">
                  <c:v>94.762868310000002</c:v>
                </c:pt>
                <c:pt idx="481">
                  <c:v>94.659389715000003</c:v>
                </c:pt>
                <c:pt idx="482">
                  <c:v>92.894420589999996</c:v>
                </c:pt>
                <c:pt idx="483">
                  <c:v>80.167288339999999</c:v>
                </c:pt>
                <c:pt idx="484">
                  <c:v>112.49681092</c:v>
                </c:pt>
                <c:pt idx="485">
                  <c:v>73.970116309999995</c:v>
                </c:pt>
                <c:pt idx="486">
                  <c:v>75.081153430000001</c:v>
                </c:pt>
                <c:pt idx="487">
                  <c:v>84.621963709999989</c:v>
                </c:pt>
                <c:pt idx="488">
                  <c:v>105.48632749000001</c:v>
                </c:pt>
                <c:pt idx="489">
                  <c:v>85.206029000000001</c:v>
                </c:pt>
                <c:pt idx="490">
                  <c:v>108.16013576</c:v>
                </c:pt>
                <c:pt idx="491">
                  <c:v>141.00831077000001</c:v>
                </c:pt>
                <c:pt idx="492">
                  <c:v>73.949148190000003</c:v>
                </c:pt>
                <c:pt idx="493">
                  <c:v>110.06502313999999</c:v>
                </c:pt>
                <c:pt idx="494">
                  <c:v>93.56185782</c:v>
                </c:pt>
                <c:pt idx="495">
                  <c:v>65.013419339999999</c:v>
                </c:pt>
                <c:pt idx="496">
                  <c:v>95.284785580000005</c:v>
                </c:pt>
                <c:pt idx="497">
                  <c:v>63.146722999999994</c:v>
                </c:pt>
                <c:pt idx="498">
                  <c:v>129.83508942</c:v>
                </c:pt>
                <c:pt idx="499">
                  <c:v>123.48563872</c:v>
                </c:pt>
                <c:pt idx="500">
                  <c:v>134.05128078999999</c:v>
                </c:pt>
                <c:pt idx="501">
                  <c:v>87.815274560000006</c:v>
                </c:pt>
                <c:pt idx="502">
                  <c:v>106.55885232</c:v>
                </c:pt>
                <c:pt idx="503">
                  <c:v>62.976098960000002</c:v>
                </c:pt>
                <c:pt idx="504">
                  <c:v>68.40461221000001</c:v>
                </c:pt>
                <c:pt idx="505">
                  <c:v>87.932488579999998</c:v>
                </c:pt>
                <c:pt idx="506">
                  <c:v>70.200848649999998</c:v>
                </c:pt>
                <c:pt idx="507">
                  <c:v>88.784098290000003</c:v>
                </c:pt>
                <c:pt idx="508">
                  <c:v>71.287295479999997</c:v>
                </c:pt>
                <c:pt idx="509">
                  <c:v>114.51553849999999</c:v>
                </c:pt>
                <c:pt idx="510">
                  <c:v>144.16141017000001</c:v>
                </c:pt>
                <c:pt idx="511">
                  <c:v>96.303259069999996</c:v>
                </c:pt>
                <c:pt idx="512">
                  <c:v>89.854288569999994</c:v>
                </c:pt>
                <c:pt idx="513">
                  <c:v>116.49366866</c:v>
                </c:pt>
                <c:pt idx="514">
                  <c:v>72.956708469999995</c:v>
                </c:pt>
                <c:pt idx="515">
                  <c:v>69.71124094000001</c:v>
                </c:pt>
                <c:pt idx="516">
                  <c:v>139.10657644</c:v>
                </c:pt>
                <c:pt idx="517">
                  <c:v>104.44842847000001</c:v>
                </c:pt>
                <c:pt idx="518">
                  <c:v>66.919206489999993</c:v>
                </c:pt>
                <c:pt idx="519">
                  <c:v>75.6313636</c:v>
                </c:pt>
                <c:pt idx="520">
                  <c:v>57.539677470000001</c:v>
                </c:pt>
                <c:pt idx="521">
                  <c:v>90.345872979999996</c:v>
                </c:pt>
                <c:pt idx="522">
                  <c:v>71.696835739999997</c:v>
                </c:pt>
                <c:pt idx="523">
                  <c:v>71.18656587000001</c:v>
                </c:pt>
                <c:pt idx="524">
                  <c:v>123.18234586</c:v>
                </c:pt>
                <c:pt idx="525">
                  <c:v>73.884910869999999</c:v>
                </c:pt>
                <c:pt idx="526">
                  <c:v>88.641226610000004</c:v>
                </c:pt>
                <c:pt idx="527">
                  <c:v>145.41393908999999</c:v>
                </c:pt>
                <c:pt idx="528">
                  <c:v>119.88890142</c:v>
                </c:pt>
                <c:pt idx="529">
                  <c:v>96.259134930000002</c:v>
                </c:pt>
                <c:pt idx="530">
                  <c:v>152.78053847000001</c:v>
                </c:pt>
                <c:pt idx="531">
                  <c:v>92.844319979999995</c:v>
                </c:pt>
                <c:pt idx="532">
                  <c:v>78.04225418</c:v>
                </c:pt>
                <c:pt idx="533">
                  <c:v>123.99580467999999</c:v>
                </c:pt>
                <c:pt idx="534">
                  <c:v>69.620217279999991</c:v>
                </c:pt>
                <c:pt idx="535">
                  <c:v>73.622669959999996</c:v>
                </c:pt>
                <c:pt idx="536">
                  <c:v>89.560226870000008</c:v>
                </c:pt>
                <c:pt idx="537">
                  <c:v>70.967445740000002</c:v>
                </c:pt>
                <c:pt idx="538">
                  <c:v>69.414617390000004</c:v>
                </c:pt>
                <c:pt idx="539">
                  <c:v>77.040362340000001</c:v>
                </c:pt>
                <c:pt idx="540">
                  <c:v>77.398976149999996</c:v>
                </c:pt>
                <c:pt idx="541">
                  <c:v>137.24654903999999</c:v>
                </c:pt>
                <c:pt idx="542">
                  <c:v>74.817205000000001</c:v>
                </c:pt>
                <c:pt idx="543">
                  <c:v>70.901322210000004</c:v>
                </c:pt>
                <c:pt idx="544">
                  <c:v>81.462773159999998</c:v>
                </c:pt>
                <c:pt idx="545">
                  <c:v>138.94889376999998</c:v>
                </c:pt>
                <c:pt idx="546">
                  <c:v>69.281257859999997</c:v>
                </c:pt>
                <c:pt idx="547">
                  <c:v>137.44518955000001</c:v>
                </c:pt>
                <c:pt idx="548">
                  <c:v>82.231000480000006</c:v>
                </c:pt>
                <c:pt idx="549">
                  <c:v>107.96918690000001</c:v>
                </c:pt>
                <c:pt idx="550">
                  <c:v>125.77688254</c:v>
                </c:pt>
                <c:pt idx="551">
                  <c:v>69.484223900000003</c:v>
                </c:pt>
                <c:pt idx="552">
                  <c:v>63.714647169999999</c:v>
                </c:pt>
                <c:pt idx="553">
                  <c:v>93.771231029999996</c:v>
                </c:pt>
                <c:pt idx="554">
                  <c:v>63.523206359999996</c:v>
                </c:pt>
                <c:pt idx="555">
                  <c:v>84.685244479999994</c:v>
                </c:pt>
                <c:pt idx="556">
                  <c:v>109.43972156</c:v>
                </c:pt>
                <c:pt idx="557">
                  <c:v>76.64890389</c:v>
                </c:pt>
                <c:pt idx="558">
                  <c:v>68.732325549999999</c:v>
                </c:pt>
                <c:pt idx="559">
                  <c:v>88.524168290000006</c:v>
                </c:pt>
                <c:pt idx="560">
                  <c:v>128.84404118</c:v>
                </c:pt>
                <c:pt idx="561">
                  <c:v>69.583970170000001</c:v>
                </c:pt>
                <c:pt idx="562">
                  <c:v>90.147136969999991</c:v>
                </c:pt>
                <c:pt idx="563">
                  <c:v>114.21613506</c:v>
                </c:pt>
                <c:pt idx="564">
                  <c:v>103.15621161</c:v>
                </c:pt>
                <c:pt idx="565">
                  <c:v>110.69870925000001</c:v>
                </c:pt>
                <c:pt idx="566">
                  <c:v>147.98360905000001</c:v>
                </c:pt>
                <c:pt idx="567">
                  <c:v>72.582553959999998</c:v>
                </c:pt>
                <c:pt idx="568">
                  <c:v>92.756881710000002</c:v>
                </c:pt>
                <c:pt idx="569">
                  <c:v>90.576748030000005</c:v>
                </c:pt>
                <c:pt idx="570">
                  <c:v>68.529734790000006</c:v>
                </c:pt>
                <c:pt idx="571">
                  <c:v>87.820588579999992</c:v>
                </c:pt>
                <c:pt idx="572">
                  <c:v>111.34009196</c:v>
                </c:pt>
                <c:pt idx="573">
                  <c:v>78.576410820000007</c:v>
                </c:pt>
                <c:pt idx="574">
                  <c:v>120.17640541</c:v>
                </c:pt>
                <c:pt idx="575">
                  <c:v>82.263203860000004</c:v>
                </c:pt>
                <c:pt idx="576">
                  <c:v>101.53664024</c:v>
                </c:pt>
                <c:pt idx="577">
                  <c:v>71.223055930000001</c:v>
                </c:pt>
                <c:pt idx="578">
                  <c:v>76.641513629999992</c:v>
                </c:pt>
                <c:pt idx="579">
                  <c:v>90.683657949999997</c:v>
                </c:pt>
                <c:pt idx="580">
                  <c:v>95.251537509999991</c:v>
                </c:pt>
                <c:pt idx="581">
                  <c:v>112.55089945</c:v>
                </c:pt>
                <c:pt idx="582">
                  <c:v>113.60791302999999</c:v>
                </c:pt>
                <c:pt idx="583">
                  <c:v>70.968035799999996</c:v>
                </c:pt>
                <c:pt idx="584">
                  <c:v>137.97485467000001</c:v>
                </c:pt>
                <c:pt idx="585">
                  <c:v>103.24712491</c:v>
                </c:pt>
                <c:pt idx="586">
                  <c:v>68.811638399999993</c:v>
                </c:pt>
                <c:pt idx="587">
                  <c:v>94.206922200000008</c:v>
                </c:pt>
                <c:pt idx="588">
                  <c:v>67.646738060000004</c:v>
                </c:pt>
                <c:pt idx="589">
                  <c:v>70.818370900000005</c:v>
                </c:pt>
                <c:pt idx="590">
                  <c:v>93.685806940000006</c:v>
                </c:pt>
                <c:pt idx="591">
                  <c:v>88.73352998</c:v>
                </c:pt>
                <c:pt idx="592">
                  <c:v>78.240733930000005</c:v>
                </c:pt>
                <c:pt idx="593">
                  <c:v>66.910877880000001</c:v>
                </c:pt>
                <c:pt idx="594">
                  <c:v>156.41565701000002</c:v>
                </c:pt>
                <c:pt idx="595">
                  <c:v>129.18582307</c:v>
                </c:pt>
                <c:pt idx="596">
                  <c:v>73.322135770000003</c:v>
                </c:pt>
                <c:pt idx="597">
                  <c:v>66.381393199999991</c:v>
                </c:pt>
                <c:pt idx="598">
                  <c:v>97.864342880000009</c:v>
                </c:pt>
                <c:pt idx="599">
                  <c:v>128.45705662</c:v>
                </c:pt>
                <c:pt idx="600">
                  <c:v>72.235953999999992</c:v>
                </c:pt>
                <c:pt idx="601">
                  <c:v>76.215364380000011</c:v>
                </c:pt>
                <c:pt idx="602">
                  <c:v>65.993341530000009</c:v>
                </c:pt>
                <c:pt idx="603">
                  <c:v>64.266749500000003</c:v>
                </c:pt>
                <c:pt idx="604">
                  <c:v>109.63753015</c:v>
                </c:pt>
                <c:pt idx="605">
                  <c:v>116.49945965000001</c:v>
                </c:pt>
                <c:pt idx="606">
                  <c:v>76.306457099999989</c:v>
                </c:pt>
                <c:pt idx="607">
                  <c:v>91.355388860000005</c:v>
                </c:pt>
                <c:pt idx="608">
                  <c:v>82.772470830000003</c:v>
                </c:pt>
                <c:pt idx="609">
                  <c:v>75.740681019999997</c:v>
                </c:pt>
                <c:pt idx="610">
                  <c:v>107.79665023</c:v>
                </c:pt>
                <c:pt idx="611">
                  <c:v>72.274247320000001</c:v>
                </c:pt>
                <c:pt idx="612">
                  <c:v>74.060045070000001</c:v>
                </c:pt>
                <c:pt idx="613">
                  <c:v>83.780434110000002</c:v>
                </c:pt>
                <c:pt idx="614">
                  <c:v>113.01963485</c:v>
                </c:pt>
                <c:pt idx="615">
                  <c:v>66.90978647</c:v>
                </c:pt>
                <c:pt idx="616">
                  <c:v>124.21168492999999</c:v>
                </c:pt>
                <c:pt idx="617">
                  <c:v>111.67359278000001</c:v>
                </c:pt>
                <c:pt idx="618">
                  <c:v>83.998946060000009</c:v>
                </c:pt>
                <c:pt idx="619">
                  <c:v>89.956844360000005</c:v>
                </c:pt>
                <c:pt idx="620">
                  <c:v>72.782413289999994</c:v>
                </c:pt>
                <c:pt idx="621">
                  <c:v>70.349463220000004</c:v>
                </c:pt>
                <c:pt idx="622">
                  <c:v>96.460567679999997</c:v>
                </c:pt>
                <c:pt idx="623">
                  <c:v>146.17062190999999</c:v>
                </c:pt>
                <c:pt idx="624">
                  <c:v>120.47010437</c:v>
                </c:pt>
                <c:pt idx="625">
                  <c:v>116.60233891999999</c:v>
                </c:pt>
                <c:pt idx="626">
                  <c:v>67.172192530000004</c:v>
                </c:pt>
                <c:pt idx="627">
                  <c:v>69.030119900000003</c:v>
                </c:pt>
                <c:pt idx="628">
                  <c:v>124.59405375</c:v>
                </c:pt>
                <c:pt idx="629">
                  <c:v>70.070395779999998</c:v>
                </c:pt>
                <c:pt idx="630">
                  <c:v>88.094066789999999</c:v>
                </c:pt>
                <c:pt idx="631">
                  <c:v>147.63480150999999</c:v>
                </c:pt>
                <c:pt idx="632">
                  <c:v>110.07890352000001</c:v>
                </c:pt>
                <c:pt idx="633">
                  <c:v>139.53814409</c:v>
                </c:pt>
                <c:pt idx="634">
                  <c:v>106.25239056000001</c:v>
                </c:pt>
                <c:pt idx="635">
                  <c:v>69.846499120000004</c:v>
                </c:pt>
                <c:pt idx="636">
                  <c:v>148.82124443000001</c:v>
                </c:pt>
                <c:pt idx="637">
                  <c:v>93.948163800000003</c:v>
                </c:pt>
                <c:pt idx="638">
                  <c:v>80.37514754</c:v>
                </c:pt>
                <c:pt idx="639">
                  <c:v>87.226279579999996</c:v>
                </c:pt>
                <c:pt idx="640">
                  <c:v>85.560116170000001</c:v>
                </c:pt>
                <c:pt idx="641">
                  <c:v>72.89581896</c:v>
                </c:pt>
                <c:pt idx="642">
                  <c:v>95.071466430000001</c:v>
                </c:pt>
                <c:pt idx="643">
                  <c:v>93.474432699999994</c:v>
                </c:pt>
                <c:pt idx="644">
                  <c:v>136.37402813</c:v>
                </c:pt>
                <c:pt idx="645">
                  <c:v>125.25599081000001</c:v>
                </c:pt>
                <c:pt idx="646">
                  <c:v>113.02368602999999</c:v>
                </c:pt>
                <c:pt idx="647">
                  <c:v>73.060833689999995</c:v>
                </c:pt>
                <c:pt idx="648">
                  <c:v>98.664860309999995</c:v>
                </c:pt>
                <c:pt idx="649">
                  <c:v>70.058273069999998</c:v>
                </c:pt>
                <c:pt idx="650">
                  <c:v>153.56504398000001</c:v>
                </c:pt>
                <c:pt idx="651">
                  <c:v>72.325556710000001</c:v>
                </c:pt>
                <c:pt idx="652">
                  <c:v>69.484688809999994</c:v>
                </c:pt>
                <c:pt idx="653">
                  <c:v>86.277476800000002</c:v>
                </c:pt>
                <c:pt idx="654">
                  <c:v>135.88780367999999</c:v>
                </c:pt>
                <c:pt idx="655">
                  <c:v>73.013831740000001</c:v>
                </c:pt>
                <c:pt idx="656">
                  <c:v>124.85240463</c:v>
                </c:pt>
                <c:pt idx="657">
                  <c:v>92.762500720000006</c:v>
                </c:pt>
                <c:pt idx="658">
                  <c:v>133.21472595</c:v>
                </c:pt>
                <c:pt idx="659">
                  <c:v>100.61595270000001</c:v>
                </c:pt>
                <c:pt idx="660">
                  <c:v>74.813426620000001</c:v>
                </c:pt>
                <c:pt idx="661">
                  <c:v>93.173548110000013</c:v>
                </c:pt>
                <c:pt idx="662">
                  <c:v>69.139255730000002</c:v>
                </c:pt>
                <c:pt idx="663">
                  <c:v>123.17111606</c:v>
                </c:pt>
                <c:pt idx="664">
                  <c:v>121.90784458</c:v>
                </c:pt>
                <c:pt idx="665">
                  <c:v>119.92319071</c:v>
                </c:pt>
                <c:pt idx="666">
                  <c:v>72.062094000000002</c:v>
                </c:pt>
                <c:pt idx="667">
                  <c:v>79.251861199999993</c:v>
                </c:pt>
                <c:pt idx="668">
                  <c:v>72.625233350000002</c:v>
                </c:pt>
                <c:pt idx="669">
                  <c:v>145.37358405999998</c:v>
                </c:pt>
                <c:pt idx="670">
                  <c:v>152.51195902000001</c:v>
                </c:pt>
                <c:pt idx="671">
                  <c:v>107.92354429</c:v>
                </c:pt>
                <c:pt idx="672">
                  <c:v>74.996295380000007</c:v>
                </c:pt>
                <c:pt idx="673">
                  <c:v>110.24011073</c:v>
                </c:pt>
                <c:pt idx="674">
                  <c:v>79.941967129999995</c:v>
                </c:pt>
                <c:pt idx="675">
                  <c:v>70.566587690000006</c:v>
                </c:pt>
                <c:pt idx="676">
                  <c:v>134.34821488</c:v>
                </c:pt>
                <c:pt idx="677">
                  <c:v>89.892211199999991</c:v>
                </c:pt>
                <c:pt idx="678">
                  <c:v>80.902325579999996</c:v>
                </c:pt>
                <c:pt idx="679">
                  <c:v>139.98813303</c:v>
                </c:pt>
                <c:pt idx="680">
                  <c:v>78.862425610000003</c:v>
                </c:pt>
                <c:pt idx="681">
                  <c:v>75.339812780000003</c:v>
                </c:pt>
                <c:pt idx="682">
                  <c:v>115.3689464</c:v>
                </c:pt>
                <c:pt idx="683">
                  <c:v>151.66615544000001</c:v>
                </c:pt>
                <c:pt idx="684">
                  <c:v>70.287938749999995</c:v>
                </c:pt>
                <c:pt idx="685">
                  <c:v>70.670626600000006</c:v>
                </c:pt>
                <c:pt idx="686">
                  <c:v>79.318879010000003</c:v>
                </c:pt>
                <c:pt idx="687">
                  <c:v>94.185179330000011</c:v>
                </c:pt>
                <c:pt idx="688">
                  <c:v>98.395545170000005</c:v>
                </c:pt>
                <c:pt idx="689">
                  <c:v>70.997967950000003</c:v>
                </c:pt>
                <c:pt idx="690">
                  <c:v>74.443689399999997</c:v>
                </c:pt>
                <c:pt idx="691">
                  <c:v>76.093155120000006</c:v>
                </c:pt>
                <c:pt idx="692">
                  <c:v>74.187173779999995</c:v>
                </c:pt>
                <c:pt idx="693">
                  <c:v>76.955953569999991</c:v>
                </c:pt>
                <c:pt idx="694">
                  <c:v>159.80831319999999</c:v>
                </c:pt>
                <c:pt idx="695">
                  <c:v>82.279089830000004</c:v>
                </c:pt>
                <c:pt idx="696">
                  <c:v>155.03032915</c:v>
                </c:pt>
                <c:pt idx="697">
                  <c:v>143.14518562000001</c:v>
                </c:pt>
                <c:pt idx="698">
                  <c:v>117.34312721000001</c:v>
                </c:pt>
                <c:pt idx="699">
                  <c:v>117.12654750999999</c:v>
                </c:pt>
                <c:pt idx="700">
                  <c:v>74.45508925</c:v>
                </c:pt>
                <c:pt idx="701">
                  <c:v>68.969072170000004</c:v>
                </c:pt>
                <c:pt idx="702">
                  <c:v>94.957801119999999</c:v>
                </c:pt>
                <c:pt idx="703">
                  <c:v>98.532483080000006</c:v>
                </c:pt>
                <c:pt idx="704">
                  <c:v>113.31337934</c:v>
                </c:pt>
                <c:pt idx="705">
                  <c:v>71.081314919999997</c:v>
                </c:pt>
                <c:pt idx="706">
                  <c:v>74.933708980000006</c:v>
                </c:pt>
                <c:pt idx="707">
                  <c:v>126.41237459999999</c:v>
                </c:pt>
                <c:pt idx="708">
                  <c:v>99.329046919999996</c:v>
                </c:pt>
                <c:pt idx="709">
                  <c:v>149.06366656</c:v>
                </c:pt>
                <c:pt idx="710">
                  <c:v>139.26492729</c:v>
                </c:pt>
                <c:pt idx="711">
                  <c:v>114.02077532</c:v>
                </c:pt>
                <c:pt idx="712">
                  <c:v>149.14044326999999</c:v>
                </c:pt>
                <c:pt idx="713">
                  <c:v>151.21198193000001</c:v>
                </c:pt>
                <c:pt idx="714">
                  <c:v>72.718172339999995</c:v>
                </c:pt>
                <c:pt idx="715">
                  <c:v>75.213359230000009</c:v>
                </c:pt>
                <c:pt idx="716">
                  <c:v>73.023437110000003</c:v>
                </c:pt>
                <c:pt idx="717">
                  <c:v>75.126214489999995</c:v>
                </c:pt>
                <c:pt idx="718">
                  <c:v>80.456939730000002</c:v>
                </c:pt>
                <c:pt idx="719">
                  <c:v>74.537554669999992</c:v>
                </c:pt>
                <c:pt idx="720">
                  <c:v>68.80612859</c:v>
                </c:pt>
                <c:pt idx="721">
                  <c:v>73.161039329999994</c:v>
                </c:pt>
                <c:pt idx="722">
                  <c:v>120.58400460999999</c:v>
                </c:pt>
                <c:pt idx="723">
                  <c:v>153.4720848</c:v>
                </c:pt>
                <c:pt idx="724">
                  <c:v>67.491845210000008</c:v>
                </c:pt>
                <c:pt idx="725">
                  <c:v>73.582417399999997</c:v>
                </c:pt>
                <c:pt idx="726">
                  <c:v>72.658671909999995</c:v>
                </c:pt>
                <c:pt idx="727">
                  <c:v>84.271642749999998</c:v>
                </c:pt>
                <c:pt idx="728">
                  <c:v>155.77072698000001</c:v>
                </c:pt>
                <c:pt idx="729">
                  <c:v>144.67166929999999</c:v>
                </c:pt>
                <c:pt idx="730">
                  <c:v>78.41297917</c:v>
                </c:pt>
                <c:pt idx="731">
                  <c:v>138.81322052000002</c:v>
                </c:pt>
                <c:pt idx="732">
                  <c:v>75.693922079999993</c:v>
                </c:pt>
                <c:pt idx="733">
                  <c:v>72.542188039999999</c:v>
                </c:pt>
                <c:pt idx="734">
                  <c:v>157.98961197</c:v>
                </c:pt>
                <c:pt idx="735">
                  <c:v>95.014102410000007</c:v>
                </c:pt>
                <c:pt idx="736">
                  <c:v>76.010196280000002</c:v>
                </c:pt>
                <c:pt idx="737">
                  <c:v>117.10571738000002</c:v>
                </c:pt>
                <c:pt idx="738">
                  <c:v>116.16462316</c:v>
                </c:pt>
                <c:pt idx="739">
                  <c:v>71.37974675000001</c:v>
                </c:pt>
                <c:pt idx="740">
                  <c:v>73.479034740000003</c:v>
                </c:pt>
                <c:pt idx="741">
                  <c:v>146.93126482</c:v>
                </c:pt>
                <c:pt idx="742">
                  <c:v>119.17147197</c:v>
                </c:pt>
                <c:pt idx="743">
                  <c:v>116.97479333000001</c:v>
                </c:pt>
                <c:pt idx="744">
                  <c:v>139.06750127999999</c:v>
                </c:pt>
                <c:pt idx="745">
                  <c:v>83.558503260000009</c:v>
                </c:pt>
                <c:pt idx="746">
                  <c:v>69.574620019999998</c:v>
                </c:pt>
                <c:pt idx="747">
                  <c:v>77.996648780000001</c:v>
                </c:pt>
                <c:pt idx="748">
                  <c:v>77.787251160000011</c:v>
                </c:pt>
                <c:pt idx="749">
                  <c:v>70.914072500000003</c:v>
                </c:pt>
                <c:pt idx="750">
                  <c:v>78.393533819999988</c:v>
                </c:pt>
                <c:pt idx="751">
                  <c:v>119.14919162</c:v>
                </c:pt>
                <c:pt idx="752">
                  <c:v>77.027279870000001</c:v>
                </c:pt>
                <c:pt idx="753">
                  <c:v>78.274948609999996</c:v>
                </c:pt>
                <c:pt idx="754">
                  <c:v>147.83975101999999</c:v>
                </c:pt>
                <c:pt idx="755">
                  <c:v>75.798734660000008</c:v>
                </c:pt>
                <c:pt idx="756">
                  <c:v>157.75895112000001</c:v>
                </c:pt>
                <c:pt idx="757">
                  <c:v>72.113787790000003</c:v>
                </c:pt>
                <c:pt idx="758">
                  <c:v>75.217125280000005</c:v>
                </c:pt>
                <c:pt idx="759">
                  <c:v>124.60548522000001</c:v>
                </c:pt>
                <c:pt idx="760">
                  <c:v>74.704732280000002</c:v>
                </c:pt>
                <c:pt idx="761">
                  <c:v>151.06951280999999</c:v>
                </c:pt>
                <c:pt idx="762">
                  <c:v>142.67291482000002</c:v>
                </c:pt>
                <c:pt idx="763">
                  <c:v>107.33924703</c:v>
                </c:pt>
                <c:pt idx="764">
                  <c:v>73.11305630999999</c:v>
                </c:pt>
                <c:pt idx="765">
                  <c:v>153.49312716</c:v>
                </c:pt>
                <c:pt idx="766">
                  <c:v>127.29462344000001</c:v>
                </c:pt>
                <c:pt idx="767">
                  <c:v>71.528224840000007</c:v>
                </c:pt>
                <c:pt idx="768">
                  <c:v>72.836172509999997</c:v>
                </c:pt>
                <c:pt idx="769">
                  <c:v>136.13567577000001</c:v>
                </c:pt>
                <c:pt idx="770">
                  <c:v>142.70973552999999</c:v>
                </c:pt>
                <c:pt idx="771">
                  <c:v>160.10394889</c:v>
                </c:pt>
                <c:pt idx="772">
                  <c:v>229.58279568999998</c:v>
                </c:pt>
                <c:pt idx="773">
                  <c:v>231.03113142999999</c:v>
                </c:pt>
                <c:pt idx="774">
                  <c:v>229.57157159000002</c:v>
                </c:pt>
                <c:pt idx="775">
                  <c:v>237.21137981999999</c:v>
                </c:pt>
                <c:pt idx="776">
                  <c:v>238.31755765000003</c:v>
                </c:pt>
                <c:pt idx="777">
                  <c:v>242.25739336999999</c:v>
                </c:pt>
                <c:pt idx="778">
                  <c:v>248.46485275999999</c:v>
                </c:pt>
                <c:pt idx="779">
                  <c:v>236.58718138</c:v>
                </c:pt>
                <c:pt idx="780">
                  <c:v>256.68366993000001</c:v>
                </c:pt>
                <c:pt idx="781">
                  <c:v>256.9076063</c:v>
                </c:pt>
                <c:pt idx="782">
                  <c:v>266.97743358000002</c:v>
                </c:pt>
                <c:pt idx="783">
                  <c:v>238.74400179</c:v>
                </c:pt>
                <c:pt idx="784">
                  <c:v>243.54527536000001</c:v>
                </c:pt>
                <c:pt idx="785">
                  <c:v>247.66496583999998</c:v>
                </c:pt>
                <c:pt idx="786">
                  <c:v>252.03255235</c:v>
                </c:pt>
                <c:pt idx="787">
                  <c:v>310.97853011999996</c:v>
                </c:pt>
                <c:pt idx="788">
                  <c:v>258.03584940999997</c:v>
                </c:pt>
                <c:pt idx="789">
                  <c:v>257.39573151000002</c:v>
                </c:pt>
                <c:pt idx="790">
                  <c:v>260.51544894</c:v>
                </c:pt>
                <c:pt idx="791">
                  <c:v>266.27691191000002</c:v>
                </c:pt>
                <c:pt idx="792">
                  <c:v>267.52245123</c:v>
                </c:pt>
                <c:pt idx="793">
                  <c:v>268.16949606999998</c:v>
                </c:pt>
                <c:pt idx="794">
                  <c:v>273.92115548999999</c:v>
                </c:pt>
                <c:pt idx="795">
                  <c:v>279.14700174000001</c:v>
                </c:pt>
                <c:pt idx="796">
                  <c:v>272.66684528000002</c:v>
                </c:pt>
                <c:pt idx="797">
                  <c:v>283.03189014999998</c:v>
                </c:pt>
                <c:pt idx="798">
                  <c:v>284.44651446</c:v>
                </c:pt>
                <c:pt idx="799">
                  <c:v>289.55649470999998</c:v>
                </c:pt>
                <c:pt idx="800">
                  <c:v>281.68746044</c:v>
                </c:pt>
                <c:pt idx="801">
                  <c:v>292.69646031000002</c:v>
                </c:pt>
                <c:pt idx="802">
                  <c:v>272.28819797</c:v>
                </c:pt>
              </c:numCache>
            </c:numRef>
          </c:val>
          <c:extLst>
            <c:ext xmlns:c16="http://schemas.microsoft.com/office/drawing/2014/chart" uri="{C3380CC4-5D6E-409C-BE32-E72D297353CC}">
              <c16:uniqueId val="{00000000-686B-4FEA-928A-1B116992F92A}"/>
            </c:ext>
          </c:extLst>
        </c:ser>
        <c:dLbls>
          <c:showLegendKey val="0"/>
          <c:showVal val="0"/>
          <c:showCatName val="0"/>
          <c:showSerName val="0"/>
          <c:showPercent val="0"/>
          <c:showBubbleSize val="0"/>
        </c:dLbls>
        <c:axId val="1449837759"/>
        <c:axId val="1449809919"/>
        <c:axId val="1396874319"/>
      </c:area3DChart>
      <c:catAx>
        <c:axId val="14498377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809919"/>
        <c:crosses val="autoZero"/>
        <c:auto val="1"/>
        <c:lblAlgn val="ctr"/>
        <c:lblOffset val="100"/>
        <c:noMultiLvlLbl val="0"/>
      </c:catAx>
      <c:valAx>
        <c:axId val="14498099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837759"/>
        <c:crosses val="autoZero"/>
        <c:crossBetween val="midCat"/>
      </c:valAx>
      <c:serAx>
        <c:axId val="1396874319"/>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809919"/>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Cost Impact Analysis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Cost Impact Analysis</a:t>
          </a:r>
        </a:p>
      </cx:txPr>
    </cx:title>
    <cx:plotArea>
      <cx:plotAreaRegion>
        <cx:series layoutId="sunburst" uniqueId="{8FC0EBC6-DD1F-425C-BF80-2E084F7B57B9}">
          <cx:tx>
            <cx:txData>
              <cx:f>_xlchart.v1.1</cx:f>
              <cx:v>Average of Transmission Cost</cx:v>
            </cx:txData>
          </cx:tx>
          <cx:dataLabels pos="ctr">
            <cx:visibility seriesName="0" categoryName="1" value="0"/>
          </cx:dataLabels>
          <cx:dataId val="0"/>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tx>
        <cx:txData>
          <cx:v>Top 10 Lowest Cost Sites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Top 10 Lowest Cost Sites</a:t>
          </a:r>
        </a:p>
      </cx:txPr>
    </cx:title>
    <cx:plotArea>
      <cx:plotAreaRegion>
        <cx:series layoutId="waterfall" uniqueId="{4ED835BA-6474-46E4-80C7-38983889CA0A}">
          <cx:tx>
            <cx:txData>
              <cx:f>_xlchart.v1.4</cx:f>
              <cx:v>Sum of Total Energy Cost</cx:v>
            </cx:txData>
          </cx:tx>
          <cx:dataLabels pos="outEnd">
            <cx:visibility seriesName="0" categoryName="0" value="1"/>
          </cx:dataLabels>
          <cx:dataId val="0"/>
          <cx:layoutPr>
            <cx:subtotals/>
          </cx:layoutPr>
        </cx:series>
      </cx:plotAreaRegion>
      <cx:axis id="0">
        <cx:catScaling gapWidth="0.5"/>
        <cx:tickLabels/>
      </cx:axis>
      <cx:axis id="1">
        <cx:valScaling/>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5" Type="http://schemas.microsoft.com/office/2014/relationships/chartEx" Target="../charts/chartEx2.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0</xdr:rowOff>
    </xdr:from>
    <xdr:to>
      <xdr:col>10</xdr:col>
      <xdr:colOff>274320</xdr:colOff>
      <xdr:row>21</xdr:row>
      <xdr:rowOff>0</xdr:rowOff>
    </xdr:to>
    <xdr:graphicFrame macro="">
      <xdr:nvGraphicFramePr>
        <xdr:cNvPr id="2" name="Chart 1">
          <a:extLst>
            <a:ext uri="{FF2B5EF4-FFF2-40B4-BE49-F238E27FC236}">
              <a16:creationId xmlns:a16="http://schemas.microsoft.com/office/drawing/2014/main" id="{0DE0A4EA-4824-460D-AFE1-CFCFF105BD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281940</xdr:colOff>
      <xdr:row>2</xdr:row>
      <xdr:rowOff>0</xdr:rowOff>
    </xdr:from>
    <xdr:to>
      <xdr:col>19</xdr:col>
      <xdr:colOff>243840</xdr:colOff>
      <xdr:row>20</xdr:row>
      <xdr:rowOff>167640</xdr:rowOff>
    </xdr:to>
    <xdr:graphicFrame macro="">
      <xdr:nvGraphicFramePr>
        <xdr:cNvPr id="3" name="Chart 2">
          <a:extLst>
            <a:ext uri="{FF2B5EF4-FFF2-40B4-BE49-F238E27FC236}">
              <a16:creationId xmlns:a16="http://schemas.microsoft.com/office/drawing/2014/main" id="{11B5381F-46DA-4789-AE9A-44203A99E5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21</xdr:row>
      <xdr:rowOff>0</xdr:rowOff>
    </xdr:from>
    <xdr:to>
      <xdr:col>10</xdr:col>
      <xdr:colOff>259080</xdr:colOff>
      <xdr:row>40</xdr:row>
      <xdr:rowOff>137160</xdr:rowOff>
    </xdr:to>
    <xdr:graphicFrame macro="">
      <xdr:nvGraphicFramePr>
        <xdr:cNvPr id="4" name="Chart 3">
          <a:extLst>
            <a:ext uri="{FF2B5EF4-FFF2-40B4-BE49-F238E27FC236}">
              <a16:creationId xmlns:a16="http://schemas.microsoft.com/office/drawing/2014/main" id="{8309A786-43DF-4290-9ACB-38D6C5DF8C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266700</xdr:colOff>
      <xdr:row>20</xdr:row>
      <xdr:rowOff>175260</xdr:rowOff>
    </xdr:from>
    <xdr:to>
      <xdr:col>19</xdr:col>
      <xdr:colOff>259080</xdr:colOff>
      <xdr:row>40</xdr:row>
      <xdr:rowOff>137160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CA166ACB-94CE-4DF9-B717-D84A79FAE85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6362700" y="3832860"/>
              <a:ext cx="5471160" cy="36195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0</xdr:colOff>
      <xdr:row>40</xdr:row>
      <xdr:rowOff>121920</xdr:rowOff>
    </xdr:from>
    <xdr:to>
      <xdr:col>10</xdr:col>
      <xdr:colOff>259080</xdr:colOff>
      <xdr:row>59</xdr:row>
      <xdr:rowOff>0</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93BE1865-E984-4F86-BC5E-20A21C51DD8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0" y="7437120"/>
              <a:ext cx="6355080" cy="33528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259080</xdr:colOff>
      <xdr:row>40</xdr:row>
      <xdr:rowOff>121920</xdr:rowOff>
    </xdr:from>
    <xdr:to>
      <xdr:col>19</xdr:col>
      <xdr:colOff>266700</xdr:colOff>
      <xdr:row>59</xdr:row>
      <xdr:rowOff>0</xdr:rowOff>
    </xdr:to>
    <xdr:graphicFrame macro="">
      <xdr:nvGraphicFramePr>
        <xdr:cNvPr id="7" name="Chart 6">
          <a:extLst>
            <a:ext uri="{FF2B5EF4-FFF2-40B4-BE49-F238E27FC236}">
              <a16:creationId xmlns:a16="http://schemas.microsoft.com/office/drawing/2014/main" id="{452839DC-4CD7-4D2B-98D8-FECD8DA081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25</xdr:row>
      <xdr:rowOff>98323</xdr:rowOff>
    </xdr:from>
    <xdr:to>
      <xdr:col>10</xdr:col>
      <xdr:colOff>380999</xdr:colOff>
      <xdr:row>53</xdr:row>
      <xdr:rowOff>0</xdr:rowOff>
    </xdr:to>
    <xdr:pic>
      <xdr:nvPicPr>
        <xdr:cNvPr id="2" name="Picture 1">
          <a:extLst>
            <a:ext uri="{FF2B5EF4-FFF2-40B4-BE49-F238E27FC236}">
              <a16:creationId xmlns:a16="http://schemas.microsoft.com/office/drawing/2014/main" id="{81325FE9-64C8-9FEE-AC32-05D03143226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4707194"/>
          <a:ext cx="6526160" cy="5075903"/>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0</xdr:col>
      <xdr:colOff>0</xdr:colOff>
      <xdr:row>2</xdr:row>
      <xdr:rowOff>152401</xdr:rowOff>
    </xdr:from>
    <xdr:to>
      <xdr:col>10</xdr:col>
      <xdr:colOff>356420</xdr:colOff>
      <xdr:row>24</xdr:row>
      <xdr:rowOff>159774</xdr:rowOff>
    </xdr:to>
    <xdr:pic>
      <xdr:nvPicPr>
        <xdr:cNvPr id="3" name="Picture 2">
          <a:extLst>
            <a:ext uri="{FF2B5EF4-FFF2-40B4-BE49-F238E27FC236}">
              <a16:creationId xmlns:a16="http://schemas.microsoft.com/office/drawing/2014/main" id="{66E8E791-13F7-8570-C14D-BEB2A47BDA76}"/>
            </a:ext>
          </a:extLst>
        </xdr:cNvPr>
        <xdr:cNvPicPr>
          <a:picLocks noChangeAspect="1"/>
        </xdr:cNvPicPr>
      </xdr:nvPicPr>
      <xdr:blipFill>
        <a:blip xmlns:r="http://schemas.openxmlformats.org/officeDocument/2006/relationships" r:embed="rId2"/>
        <a:stretch>
          <a:fillRect/>
        </a:stretch>
      </xdr:blipFill>
      <xdr:spPr>
        <a:xfrm>
          <a:off x="0" y="521111"/>
          <a:ext cx="6501581" cy="4063179"/>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10</xdr:col>
      <xdr:colOff>417871</xdr:colOff>
      <xdr:row>2</xdr:row>
      <xdr:rowOff>14750</xdr:rowOff>
    </xdr:from>
    <xdr:to>
      <xdr:col>30</xdr:col>
      <xdr:colOff>553065</xdr:colOff>
      <xdr:row>25</xdr:row>
      <xdr:rowOff>1</xdr:rowOff>
    </xdr:to>
    <xdr:pic>
      <xdr:nvPicPr>
        <xdr:cNvPr id="5" name="Picture 4">
          <a:extLst>
            <a:ext uri="{FF2B5EF4-FFF2-40B4-BE49-F238E27FC236}">
              <a16:creationId xmlns:a16="http://schemas.microsoft.com/office/drawing/2014/main" id="{6E34C4A5-FDD4-04A1-B90F-3E02B792B913}"/>
            </a:ext>
          </a:extLst>
        </xdr:cNvPr>
        <xdr:cNvPicPr>
          <a:picLocks noChangeAspect="1"/>
        </xdr:cNvPicPr>
      </xdr:nvPicPr>
      <xdr:blipFill>
        <a:blip xmlns:r="http://schemas.openxmlformats.org/officeDocument/2006/relationships" r:embed="rId3"/>
        <a:stretch>
          <a:fillRect/>
        </a:stretch>
      </xdr:blipFill>
      <xdr:spPr>
        <a:xfrm>
          <a:off x="6563032" y="383460"/>
          <a:ext cx="6292646" cy="4225412"/>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10</xdr:col>
      <xdr:colOff>430162</xdr:colOff>
      <xdr:row>25</xdr:row>
      <xdr:rowOff>110614</xdr:rowOff>
    </xdr:from>
    <xdr:to>
      <xdr:col>30</xdr:col>
      <xdr:colOff>540774</xdr:colOff>
      <xdr:row>52</xdr:row>
      <xdr:rowOff>61451</xdr:rowOff>
    </xdr:to>
    <xdr:pic>
      <xdr:nvPicPr>
        <xdr:cNvPr id="6" name="Picture 5">
          <a:extLst>
            <a:ext uri="{FF2B5EF4-FFF2-40B4-BE49-F238E27FC236}">
              <a16:creationId xmlns:a16="http://schemas.microsoft.com/office/drawing/2014/main" id="{BE2EDF34-7B60-4C71-8106-8561D9F5CEC9}"/>
            </a:ext>
          </a:extLst>
        </xdr:cNvPr>
        <xdr:cNvPicPr>
          <a:picLocks noChangeAspect="1"/>
        </xdr:cNvPicPr>
      </xdr:nvPicPr>
      <xdr:blipFill>
        <a:blip xmlns:r="http://schemas.openxmlformats.org/officeDocument/2006/relationships" r:embed="rId4"/>
        <a:stretch>
          <a:fillRect/>
        </a:stretch>
      </xdr:blipFill>
      <xdr:spPr>
        <a:xfrm>
          <a:off x="6575323" y="4719485"/>
          <a:ext cx="6268064" cy="4928418"/>
        </a:xfrm>
        <a:prstGeom prst="rect">
          <a:avLst/>
        </a:prstGeom>
        <a:ln>
          <a:noFill/>
        </a:ln>
        <a:effectLst>
          <a:outerShdw blurRad="292100" dist="139700" dir="2700000" algn="tl" rotWithShape="0">
            <a:srgbClr val="333333">
              <a:alpha val="65000"/>
            </a:srgbClr>
          </a:outerShdw>
        </a:effec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o n" refreshedDate="46083.949995833333" createdVersion="8" refreshedVersion="8" minRefreshableVersion="3" recordCount="860" xr:uid="{6E2EF636-91A5-416D-BAE2-EAC66996EC95}">
  <cacheSource type="worksheet">
    <worksheetSource name="Table1"/>
  </cacheSource>
  <cacheFields count="25">
    <cacheField name="S.No" numFmtId="0">
      <sharedItems containsSemiMixedTypes="0" containsString="0" containsNumber="1" containsInteger="1" minValue="1" maxValue="860"/>
    </cacheField>
    <cacheField name="Site ID" numFmtId="0">
      <sharedItems containsSemiMixedTypes="0" containsString="0" containsNumber="1" containsInteger="1" minValue="416" maxValue="7716" count="860">
        <n v="416"/>
        <n v="796"/>
        <n v="797"/>
        <n v="798"/>
        <n v="799"/>
        <n v="1176"/>
        <n v="1177"/>
        <n v="1178"/>
        <n v="1179"/>
        <n v="1180"/>
        <n v="1543"/>
        <n v="1557"/>
        <n v="1558"/>
        <n v="1559"/>
        <n v="1560"/>
        <n v="1923"/>
        <n v="1924"/>
        <n v="1937"/>
        <n v="1938"/>
        <n v="1939"/>
        <n v="2303"/>
        <n v="2304"/>
        <n v="2305"/>
        <n v="2315"/>
        <n v="2316"/>
        <n v="2317"/>
        <n v="2318"/>
        <n v="2319"/>
        <n v="2320"/>
        <n v="2321"/>
        <n v="2333"/>
        <n v="2334"/>
        <n v="2682"/>
        <n v="2683"/>
        <n v="2684"/>
        <n v="2685"/>
        <n v="2686"/>
        <n v="2695"/>
        <n v="2696"/>
        <n v="2697"/>
        <n v="2698"/>
        <n v="2699"/>
        <n v="2700"/>
        <n v="2701"/>
        <n v="2702"/>
        <n v="2703"/>
        <n v="2707"/>
        <n v="2712"/>
        <n v="2713"/>
        <n v="2714"/>
        <n v="2715"/>
        <n v="2716"/>
        <n v="2717"/>
        <n v="2718"/>
        <n v="3062"/>
        <n v="3063"/>
        <n v="3064"/>
        <n v="3065"/>
        <n v="3066"/>
        <n v="3067"/>
        <n v="3068"/>
        <n v="3074"/>
        <n v="3075"/>
        <n v="3076"/>
        <n v="3077"/>
        <n v="3078"/>
        <n v="3079"/>
        <n v="3080"/>
        <n v="3081"/>
        <n v="3082"/>
        <n v="3088"/>
        <n v="3089"/>
        <n v="3090"/>
        <n v="3092"/>
        <n v="3093"/>
        <n v="3094"/>
        <n v="3095"/>
        <n v="3096"/>
        <n v="3097"/>
        <n v="3098"/>
        <n v="3099"/>
        <n v="3100"/>
        <n v="3101"/>
        <n v="3102"/>
        <n v="3443"/>
        <n v="3444"/>
        <n v="3448"/>
        <n v="3449"/>
        <n v="3450"/>
        <n v="3451"/>
        <n v="3454"/>
        <n v="3455"/>
        <n v="3456"/>
        <n v="3457"/>
        <n v="3458"/>
        <n v="3459"/>
        <n v="3460"/>
        <n v="3461"/>
        <n v="3462"/>
        <n v="3468"/>
        <n v="3469"/>
        <n v="3470"/>
        <n v="3472"/>
        <n v="3473"/>
        <n v="3474"/>
        <n v="3475"/>
        <n v="3476"/>
        <n v="3477"/>
        <n v="3478"/>
        <n v="3479"/>
        <n v="3480"/>
        <n v="3481"/>
        <n v="3482"/>
        <n v="3483"/>
        <n v="3484"/>
        <n v="3485"/>
        <n v="3486"/>
        <n v="3487"/>
        <n v="3823"/>
        <n v="3824"/>
        <n v="3825"/>
        <n v="3830"/>
        <n v="3831"/>
        <n v="3832"/>
        <n v="3833"/>
        <n v="3836"/>
        <n v="3837"/>
        <n v="3838"/>
        <n v="3839"/>
        <n v="3840"/>
        <n v="3841"/>
        <n v="3842"/>
        <n v="3848"/>
        <n v="3849"/>
        <n v="3850"/>
        <n v="3851"/>
        <n v="3852"/>
        <n v="3853"/>
        <n v="3854"/>
        <n v="3855"/>
        <n v="3856"/>
        <n v="3857"/>
        <n v="3858"/>
        <n v="3859"/>
        <n v="3860"/>
        <n v="3861"/>
        <n v="3862"/>
        <n v="3863"/>
        <n v="3864"/>
        <n v="3865"/>
        <n v="3866"/>
        <n v="3867"/>
        <n v="3869"/>
        <n v="3870"/>
        <n v="3871"/>
        <n v="4203"/>
        <n v="4204"/>
        <n v="4205"/>
        <n v="4212"/>
        <n v="4213"/>
        <n v="4215"/>
        <n v="4216"/>
        <n v="4217"/>
        <n v="4218"/>
        <n v="4219"/>
        <n v="4221"/>
        <n v="4228"/>
        <n v="4229"/>
        <n v="4230"/>
        <n v="4231"/>
        <n v="4232"/>
        <n v="4233"/>
        <n v="4234"/>
        <n v="4235"/>
        <n v="4236"/>
        <n v="4237"/>
        <n v="4238"/>
        <n v="4239"/>
        <n v="4240"/>
        <n v="4241"/>
        <n v="4242"/>
        <n v="4243"/>
        <n v="4244"/>
        <n v="4245"/>
        <n v="4246"/>
        <n v="4247"/>
        <n v="4248"/>
        <n v="4249"/>
        <n v="4250"/>
        <n v="4251"/>
        <n v="4252"/>
        <n v="4253"/>
        <n v="4254"/>
        <n v="4583"/>
        <n v="4584"/>
        <n v="4585"/>
        <n v="4592"/>
        <n v="4593"/>
        <n v="4594"/>
        <n v="4595"/>
        <n v="4596"/>
        <n v="4597"/>
        <n v="4598"/>
        <n v="4599"/>
        <n v="4600"/>
        <n v="4606"/>
        <n v="4608"/>
        <n v="4609"/>
        <n v="4610"/>
        <n v="4611"/>
        <n v="4612"/>
        <n v="4613"/>
        <n v="4614"/>
        <n v="4615"/>
        <n v="4616"/>
        <n v="4617"/>
        <n v="4618"/>
        <n v="4619"/>
        <n v="4620"/>
        <n v="4621"/>
        <n v="4622"/>
        <n v="4623"/>
        <n v="4624"/>
        <n v="4625"/>
        <n v="4626"/>
        <n v="4627"/>
        <n v="4628"/>
        <n v="4629"/>
        <n v="4630"/>
        <n v="4631"/>
        <n v="4632"/>
        <n v="4633"/>
        <n v="4634"/>
        <n v="4636"/>
        <n v="4637"/>
        <n v="4638"/>
        <n v="4639"/>
        <n v="4640"/>
        <n v="4963"/>
        <n v="4964"/>
        <n v="4965"/>
        <n v="4971"/>
        <n v="4973"/>
        <n v="4974"/>
        <n v="4975"/>
        <n v="4976"/>
        <n v="4977"/>
        <n v="4978"/>
        <n v="4979"/>
        <n v="4980"/>
        <n v="4989"/>
        <n v="4990"/>
        <n v="4991"/>
        <n v="4992"/>
        <n v="4993"/>
        <n v="4994"/>
        <n v="4995"/>
        <n v="4996"/>
        <n v="4997"/>
        <n v="4998"/>
        <n v="4999"/>
        <n v="5000"/>
        <n v="5001"/>
        <n v="5002"/>
        <n v="5003"/>
        <n v="5004"/>
        <n v="5005"/>
        <n v="5006"/>
        <n v="5007"/>
        <n v="5008"/>
        <n v="5009"/>
        <n v="5010"/>
        <n v="5011"/>
        <n v="5012"/>
        <n v="5013"/>
        <n v="5014"/>
        <n v="5015"/>
        <n v="5016"/>
        <n v="5017"/>
        <n v="5019"/>
        <n v="5020"/>
        <n v="5021"/>
        <n v="5024"/>
        <n v="5025"/>
        <n v="5342"/>
        <n v="5343"/>
        <n v="5344"/>
        <n v="5345"/>
        <n v="5346"/>
        <n v="5350"/>
        <n v="5351"/>
        <n v="5352"/>
        <n v="5353"/>
        <n v="5355"/>
        <n v="5356"/>
        <n v="5357"/>
        <n v="5358"/>
        <n v="5359"/>
        <n v="5369"/>
        <n v="5370"/>
        <n v="5371"/>
        <n v="5372"/>
        <n v="5373"/>
        <n v="5374"/>
        <n v="5375"/>
        <n v="5376"/>
        <n v="5377"/>
        <n v="5378"/>
        <n v="5379"/>
        <n v="5380"/>
        <n v="5381"/>
        <n v="5382"/>
        <n v="5383"/>
        <n v="5384"/>
        <n v="5385"/>
        <n v="5386"/>
        <n v="5387"/>
        <n v="5388"/>
        <n v="5389"/>
        <n v="5390"/>
        <n v="5391"/>
        <n v="5392"/>
        <n v="5393"/>
        <n v="5394"/>
        <n v="5395"/>
        <n v="5396"/>
        <n v="5397"/>
        <n v="5398"/>
        <n v="5399"/>
        <n v="5400"/>
        <n v="5401"/>
        <n v="5402"/>
        <n v="5404"/>
        <n v="5405"/>
        <n v="5409"/>
        <n v="5410"/>
        <n v="5411"/>
        <n v="5723"/>
        <n v="5724"/>
        <n v="5725"/>
        <n v="5726"/>
        <n v="5728"/>
        <n v="5729"/>
        <n v="5731"/>
        <n v="5732"/>
        <n v="5733"/>
        <n v="5734"/>
        <n v="5735"/>
        <n v="5736"/>
        <n v="5737"/>
        <n v="5738"/>
        <n v="5739"/>
        <n v="5740"/>
        <n v="5745"/>
        <n v="5747"/>
        <n v="5748"/>
        <n v="5749"/>
        <n v="5750"/>
        <n v="5751"/>
        <n v="5752"/>
        <n v="5753"/>
        <n v="5754"/>
        <n v="5755"/>
        <n v="5756"/>
        <n v="5757"/>
        <n v="5758"/>
        <n v="5759"/>
        <n v="5760"/>
        <n v="5761"/>
        <n v="5762"/>
        <n v="5763"/>
        <n v="5764"/>
        <n v="5765"/>
        <n v="5766"/>
        <n v="5767"/>
        <n v="5768"/>
        <n v="5769"/>
        <n v="5770"/>
        <n v="5771"/>
        <n v="5772"/>
        <n v="5773"/>
        <n v="5774"/>
        <n v="5775"/>
        <n v="5776"/>
        <n v="5777"/>
        <n v="5778"/>
        <n v="5780"/>
        <n v="5781"/>
        <n v="5782"/>
        <n v="5783"/>
        <n v="5784"/>
        <n v="5785"/>
        <n v="5789"/>
        <n v="5790"/>
        <n v="5791"/>
        <n v="5792"/>
        <n v="5793"/>
        <n v="5794"/>
        <n v="5795"/>
        <n v="5796"/>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70"/>
        <n v="6171"/>
        <n v="6172"/>
        <n v="6173"/>
        <n v="6174"/>
        <n v="6175"/>
        <n v="6176"/>
        <n v="6177"/>
        <n v="6178"/>
        <n v="6179"/>
        <n v="6180"/>
        <n v="6181"/>
        <n v="6182"/>
        <n v="6438"/>
        <n v="6443"/>
        <n v="6444"/>
        <n v="6445"/>
        <n v="6482"/>
        <n v="6483"/>
        <n v="6484"/>
        <n v="6485"/>
        <n v="6486"/>
        <n v="6487"/>
        <n v="6488"/>
        <n v="6489"/>
        <n v="6490"/>
        <n v="6491"/>
        <n v="6492"/>
        <n v="6493"/>
        <n v="6494"/>
        <n v="6495"/>
        <n v="6496"/>
        <n v="6497"/>
        <n v="6498"/>
        <n v="6499"/>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5"/>
        <n v="6550"/>
        <n v="6551"/>
        <n v="6552"/>
        <n v="6553"/>
        <n v="6554"/>
        <n v="6555"/>
        <n v="6556"/>
        <n v="6557"/>
        <n v="6558"/>
        <n v="6559"/>
        <n v="6560"/>
        <n v="6561"/>
        <n v="6562"/>
        <n v="6563"/>
        <n v="6564"/>
        <n v="6565"/>
        <n v="6566"/>
        <n v="6567"/>
        <n v="6568"/>
        <n v="6569"/>
        <n v="6818"/>
        <n v="6822"/>
        <n v="6823"/>
        <n v="6824"/>
        <n v="6825"/>
        <n v="6826"/>
        <n v="6862"/>
        <n v="6863"/>
        <n v="6864"/>
        <n v="6865"/>
        <n v="6866"/>
        <n v="6867"/>
        <n v="6868"/>
        <n v="6869"/>
        <n v="6870"/>
        <n v="6871"/>
        <n v="6872"/>
        <n v="6874"/>
        <n v="6875"/>
        <n v="6876"/>
        <n v="6877"/>
        <n v="6878"/>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30"/>
        <n v="6931"/>
        <n v="6932"/>
        <n v="6933"/>
        <n v="6934"/>
        <n v="6935"/>
        <n v="6936"/>
        <n v="6937"/>
        <n v="6938"/>
        <n v="6939"/>
        <n v="6940"/>
        <n v="6941"/>
        <n v="6942"/>
        <n v="6943"/>
        <n v="6944"/>
        <n v="6945"/>
        <n v="6946"/>
        <n v="6947"/>
        <n v="6948"/>
        <n v="6949"/>
        <n v="6950"/>
        <n v="6951"/>
        <n v="6952"/>
        <n v="6953"/>
        <n v="6954"/>
        <n v="6955"/>
        <n v="7197"/>
        <n v="7198"/>
        <n v="7199"/>
        <n v="7201"/>
        <n v="7202"/>
        <n v="7203"/>
        <n v="7204"/>
        <n v="7205"/>
        <n v="7206"/>
        <n v="7207"/>
        <n v="7242"/>
        <n v="7243"/>
        <n v="7244"/>
        <n v="7245"/>
        <n v="7246"/>
        <n v="7247"/>
        <n v="7248"/>
        <n v="7249"/>
        <n v="7250"/>
        <n v="7251"/>
        <n v="7252"/>
        <n v="7253"/>
        <n v="7254"/>
        <n v="7255"/>
        <n v="7256"/>
        <n v="7257"/>
        <n v="7258"/>
        <n v="7259"/>
        <n v="7260"/>
        <n v="7261"/>
        <n v="7264"/>
        <n v="7265"/>
        <n v="7266"/>
        <n v="7267"/>
        <n v="7268"/>
        <n v="7269"/>
        <n v="7270"/>
        <n v="7271"/>
        <n v="7272"/>
        <n v="7273"/>
        <n v="7275"/>
        <n v="7276"/>
        <n v="7277"/>
        <n v="7278"/>
        <n v="7279"/>
        <n v="7280"/>
        <n v="7281"/>
        <n v="7282"/>
        <n v="7283"/>
        <n v="7284"/>
        <n v="7285"/>
        <n v="7286"/>
        <n v="7287"/>
        <n v="7288"/>
        <n v="7289"/>
        <n v="7290"/>
        <n v="7291"/>
        <n v="7292"/>
        <n v="7293"/>
        <n v="7294"/>
        <n v="7295"/>
        <n v="7296"/>
        <n v="7297"/>
        <n v="7298"/>
        <n v="7299"/>
        <n v="7300"/>
        <n v="7301"/>
        <n v="7302"/>
        <n v="7303"/>
        <n v="7304"/>
        <n v="7305"/>
        <n v="7306"/>
        <n v="7307"/>
        <n v="7308"/>
        <n v="7310"/>
        <n v="7311"/>
        <n v="7312"/>
        <n v="7313"/>
        <n v="7314"/>
        <n v="7315"/>
        <n v="7316"/>
        <n v="7317"/>
        <n v="7318"/>
        <n v="7319"/>
        <n v="7320"/>
        <n v="7321"/>
        <n v="7322"/>
        <n v="7323"/>
        <n v="7324"/>
        <n v="7325"/>
        <n v="7326"/>
        <n v="7327"/>
        <n v="7328"/>
        <n v="7329"/>
        <n v="7330"/>
        <n v="7331"/>
        <n v="7332"/>
        <n v="7333"/>
        <n v="7334"/>
        <n v="7335"/>
        <n v="7336"/>
        <n v="7337"/>
        <n v="7338"/>
        <n v="7339"/>
        <n v="7340"/>
        <n v="7341"/>
        <n v="7342"/>
        <n v="7343"/>
        <n v="7577"/>
        <n v="7578"/>
        <n v="7579"/>
        <n v="7580"/>
        <n v="7581"/>
        <n v="7582"/>
        <n v="7583"/>
        <n v="7584"/>
        <n v="7585"/>
        <n v="7586"/>
        <n v="7587"/>
        <n v="7622"/>
        <n v="7623"/>
        <n v="7624"/>
        <n v="7625"/>
        <n v="7626"/>
        <n v="7627"/>
        <n v="7628"/>
        <n v="7629"/>
        <n v="7630"/>
        <n v="7631"/>
        <n v="7632"/>
        <n v="7633"/>
        <n v="7634"/>
        <n v="7635"/>
        <n v="7636"/>
        <n v="7637"/>
        <n v="7638"/>
        <n v="7639"/>
        <n v="7640"/>
        <n v="7641"/>
        <n v="7644"/>
        <n v="7645"/>
        <n v="7646"/>
        <n v="7647"/>
        <n v="7648"/>
        <n v="7649"/>
        <n v="7650"/>
        <n v="7651"/>
        <n v="7652"/>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90"/>
        <n v="7691"/>
        <n v="7692"/>
        <n v="7693"/>
        <n v="7694"/>
        <n v="7695"/>
        <n v="7696"/>
        <n v="7697"/>
        <n v="7698"/>
        <n v="7699"/>
        <n v="7700"/>
        <n v="7701"/>
        <n v="7702"/>
        <n v="7703"/>
        <n v="7704"/>
        <n v="7705"/>
        <n v="7706"/>
        <n v="7707"/>
        <n v="7708"/>
        <n v="7709"/>
        <n v="7710"/>
        <n v="7711"/>
        <n v="7712"/>
        <n v="7713"/>
        <n v="7714"/>
        <n v="7715"/>
        <n v="7716"/>
      </sharedItems>
    </cacheField>
    <cacheField name="Latitude" numFmtId="165">
      <sharedItems containsSemiMixedTypes="0" containsString="0" containsNumber="1" minValue="46.824154" maxValue="48.998609999999999"/>
    </cacheField>
    <cacheField name="Longitude" numFmtId="165">
      <sharedItems containsSemiMixedTypes="0" containsString="0" containsNumber="1" minValue="-124.662796" maxValue="-67.839780000000005"/>
    </cacheField>
    <cacheField name="Country" numFmtId="49">
      <sharedItems count="1">
        <s v="United States"/>
      </sharedItems>
    </cacheField>
    <cacheField name="State" numFmtId="49">
      <sharedItems count="4">
        <s v="Washington"/>
        <s v="Idaho"/>
        <s v="Montana"/>
        <s v="Maine"/>
      </sharedItems>
    </cacheField>
    <cacheField name="County" numFmtId="49">
      <sharedItems count="34">
        <s v="Whatcom"/>
        <s v="Clallam"/>
        <s v="Skagit"/>
        <s v="Okanogan"/>
        <s v="Island"/>
        <s v="Ferry"/>
        <s v="Snohomish"/>
        <s v="Stevens"/>
        <s v="Pend Oreille"/>
        <s v="Jefferson"/>
        <s v="Boundary"/>
        <s v="Kitsap"/>
        <s v="Chelan"/>
        <s v="Bonner"/>
        <s v="Lincoln"/>
        <s v="Grays Harbor"/>
        <s v="Flathead"/>
        <s v="Mason"/>
        <s v="King"/>
        <s v="Glacier"/>
        <s v="Douglas"/>
        <s v="Toole"/>
        <s v="Aroostook"/>
        <s v="Pierce"/>
        <s v="Liberty"/>
        <s v="Hill"/>
        <s v="Blaine"/>
        <s v="Thurston"/>
        <s v="Kittitas"/>
        <s v="Spokane"/>
        <s v="Sanders"/>
        <s v="Phillips"/>
        <s v="Grant"/>
        <s v="Kootenai"/>
      </sharedItems>
    </cacheField>
    <cacheField name="Time Zone" numFmtId="49">
      <sharedItems containsSemiMixedTypes="0" containsString="0" containsNumber="1" containsInteger="1" minValue="-8" maxValue="-5"/>
    </cacheField>
    <cacheField name="Elevation (Mtrs)" numFmtId="2">
      <sharedItems containsSemiMixedTypes="0" containsString="0" containsNumber="1" minValue="9.4" maxValue="1823.25"/>
    </cacheField>
    <cacheField name="Solar _x000a_Resource" numFmtId="2">
      <sharedItems containsSemiMixedTypes="0" containsString="0" containsNumber="1" minValue="2.9104085" maxValue="4.1048635999999998"/>
    </cacheField>
    <cacheField name="Resource Category" numFmtId="2">
      <sharedItems/>
    </cacheField>
    <cacheField name="Regional Capacity _x000a_Multiplier" numFmtId="2">
      <sharedItems containsSemiMixedTypes="0" containsString="0" containsNumber="1" minValue="0.96682805000000005" maxValue="1.0318456"/>
    </cacheField>
    <cacheField name="Developable Area _x000a_(Sq.Km)" numFmtId="2">
      <sharedItems containsSemiMixedTypes="0" containsString="0" containsNumber="1" minValue="5.1840000000000002E-3" maxValue="108.69001609999999"/>
    </cacheField>
    <cacheField name="Installed Capacity _x000a_(AC -MW)" numFmtId="2">
      <sharedItems containsSemiMixedTypes="0" containsString="0" containsNumber="1" minValue="0.16635222399999999" maxValue="3487.813294"/>
    </cacheField>
    <cacheField name="Installed Capacity _x000a_(DC -MW)" numFmtId="2">
      <sharedItems containsSemiMixedTypes="0" containsString="0" containsNumber="1" minValue="0.222911995" maxValue="4673.670693"/>
    </cacheField>
    <cacheField name="AC/ DC Ratio" numFmtId="2">
      <sharedItems containsSemiMixedTypes="0" containsString="0" containsNumber="1" minValue="0.74626842748528199" maxValue="0.7462687827745631"/>
    </cacheField>
    <cacheField name="Capacity Factor _x000a_(AC %)" numFmtId="10">
      <sharedItems containsSemiMixedTypes="0" containsString="0" containsNumber="1" minValue="0.16318145000000001" maxValue="0.25129449999999998"/>
    </cacheField>
    <cacheField name="Capacity Factor _x000a_(DC %)" numFmtId="10">
      <sharedItems containsSemiMixedTypes="0" containsString="0" containsNumber="1" minValue="0.12177721399999999" maxValue="0.18753323"/>
    </cacheField>
    <cacheField name="Generation Cost _x000a_LCOE (USD/MWh)" numFmtId="164">
      <sharedItems containsSemiMixedTypes="0" containsString="0" containsNumber="1" minValue="38.777399819999999" maxValue="111.4672108"/>
    </cacheField>
    <cacheField name="Distance to _x000a_Grid (Km)" numFmtId="2">
      <sharedItems containsSemiMixedTypes="0" containsString="0" containsNumber="1" minValue="0" maxValue="333.89401279999998" count="803">
        <n v="5.7727922060000001"/>
        <n v="1.288233765"/>
        <n v="1.213675324"/>
        <n v="1.3036753240000001"/>
        <n v="1.44"/>
        <n v="2.9982337650000002"/>
        <n v="0.21727922099999999"/>
        <n v="3.1383051919999998"/>
        <n v="4.7801428530000001"/>
        <n v="11.18668181"/>
        <n v="60.615603849999999"/>
        <n v="0.52455844100000004"/>
        <n v="7.5456558390000001"/>
        <n v="15.582337649999999"/>
        <n v="21.380714269999999"/>
        <n v="35.947467500000002"/>
        <n v="33.230928550000002"/>
        <n v="0.56183766199999996"/>
        <n v="0.66727922100000003"/>
        <n v="12.69484415"/>
        <n v="27.659973999999998"/>
        <n v="19.026824659999999"/>
        <n v="21.085129859999999"/>
        <n v="2.4363961029999999"/>
        <n v="9.5746298680000006"/>
        <n v="1.828233765"/>
        <n v="2.4209545440000002"/>
        <n v="10.214772719999999"/>
        <n v="11.095584410000001"/>
        <n v="1.722792206"/>
        <n v="24.341668810000002"/>
        <n v="21.009474019999999"/>
        <n v="22.346227249999998"/>
        <n v="19.939616869999998"/>
        <n v="7.6793311629999996"/>
        <n v="10.243006490000001"/>
        <n v="5.8138181769999999"/>
        <n v="27.494318159999999"/>
        <n v="1.3782337650000001"/>
        <n v="2.5327922059999999"/>
        <n v="5.5810973979999998"/>
        <n v="3.0046298679999999"/>
        <n v="4.2710259710000003"/>
        <n v="9.740285707"/>
        <n v="0.77911688199999996"/>
        <n v="29.186227250000002"/>
        <n v="26.545344140000001"/>
        <n v="13.916012970000001"/>
        <n v="13.445727270000001"/>
        <n v="3.1782337649999999"/>
        <n v="13.507493500000001"/>
        <n v="37.686155829999997"/>
        <n v="46.075344139999999"/>
        <n v="16.915798689999999"/>
        <n v="4.2864675300000004"/>
        <n v="11.83212337"/>
        <n v="12.52124025"/>
        <n v="7.4955844120000004"/>
        <n v="6.1056558389999998"/>
        <n v="0.18"/>
        <n v="0"/>
        <n v="1.933675324"/>
        <n v="15.39329219"/>
        <n v="6.5838896040000003"/>
        <n v="7.53021428"/>
        <n v="18.223220770000001"/>
        <n v="13.20131168"/>
        <n v="6.8011688250000004"/>
        <n v="2.5855129859999999"/>
        <n v="32.701071399999996"/>
        <n v="32.784675300000004"/>
        <n v="28.45343505"/>
        <n v="25.295941549999998"/>
        <n v="12.25763635"/>
        <n v="3.3928636330000002"/>
        <n v="3.9174220740000001"/>
        <n v="15.95933116"/>
        <n v="28.479474020000001"/>
        <n v="38.862097370000001"/>
        <n v="38.32474672"/>
        <n v="36.319162310000003"/>
        <n v="61.67796749"/>
        <n v="48.550116860000003"/>
        <n v="11.673961029999999"/>
        <n v="13.74240908"/>
        <n v="11.57491557"/>
        <n v="5.3728636329999997"/>
        <n v="0.47183766199999999"/>
        <n v="0.30727922099999999"/>
        <n v="5.9000714270000003"/>
        <n v="20.691597389999998"/>
        <n v="1.8963961030000001"/>
        <n v="3.0946298680000002"/>
        <n v="10.997636350000001"/>
        <n v="7.0455844120000002"/>
        <n v="10.087493500000001"/>
        <n v="1.0491168820000001"/>
        <n v="11.034915570000001"/>
        <n v="24.102551930000001"/>
        <n v="16.574987"/>
        <n v="16.6713831"/>
        <n v="23.330928549999999"/>
        <n v="16.16381818"/>
        <n v="4.1219090889999999"/>
        <n v="8.740142853"/>
        <n v="20.93116882"/>
        <n v="32.339973999999998"/>
        <n v="24.328876609999998"/>
        <n v="22.415941549999999"/>
        <n v="28.8235779"/>
        <n v="32.042837640000002"/>
        <n v="34.604318159999998"/>
        <n v="36.15835062"/>
        <n v="26.560785689999999"/>
        <n v="21.996824660000001"/>
        <n v="18.417564930000001"/>
        <n v="3.9882337649999999"/>
        <n v="27.010785689999999"/>
        <n v="28.45078569"/>
        <n v="43.945772699999999"/>
        <n v="11.726681810000001"/>
        <n v="4.4291883089999997"/>
        <n v="0.127279221"/>
        <n v="2.9364675299999998"/>
        <n v="1.8591168819999999"/>
        <n v="0.09"/>
        <n v="7.5919805150000004"/>
        <n v="2.6973506469999999"/>
        <n v="3.4455844120000001"/>
        <n v="14.876681809999999"/>
        <n v="19.327707780000001"/>
        <n v="5.2237467500000001"/>
        <n v="7.6383051919999998"/>
        <n v="16.95417531"/>
        <n v="18.144915569999998"/>
        <n v="6.0966103829999998"/>
        <n v="2.9827922060000001"/>
        <n v="14.80587012"/>
        <n v="25.204389590000002"/>
        <n v="23.639759720000001"/>
        <n v="11.435941550000001"/>
        <n v="9.6284480450000007"/>
        <n v="12.307707779999999"/>
        <n v="24.722409079999998"/>
        <n v="21.59314934"/>
        <n v="30.73696752"/>
        <n v="17.896753239999999"/>
        <n v="13.778590899999999"/>
        <n v="1.191837662"/>
        <n v="32.859233740000001"/>
        <n v="30.19057141"/>
        <n v="18.097493499999999"/>
        <n v="39.438279199999997"/>
        <n v="40.040045429999999"/>
        <n v="46.345986979999999"/>
        <n v="4.8328636329999997"/>
        <n v="0.61455844100000001"/>
        <n v="0.92183766199999995"/>
        <n v="7.4157272660000002"/>
        <n v="1.2509545440000001"/>
        <n v="15.401240250000001"/>
        <n v="15.2313831"/>
        <n v="22.990571410000001"/>
        <n v="10.11947402"/>
        <n v="3.33"/>
        <n v="6.1237467499999996"/>
        <n v="19.449688299999998"/>
        <n v="9.5166103829999997"/>
        <n v="7.1291883089999999"/>
        <n v="19.729831149999999"/>
        <n v="36.141811670000003"/>
        <n v="22.437779209999999"/>
        <n v="10.58116882"/>
        <n v="6.1738181770000002"/>
        <n v="3.882792206"/>
        <n v="9.9266818099999998"/>
        <n v="8.5819805149999997"/>
        <n v="19.600357129999999"/>
        <n v="14.54601297"/>
        <n v="0.94367532399999998"/>
        <n v="9.5538896040000001"/>
        <n v="18.16145453"/>
        <n v="48.309448019999998"/>
        <n v="39.87438959"/>
        <n v="12.878590900000001"/>
        <n v="5.531025971"/>
        <n v="2.495512986"/>
        <n v="34.36785063"/>
        <n v="50.599376589999999"/>
        <n v="66.107155800000001"/>
        <n v="80.729279169999998"/>
        <n v="0.68911688199999999"/>
        <n v="7.5264675299999997"/>
        <n v="14.25307791"/>
        <n v="15.69947402"/>
        <n v="1.558233765"/>
        <n v="2.1355129860000002"/>
        <n v="11.02477272"/>
        <n v="18.819688299999999"/>
        <n v="26.461740240000001"/>
        <n v="121.87820120000001"/>
        <n v="25.281597390000002"/>
        <n v="11.26124025"/>
        <n v="7.828448045"/>
        <n v="8.2720519419999992"/>
        <n v="1.0709545439999999"/>
        <n v="4.2028636329999998"/>
        <n v="9.3584480449999994"/>
        <n v="21.40035713"/>
        <n v="37.306512959999999"/>
        <n v="28.867253219999998"/>
        <n v="20.554175310000002"/>
        <n v="11.03226622"/>
        <n v="8.1910973980000001"/>
        <n v="0.57727922099999995"/>
        <n v="12.32470129"/>
        <n v="0.34455844099999999"/>
        <n v="10.329259739999999"/>
        <n v="1.281837662"/>
        <n v="9.7365389570000005"/>
        <n v="23.809616869999999"/>
        <n v="56.866941519999997"/>
        <n v="37.753863610000003"/>
        <n v="24.545058430000001"/>
        <n v="11.92212337"/>
        <n v="1.5427922060000001"/>
        <n v="16.702266219999998"/>
        <n v="37.931214249999996"/>
        <n v="56.00687009"/>
        <n v="63.560019429999997"/>
        <n v="53.61789606"/>
        <n v="49.42298049"/>
        <n v="39.813720750000002"/>
        <n v="38.0935779"/>
        <n v="39.633720750000002"/>
        <n v="8.9664675299999992"/>
        <n v="4.547422074"/>
        <n v="16.843889600000001"/>
        <n v="1.5518376620000001"/>
        <n v="5.0320519419999998"/>
        <n v="2.9737467500000001"/>
        <n v="12.02116882"/>
        <n v="18.316967519999999"/>
        <n v="21.75240908"/>
        <n v="19.879402590000002"/>
        <n v="10.22491557"/>
        <n v="1.1018376620000001"/>
        <n v="12.20756493"/>
        <n v="27.44269478"/>
        <n v="32.540714270000002"/>
        <n v="36.055558419999997"/>
        <n v="31.554461020000002"/>
        <n v="22.575201280000002"/>
        <n v="26.076155830000001"/>
        <n v="15.39594155"/>
        <n v="9.7839610310000005"/>
        <n v="1.4772792210000001"/>
        <n v="9.3893311629999996"/>
        <n v="17.512266220000001"/>
        <n v="4.5319805149999999"/>
        <n v="9.1938896040000007"/>
        <n v="22.22689609"/>
        <n v="61.661428530000002"/>
        <n v="31.860188279999999"/>
        <n v="24.769831150000002"/>
        <n v="16.754987"/>
        <n v="0.65183766200000004"/>
        <n v="9.1102857069999992"/>
        <n v="21.051597390000001"/>
        <n v="28.135558419999999"/>
        <n v="47.161285679999999"/>
        <n v="48.834006459999998"/>
        <n v="34.190045429999998"/>
        <n v="29.717181799999999"/>
        <n v="43.063409049999997"/>
        <n v="74.489948010000006"/>
        <n v="21.356681810000001"/>
        <n v="25.1260844"/>
        <n v="23.880428559999999"/>
        <n v="27.035272710000001"/>
        <n v="37.66121425"/>
        <n v="20.012623359999999"/>
        <n v="3.8955844119999998"/>
        <n v="13.71682466"/>
        <n v="16.193149340000002"/>
        <n v="2.5700714269999998"/>
        <n v="2.3373506470000001"/>
        <n v="0.45"/>
        <n v="4.6155844119999996"/>
        <n v="1.6700714270000001"/>
        <n v="14.372409080000001"/>
        <n v="7.1819090890000004"/>
        <n v="2.4800714269999999"/>
        <n v="2.3091168820000001"/>
        <n v="4.6555129859999997"/>
        <n v="11.66116882"/>
        <n v="21.4285909"/>
        <n v="18.498519470000002"/>
        <n v="25.062766209999999"/>
        <n v="33.121740240000001"/>
        <n v="51.914292170000003"/>
        <n v="25.362551929999999"/>
        <n v="10.996538960000001"/>
        <n v="15.49873375"/>
        <n v="17.180499990000001"/>
        <n v="17.422266220000001"/>
        <n v="1.5672792209999999"/>
        <n v="5.1774220739999999"/>
        <n v="17.815798690000001"/>
        <n v="51.841285679999999"/>
        <n v="29.260785689999999"/>
        <n v="13.73866233"/>
        <n v="3.281025971"/>
        <n v="7.7874220740000002"/>
        <n v="0.43455844100000002"/>
        <n v="12.12396103"/>
        <n v="24.03438959"/>
        <n v="34.956370110000002"/>
        <n v="47.356727239999998"/>
        <n v="38.826370109999999"/>
        <n v="25.784318160000002"/>
        <n v="15.407636350000001"/>
        <n v="19.48057141"/>
        <n v="38.073935030000001"/>
        <n v="50.583480479999999"/>
        <n v="28.477922060000001"/>
        <n v="21.112266219999999"/>
        <n v="17.560142849999998"/>
        <n v="17.966012970000001"/>
        <n v="11.24205194"/>
        <n v="16.70601297"/>
        <n v="27.109831150000002"/>
        <n v="16.51322077"/>
        <n v="5.2674220739999997"/>
        <n v="16.674032459999999"/>
        <n v="0.70455844099999998"/>
        <n v="3.979188309"/>
        <n v="5.2519805149999996"/>
        <n v="5.1710259709999997"/>
        <n v="1.356396103"/>
        <n v="0.27"/>
        <n v="3.2437467500000001"/>
        <n v="14.703077909999999"/>
        <n v="15.314987"/>
        <n v="19.691454530000001"/>
        <n v="12.212863629999999"/>
        <n v="11.61484415"/>
        <n v="2.9210259710000002"/>
        <n v="1.362792206"/>
        <n v="4.2736753240000001"/>
        <n v="9.1720519419999995"/>
        <n v="9.8803571340000005"/>
        <n v="6.6057272659999997"/>
        <n v="18.23866233"/>
        <n v="21.076084399999999"/>
        <n v="42.372097369999999"/>
        <n v="35.239162309999998"/>
        <n v="3.3273506469999998"/>
        <n v="14.16042856"/>
        <n v="3.612792206"/>
        <n v="1.5209545440000001"/>
        <n v="3.9855844120000001"/>
        <n v="0.38183766200000002"/>
        <n v="10.36763635"/>
        <n v="35.741883090000002"/>
        <n v="31.468207769999999"/>
        <n v="22.127850630000001"/>
        <n v="12.313006489999999"/>
        <n v="4.4355844119999999"/>
        <n v="18.313220770000001"/>
        <n v="10.36124025"/>
        <n v="7.9301428530000004"/>
        <n v="20.028519469999999"/>
        <n v="27.2796883"/>
        <n v="30.821668809999998"/>
        <n v="16.302337649999998"/>
        <n v="4.7055844120000003"/>
        <n v="7.3347727210000002"/>
        <n v="17.705058430000001"/>
        <n v="27.86446102"/>
        <n v="38.43658439"/>
        <n v="18.868662329999999"/>
        <n v="7.0429350599999996"/>
        <n v="5.6673506470000001"/>
        <n v="11.17763635"/>
        <n v="22.755201280000001"/>
        <n v="34.191597389999998"/>
        <n v="32.151383099999997"/>
        <n v="19.438448050000002"/>
        <n v="7.8657272660000004"/>
        <n v="0.36"/>
        <n v="12.365727270000001"/>
        <n v="26.131525960000001"/>
        <n v="21.510642839999999"/>
        <n v="10.6274935"/>
        <n v="7.0030064860000003"/>
        <n v="12.92116882"/>
        <n v="3.588305192"/>
        <n v="2.5019090890000002"/>
        <n v="7.8593311630000002"/>
        <n v="1.4463961030000001"/>
        <n v="1.536396103"/>
        <n v="0.63"/>
        <n v="17.55594155"/>
        <n v="4.9447012949999998"/>
        <n v="2.7655129860000001"/>
        <n v="0.9"/>
        <n v="2.2473506470000002"/>
        <n v="6.788376618"/>
        <n v="19.827779209999999"/>
        <n v="16.605870119999999"/>
        <n v="0.959116882"/>
        <n v="5.6929350599999999"/>
        <n v="0.86911688200000004"/>
        <n v="2.144558441"/>
        <n v="0.84727922099999997"/>
        <n v="3.4327922059999998"/>
        <n v="1.1982337649999999"/>
        <n v="8.1511688249999992"/>
        <n v="6.8629350599999999"/>
        <n v="11.2521948"/>
        <n v="23.965129860000001"/>
        <n v="24.647850630000001"/>
        <n v="16.233077909999999"/>
        <n v="19.595058430000002"/>
        <n v="6.031097398"/>
        <n v="7.958376618"/>
        <n v="5.1401428530000004"/>
        <n v="13.260428559999999"/>
        <n v="21.677850629999998"/>
        <n v="22.27431816"/>
        <n v="11.636681810000001"/>
        <n v="1.0336753240000001"/>
        <n v="11.891240249999999"/>
        <n v="24.582337649999999"/>
        <n v="16.06587012"/>
        <n v="3.1319090890000001"/>
        <n v="8.8674220740000003"/>
        <n v="18.954915570000001"/>
        <n v="17.450499990000001"/>
        <n v="19.997636350000001"/>
        <n v="7.0610259710000003"/>
        <n v="2.1791883090000002"/>
        <n v="15.20314934"/>
        <n v="22.243435049999999"/>
        <n v="33.458350619999997"/>
        <n v="8.2129350599999995"/>
        <n v="5.6556558389999996"/>
        <n v="7.3619090890000001"/>
        <n v="20.78579869"/>
        <n v="32.970428560000002"/>
        <n v="26.605558420000001"/>
        <n v="20.201668810000001"/>
        <n v="5.540071427"/>
        <n v="6.1572792209999996"/>
        <n v="15.533363619999999"/>
        <n v="25.893506469999998"/>
        <n v="37.6371818"/>
        <n v="53.53584412"/>
        <n v="333.89401279999998"/>
        <n v="241.82628560000001"/>
        <n v="214.90924659999999"/>
        <n v="199.46698040000001"/>
        <n v="8.1783051919999998"/>
        <n v="11.717636349999999"/>
        <n v="23.84159739"/>
        <n v="19.31491557"/>
        <n v="6.378305192"/>
        <n v="7.5366103830000002"/>
        <n v="4.1682337650000001"/>
        <n v="2.8773506470000001"/>
        <n v="1.430954544"/>
        <n v="2.0827922060000001"/>
        <n v="10.10933116"/>
        <n v="24.055129860000001"/>
        <n v="4.5847012950000003"/>
        <n v="6.2702142800000003"/>
        <n v="5.7738896039999998"/>
        <n v="6.9348441479999998"/>
        <n v="16.184103879999999"/>
        <n v="10.13756493"/>
        <n v="8.0084480449999997"/>
        <n v="11.53763635"/>
        <n v="24.26336362"/>
        <n v="42.706512959999998"/>
        <n v="25.064318159999999"/>
        <n v="12.84131168"/>
        <n v="1.71"/>
        <n v="6.797422074"/>
        <n v="9.7120519420000004"/>
        <n v="2.8991883089999999"/>
        <n v="1.1763961030000001"/>
        <n v="10.6338896"/>
        <n v="14.557707779999999"/>
        <n v="4.3764675300000002"/>
        <n v="1.229116882"/>
        <n v="9.0602142800000003"/>
        <n v="20.891240249999999"/>
        <n v="11.763961030000001"/>
        <n v="4.0100714269999997"/>
        <n v="2.6291883089999999"/>
        <n v="2.9455129860000002"/>
        <n v="7.4710973980000004"/>
        <n v="15.14403246"/>
        <n v="8.2874935010000002"/>
        <n v="9.2657986930000007"/>
        <n v="9.7738181770000008"/>
        <n v="3.5664675300000002"/>
        <n v="30.03990258"/>
        <n v="20.144103879999999"/>
        <n v="7.707564928"/>
        <n v="3.733675324"/>
        <n v="14.73880518"/>
        <n v="20.60579869"/>
        <n v="21.940357129999999"/>
        <n v="10.153006489999999"/>
        <n v="3.479116882"/>
        <n v="10.36918831"/>
        <n v="22.411097399999999"/>
        <n v="35.571383099999998"/>
        <n v="47.240499990000004"/>
        <n v="52.640499990000002"/>
        <n v="55.877396079999997"/>
        <n v="52.564844149999999"/>
        <n v="54.28763635"/>
        <n v="56.202123370000002"/>
        <n v="57.912123370000003"/>
        <n v="59.790428560000002"/>
        <n v="328.63938289999999"/>
        <n v="267.58237000000003"/>
        <n v="254.7911297"/>
        <n v="254.990318"/>
        <n v="201.6834479"/>
        <n v="181.26075309999999"/>
        <n v="26.63689609"/>
        <n v="6.8410973979999996"/>
        <n v="11.21491557"/>
        <n v="17.481383099999999"/>
        <n v="19.926824660000001"/>
        <n v="6.8757272660000002"/>
        <n v="33.602623360000003"/>
        <n v="16.923292190000002"/>
        <n v="1.806396103"/>
        <n v="2.3527922060000002"/>
        <n v="0.50911688200000005"/>
        <n v="5.4037467499999998"/>
        <n v="5.5283766180000002"/>
        <n v="5.8010259709999996"/>
        <n v="1.999188309"/>
        <n v="3.0855844120000002"/>
        <n v="3.752863633"/>
        <n v="7.5957272659999999"/>
        <n v="13.971383100000001"/>
        <n v="3.2719805150000001"/>
        <n v="7.3720519419999997"/>
        <n v="3.9238181769999998"/>
        <n v="2.1573506469999999"/>
        <n v="10.05396103"/>
        <n v="24.37255193"/>
        <n v="52.005844119999999"/>
        <n v="44.214675300000003"/>
        <n v="21.540428559999999"/>
        <n v="8.5383051919999993"/>
        <n v="4.9292597359999997"/>
        <n v="5.5091883089999998"/>
        <n v="10.48851947"/>
        <n v="1.700954544"/>
        <n v="4.0383051920000002"/>
        <n v="2.278233765"/>
        <n v="11.32035713"/>
        <n v="17.242266220000001"/>
        <n v="19.84696752"/>
        <n v="26.438805179999999"/>
        <n v="20.15689609"/>
        <n v="12.114915570000001"/>
        <n v="11.549331159999999"/>
        <n v="4.0010259709999998"/>
        <n v="1.9863961029999999"/>
        <n v="9.8302857069999998"/>
        <n v="22.68329219"/>
        <n v="14.61947402"/>
        <n v="1.753675324"/>
        <n v="12.31035713"/>
        <n v="15.37035713"/>
        <n v="20.057850630000001"/>
        <n v="24.345870120000001"/>
        <n v="11.856610379999999"/>
        <n v="2.3245584410000002"/>
        <n v="6.0955129860000001"/>
        <n v="8.2991883089999998"/>
        <n v="10.0863961"/>
        <n v="8.0867532369999999"/>
        <n v="13.1421948"/>
        <n v="16.942480499999999"/>
        <n v="26.564532440000001"/>
        <n v="38.10637011"/>
        <n v="42.832694779999997"/>
        <n v="40.374915569999999"/>
        <n v="41.695129860000002"/>
        <n v="40.522935060000002"/>
        <n v="42.543961029999998"/>
        <n v="44.234772720000002"/>
        <n v="45.982051939999998"/>
        <n v="47.972194799999997"/>
        <n v="50.163077909999998"/>
        <n v="50.239831150000001"/>
        <n v="47.845746699999999"/>
        <n v="42.164961009999999"/>
        <n v="37.54233765"/>
        <n v="36.796753240000001"/>
        <n v="333.13673349999999"/>
        <n v="323.5195258"/>
        <n v="304.83881150000002"/>
        <n v="288.27396729999998"/>
        <n v="282.07191540000002"/>
        <n v="271.5615583"/>
        <n v="190.13256480000001"/>
        <n v="169.63375959999999"/>
        <n v="161.57149340000001"/>
        <n v="161.2529739"/>
        <n v="4.9356558389999998"/>
        <n v="7.8774220740000001"/>
        <n v="0.48727922099999998"/>
        <n v="6.9092597360000001"/>
        <n v="2.9763961029999999"/>
        <n v="10.932123369999999"/>
        <n v="5.4500714270000001"/>
        <n v="2.8027922059999999"/>
        <n v="16.394987"/>
        <n v="38.289019459999999"/>
        <n v="3.3555844119999998"/>
        <n v="4.345584412"/>
        <n v="0.757279221"/>
        <n v="2.1946298679999998"/>
        <n v="6.6893311630000003"/>
        <n v="2.5546298680000001"/>
        <n v="11.22396103"/>
        <n v="22.984175310000001"/>
        <n v="10.01028571"/>
        <n v="3.8364675300000002"/>
        <n v="7.0647727209999998"/>
        <n v="14.030499989999999"/>
        <n v="9.8340324569999993"/>
        <n v="1.924629868"/>
        <n v="5.9847727209999997"/>
        <n v="9.3403571339999996"/>
        <n v="11.05410388"/>
        <n v="7.3784480449999998"/>
        <n v="9.6412402509999993"/>
        <n v="7.2538181770000003"/>
        <n v="19.620642839999999"/>
        <n v="13.38396103"/>
        <n v="4.249188309"/>
        <n v="7.192051942"/>
        <n v="2.3155129859999999"/>
        <n v="8.0265389569999996"/>
        <n v="7.7538896040000003"/>
        <n v="4.8637467499999998"/>
        <n v="6.7074220740000001"/>
        <n v="17.878662330000001"/>
        <n v="9.2684480449999995"/>
        <n v="3.2219090889999999"/>
        <n v="12.10477272"/>
        <n v="19.530642839999999"/>
        <n v="28.297922060000001"/>
        <n v="25.135129859999999"/>
        <n v="22.24233765"/>
        <n v="4.5628636330000001"/>
        <n v="8.9856558389999996"/>
        <n v="18.436753240000002"/>
        <n v="15.835798690000001"/>
        <n v="2.4055129860000002"/>
        <n v="9.4111688250000007"/>
        <n v="33.35820777"/>
        <n v="50.240473989999998"/>
        <n v="28.465129860000001"/>
        <n v="15.40233765"/>
        <n v="7.895512986"/>
        <n v="5.8691883090000001"/>
        <n v="3.6063961029999998"/>
        <n v="7.34646753"/>
        <n v="15.68668181"/>
        <n v="18.21947402"/>
        <n v="24.663746750000001"/>
        <n v="27.12947402"/>
        <n v="30.694844150000002"/>
        <n v="28.407564929999999"/>
        <n v="30.100571410000001"/>
        <n v="28.704701289999999"/>
        <n v="30.563818179999998"/>
        <n v="32.957636350000001"/>
        <n v="34.312935060000001"/>
        <n v="36.029331159999998"/>
        <n v="38.270285710000003"/>
        <n v="38.719831149999997"/>
        <n v="36.333961029999998"/>
        <n v="31.11944802"/>
        <n v="25.87322077"/>
        <n v="24.978519469999998"/>
        <n v="29.750259710000002"/>
        <n v="38.761499960000002"/>
        <n v="48.783480480000001"/>
        <n v="53.012837640000001"/>
        <n v="57.697227230000003"/>
        <n v="62.76345448"/>
        <n v="69.378038919999995"/>
        <n v="74.065077860000002"/>
        <n v="248.4906751"/>
        <n v="325.79401280000002"/>
        <n v="314.42842839999997"/>
        <n v="298.82955179999999"/>
        <n v="301.72609069999999"/>
        <n v="199.36108429999999"/>
        <n v="187.46719469999999"/>
        <n v="177.48404529999999"/>
        <n v="164.58736350000001"/>
        <n v="150.79862979999999"/>
        <n v="144.0144545"/>
        <n v="12.945655840000001"/>
        <n v="10.124772719999999"/>
        <n v="2.1882337650000001"/>
        <n v="6.8128636330000001"/>
        <n v="5.925655839"/>
        <n v="5.5001428529999998"/>
        <n v="4.2119090889999997"/>
        <n v="0.99639610300000003"/>
        <n v="1.7755129860000001"/>
        <n v="4.8392597359999998"/>
        <n v="2.2100714269999999"/>
        <n v="1.955512986"/>
        <n v="1.160954544"/>
        <n v="4.14374675"/>
        <n v="0.25455844100000002"/>
        <n v="4.7274220739999997"/>
        <n v="4.0164675299999999"/>
        <n v="4.5937467500000002"/>
        <n v="17.77587012"/>
        <n v="17.724246740000002"/>
        <n v="7.3155844119999998"/>
        <n v="5.0991168819999997"/>
        <n v="16.172409080000001"/>
        <n v="17.463292190000001"/>
        <n v="11.084987"/>
        <n v="4.845655839"/>
        <n v="1.977350647"/>
        <n v="7.9866103830000004"/>
        <n v="13.05594155"/>
        <n v="8.4430064859999998"/>
        <n v="0.74183766200000001"/>
        <n v="4.7763961029999997"/>
        <n v="4.991025971"/>
        <n v="3.0573506469999998"/>
        <n v="14.514032459999999"/>
        <n v="3.33374675"/>
        <n v="16.5685909"/>
        <n v="12.65491557"/>
        <n v="1.409116882"/>
        <n v="5.4319805150000002"/>
        <n v="18.188590900000001"/>
        <n v="6.9002142800000001"/>
        <n v="7.5520519420000003"/>
        <n v="1.3191168820000001"/>
        <n v="6.8064675299999999"/>
        <n v="14.89587012"/>
        <n v="23.06887661"/>
        <n v="19.048662329999999"/>
        <n v="10.70579869"/>
        <n v="3.2155129859999998"/>
        <n v="6.667493501"/>
        <n v="6.7266103829999997"/>
        <n v="15.997707780000001"/>
        <n v="7.9685194719999997"/>
        <n v="3.4391883089999999"/>
        <n v="5.7238181770000001"/>
        <n v="18.414915570000002"/>
        <n v="58.254220740000001"/>
        <n v="34.925032430000002"/>
        <n v="25.039831150000001"/>
        <n v="20.292123369999999"/>
        <n v="18.893149340000001"/>
        <n v="15.35007143"/>
        <n v="13.727422069999999"/>
        <n v="6.1173506470000003"/>
        <n v="1.08"/>
        <n v="3.2991168819999999"/>
        <n v="6.5002857069999997"/>
        <n v="12.76190909"/>
        <n v="15.60947402"/>
        <n v="22.173720750000001"/>
        <n v="16.663889600000001"/>
        <n v="18.633292189999999"/>
        <n v="16.886467530000001"/>
        <n v="18.82014285"/>
        <n v="20.672863629999998"/>
        <n v="22.56925974"/>
        <n v="24.18286363"/>
        <n v="26.3774935"/>
        <n v="27.199831150000001"/>
        <n v="24.068376619999999"/>
        <n v="23.184461020000001"/>
        <n v="14.35322077"/>
        <n v="13.458519470000001"/>
        <n v="20.971740239999999"/>
      </sharedItems>
    </cacheField>
    <cacheField name="Grid Reinforcement _x000a_Distance (Km)" numFmtId="2">
      <sharedItems containsSemiMixedTypes="0" containsString="0" containsNumber="1" minValue="8.0329350599999998" maxValue="462.00148030000003"/>
    </cacheField>
    <cacheField name="Grid Upgrade Cost _x000a_(USD/MW)" numFmtId="164">
      <sharedItems containsSemiMixedTypes="0" containsString="0" containsNumber="1" minValue="33734.327799999999" maxValue="2806523.0419999999"/>
    </cacheField>
    <cacheField name="Total Transmission Cost _x000a_(USD/MW)" numFmtId="164">
      <sharedItems containsSemiMixedTypes="0" containsString="0" containsNumber="1" minValue="69891.88" maxValue="5955057"/>
    </cacheField>
    <cacheField name="Transmission Cost_x000a_LCOT (USD/MWh)" numFmtId="164">
      <sharedItems containsSemiMixedTypes="0" containsString="0" containsNumber="1" minValue="3.3294131999999999" maxValue="263.49016999999998"/>
    </cacheField>
    <cacheField name="Total Energy Cost_x000a_(LCOE + LCOT)" numFmtId="164">
      <sharedItems containsSemiMixedTypes="0" containsString="0" containsNumber="1" minValue="52.64898599" maxValue="310.9785301199999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o n" refreshedDate="46083.952099421294" createdVersion="8" refreshedVersion="8" minRefreshableVersion="3" recordCount="861" xr:uid="{8086F0A4-7509-42C6-9DFF-D0B5345CBD56}">
  <cacheSource type="worksheet">
    <worksheetSource ref="A1:Y1048576" sheet="Mini Project_Solar Ref Acc.,"/>
  </cacheSource>
  <cacheFields count="25">
    <cacheField name="S.No" numFmtId="0">
      <sharedItems containsString="0" containsBlank="1" containsNumber="1" containsInteger="1" minValue="1" maxValue="860"/>
    </cacheField>
    <cacheField name="Site ID" numFmtId="0">
      <sharedItems containsString="0" containsBlank="1" containsNumber="1" containsInteger="1" minValue="416" maxValue="7716" count="861">
        <n v="416"/>
        <n v="796"/>
        <n v="797"/>
        <n v="798"/>
        <n v="799"/>
        <n v="1176"/>
        <n v="1177"/>
        <n v="1178"/>
        <n v="1179"/>
        <n v="1180"/>
        <n v="1543"/>
        <n v="1557"/>
        <n v="1558"/>
        <n v="1559"/>
        <n v="1560"/>
        <n v="1923"/>
        <n v="1924"/>
        <n v="1937"/>
        <n v="1938"/>
        <n v="1939"/>
        <n v="2303"/>
        <n v="2304"/>
        <n v="2305"/>
        <n v="2315"/>
        <n v="2316"/>
        <n v="2317"/>
        <n v="2318"/>
        <n v="2319"/>
        <n v="2320"/>
        <n v="2321"/>
        <n v="2333"/>
        <n v="2334"/>
        <n v="2682"/>
        <n v="2683"/>
        <n v="2684"/>
        <n v="2685"/>
        <n v="2686"/>
        <n v="2695"/>
        <n v="2696"/>
        <n v="2697"/>
        <n v="2698"/>
        <n v="2699"/>
        <n v="2700"/>
        <n v="2701"/>
        <n v="2702"/>
        <n v="2703"/>
        <n v="2707"/>
        <n v="2712"/>
        <n v="2713"/>
        <n v="2714"/>
        <n v="2715"/>
        <n v="2716"/>
        <n v="2717"/>
        <n v="2718"/>
        <n v="3062"/>
        <n v="3063"/>
        <n v="3064"/>
        <n v="3065"/>
        <n v="3066"/>
        <n v="3067"/>
        <n v="3068"/>
        <n v="3074"/>
        <n v="3075"/>
        <n v="3076"/>
        <n v="3077"/>
        <n v="3078"/>
        <n v="3079"/>
        <n v="3080"/>
        <n v="3081"/>
        <n v="3082"/>
        <n v="3088"/>
        <n v="3089"/>
        <n v="3090"/>
        <n v="3092"/>
        <n v="3093"/>
        <n v="3094"/>
        <n v="3095"/>
        <n v="3096"/>
        <n v="3097"/>
        <n v="3098"/>
        <n v="3099"/>
        <n v="3100"/>
        <n v="3101"/>
        <n v="3102"/>
        <n v="3443"/>
        <n v="3444"/>
        <n v="3448"/>
        <n v="3449"/>
        <n v="3450"/>
        <n v="3451"/>
        <n v="3454"/>
        <n v="3455"/>
        <n v="3456"/>
        <n v="3457"/>
        <n v="3458"/>
        <n v="3459"/>
        <n v="3460"/>
        <n v="3461"/>
        <n v="3462"/>
        <n v="3468"/>
        <n v="3469"/>
        <n v="3470"/>
        <n v="3472"/>
        <n v="3473"/>
        <n v="3474"/>
        <n v="3475"/>
        <n v="3476"/>
        <n v="3477"/>
        <n v="3478"/>
        <n v="3479"/>
        <n v="3480"/>
        <n v="3481"/>
        <n v="3482"/>
        <n v="3483"/>
        <n v="3484"/>
        <n v="3485"/>
        <n v="3486"/>
        <n v="3487"/>
        <n v="3823"/>
        <n v="3824"/>
        <n v="3825"/>
        <n v="3830"/>
        <n v="3831"/>
        <n v="3832"/>
        <n v="3833"/>
        <n v="3836"/>
        <n v="3837"/>
        <n v="3838"/>
        <n v="3839"/>
        <n v="3840"/>
        <n v="3841"/>
        <n v="3842"/>
        <n v="3848"/>
        <n v="3849"/>
        <n v="3850"/>
        <n v="3851"/>
        <n v="3852"/>
        <n v="3853"/>
        <n v="3854"/>
        <n v="3855"/>
        <n v="3856"/>
        <n v="3857"/>
        <n v="3858"/>
        <n v="3859"/>
        <n v="3860"/>
        <n v="3861"/>
        <n v="3862"/>
        <n v="3863"/>
        <n v="3864"/>
        <n v="3865"/>
        <n v="3866"/>
        <n v="3867"/>
        <n v="3869"/>
        <n v="3870"/>
        <n v="3871"/>
        <n v="4203"/>
        <n v="4204"/>
        <n v="4205"/>
        <n v="4212"/>
        <n v="4213"/>
        <n v="4215"/>
        <n v="4216"/>
        <n v="4217"/>
        <n v="4218"/>
        <n v="4219"/>
        <n v="4221"/>
        <n v="4228"/>
        <n v="4229"/>
        <n v="4230"/>
        <n v="4231"/>
        <n v="4232"/>
        <n v="4233"/>
        <n v="4234"/>
        <n v="4235"/>
        <n v="4236"/>
        <n v="4237"/>
        <n v="4238"/>
        <n v="4239"/>
        <n v="4240"/>
        <n v="4241"/>
        <n v="4242"/>
        <n v="4243"/>
        <n v="4244"/>
        <n v="4245"/>
        <n v="4246"/>
        <n v="4247"/>
        <n v="4248"/>
        <n v="4249"/>
        <n v="4250"/>
        <n v="4251"/>
        <n v="4252"/>
        <n v="4253"/>
        <n v="4254"/>
        <n v="4583"/>
        <n v="4584"/>
        <n v="4585"/>
        <n v="4592"/>
        <n v="4593"/>
        <n v="4594"/>
        <n v="4595"/>
        <n v="4596"/>
        <n v="4597"/>
        <n v="4598"/>
        <n v="4599"/>
        <n v="4600"/>
        <n v="4606"/>
        <n v="4608"/>
        <n v="4609"/>
        <n v="4610"/>
        <n v="4611"/>
        <n v="4612"/>
        <n v="4613"/>
        <n v="4614"/>
        <n v="4615"/>
        <n v="4616"/>
        <n v="4617"/>
        <n v="4618"/>
        <n v="4619"/>
        <n v="4620"/>
        <n v="4621"/>
        <n v="4622"/>
        <n v="4623"/>
        <n v="4624"/>
        <n v="4625"/>
        <n v="4626"/>
        <n v="4627"/>
        <n v="4628"/>
        <n v="4629"/>
        <n v="4630"/>
        <n v="4631"/>
        <n v="4632"/>
        <n v="4633"/>
        <n v="4634"/>
        <n v="4636"/>
        <n v="4637"/>
        <n v="4638"/>
        <n v="4639"/>
        <n v="4640"/>
        <n v="4963"/>
        <n v="4964"/>
        <n v="4965"/>
        <n v="4971"/>
        <n v="4973"/>
        <n v="4974"/>
        <n v="4975"/>
        <n v="4976"/>
        <n v="4977"/>
        <n v="4978"/>
        <n v="4979"/>
        <n v="4980"/>
        <n v="4989"/>
        <n v="4990"/>
        <n v="4991"/>
        <n v="4992"/>
        <n v="4993"/>
        <n v="4994"/>
        <n v="4995"/>
        <n v="4996"/>
        <n v="4997"/>
        <n v="4998"/>
        <n v="4999"/>
        <n v="5000"/>
        <n v="5001"/>
        <n v="5002"/>
        <n v="5003"/>
        <n v="5004"/>
        <n v="5005"/>
        <n v="5006"/>
        <n v="5007"/>
        <n v="5008"/>
        <n v="5009"/>
        <n v="5010"/>
        <n v="5011"/>
        <n v="5012"/>
        <n v="5013"/>
        <n v="5014"/>
        <n v="5015"/>
        <n v="5016"/>
        <n v="5017"/>
        <n v="5019"/>
        <n v="5020"/>
        <n v="5021"/>
        <n v="5024"/>
        <n v="5025"/>
        <n v="5342"/>
        <n v="5343"/>
        <n v="5344"/>
        <n v="5345"/>
        <n v="5346"/>
        <n v="5350"/>
        <n v="5351"/>
        <n v="5352"/>
        <n v="5353"/>
        <n v="5355"/>
        <n v="5356"/>
        <n v="5357"/>
        <n v="5358"/>
        <n v="5359"/>
        <n v="5369"/>
        <n v="5370"/>
        <n v="5371"/>
        <n v="5372"/>
        <n v="5373"/>
        <n v="5374"/>
        <n v="5375"/>
        <n v="5376"/>
        <n v="5377"/>
        <n v="5378"/>
        <n v="5379"/>
        <n v="5380"/>
        <n v="5381"/>
        <n v="5382"/>
        <n v="5383"/>
        <n v="5384"/>
        <n v="5385"/>
        <n v="5386"/>
        <n v="5387"/>
        <n v="5388"/>
        <n v="5389"/>
        <n v="5390"/>
        <n v="5391"/>
        <n v="5392"/>
        <n v="5393"/>
        <n v="5394"/>
        <n v="5395"/>
        <n v="5396"/>
        <n v="5397"/>
        <n v="5398"/>
        <n v="5399"/>
        <n v="5400"/>
        <n v="5401"/>
        <n v="5402"/>
        <n v="5404"/>
        <n v="5405"/>
        <n v="5409"/>
        <n v="5410"/>
        <n v="5411"/>
        <n v="5723"/>
        <n v="5724"/>
        <n v="5725"/>
        <n v="5726"/>
        <n v="5728"/>
        <n v="5729"/>
        <n v="5731"/>
        <n v="5732"/>
        <n v="5733"/>
        <n v="5734"/>
        <n v="5735"/>
        <n v="5736"/>
        <n v="5737"/>
        <n v="5738"/>
        <n v="5739"/>
        <n v="5740"/>
        <n v="5745"/>
        <n v="5747"/>
        <n v="5748"/>
        <n v="5749"/>
        <n v="5750"/>
        <n v="5751"/>
        <n v="5752"/>
        <n v="5753"/>
        <n v="5754"/>
        <n v="5755"/>
        <n v="5756"/>
        <n v="5757"/>
        <n v="5758"/>
        <n v="5759"/>
        <n v="5760"/>
        <n v="5761"/>
        <n v="5762"/>
        <n v="5763"/>
        <n v="5764"/>
        <n v="5765"/>
        <n v="5766"/>
        <n v="5767"/>
        <n v="5768"/>
        <n v="5769"/>
        <n v="5770"/>
        <n v="5771"/>
        <n v="5772"/>
        <n v="5773"/>
        <n v="5774"/>
        <n v="5775"/>
        <n v="5776"/>
        <n v="5777"/>
        <n v="5778"/>
        <n v="5780"/>
        <n v="5781"/>
        <n v="5782"/>
        <n v="5783"/>
        <n v="5784"/>
        <n v="5785"/>
        <n v="5789"/>
        <n v="5790"/>
        <n v="5791"/>
        <n v="5792"/>
        <n v="5793"/>
        <n v="5794"/>
        <n v="5795"/>
        <n v="5796"/>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70"/>
        <n v="6171"/>
        <n v="6172"/>
        <n v="6173"/>
        <n v="6174"/>
        <n v="6175"/>
        <n v="6176"/>
        <n v="6177"/>
        <n v="6178"/>
        <n v="6179"/>
        <n v="6180"/>
        <n v="6181"/>
        <n v="6182"/>
        <n v="6438"/>
        <n v="6443"/>
        <n v="6444"/>
        <n v="6445"/>
        <n v="6482"/>
        <n v="6483"/>
        <n v="6484"/>
        <n v="6485"/>
        <n v="6486"/>
        <n v="6487"/>
        <n v="6488"/>
        <n v="6489"/>
        <n v="6490"/>
        <n v="6491"/>
        <n v="6492"/>
        <n v="6493"/>
        <n v="6494"/>
        <n v="6495"/>
        <n v="6496"/>
        <n v="6497"/>
        <n v="6498"/>
        <n v="6499"/>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5"/>
        <n v="6550"/>
        <n v="6551"/>
        <n v="6552"/>
        <n v="6553"/>
        <n v="6554"/>
        <n v="6555"/>
        <n v="6556"/>
        <n v="6557"/>
        <n v="6558"/>
        <n v="6559"/>
        <n v="6560"/>
        <n v="6561"/>
        <n v="6562"/>
        <n v="6563"/>
        <n v="6564"/>
        <n v="6565"/>
        <n v="6566"/>
        <n v="6567"/>
        <n v="6568"/>
        <n v="6569"/>
        <n v="6818"/>
        <n v="6822"/>
        <n v="6823"/>
        <n v="6824"/>
        <n v="6825"/>
        <n v="6826"/>
        <n v="6862"/>
        <n v="6863"/>
        <n v="6864"/>
        <n v="6865"/>
        <n v="6866"/>
        <n v="6867"/>
        <n v="6868"/>
        <n v="6869"/>
        <n v="6870"/>
        <n v="6871"/>
        <n v="6872"/>
        <n v="6874"/>
        <n v="6875"/>
        <n v="6876"/>
        <n v="6877"/>
        <n v="6878"/>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30"/>
        <n v="6931"/>
        <n v="6932"/>
        <n v="6933"/>
        <n v="6934"/>
        <n v="6935"/>
        <n v="6936"/>
        <n v="6937"/>
        <n v="6938"/>
        <n v="6939"/>
        <n v="6940"/>
        <n v="6941"/>
        <n v="6942"/>
        <n v="6943"/>
        <n v="6944"/>
        <n v="6945"/>
        <n v="6946"/>
        <n v="6947"/>
        <n v="6948"/>
        <n v="6949"/>
        <n v="6950"/>
        <n v="6951"/>
        <n v="6952"/>
        <n v="6953"/>
        <n v="6954"/>
        <n v="6955"/>
        <n v="7197"/>
        <n v="7198"/>
        <n v="7199"/>
        <n v="7201"/>
        <n v="7202"/>
        <n v="7203"/>
        <n v="7204"/>
        <n v="7205"/>
        <n v="7206"/>
        <n v="7207"/>
        <n v="7242"/>
        <n v="7243"/>
        <n v="7244"/>
        <n v="7245"/>
        <n v="7246"/>
        <n v="7247"/>
        <n v="7248"/>
        <n v="7249"/>
        <n v="7250"/>
        <n v="7251"/>
        <n v="7252"/>
        <n v="7253"/>
        <n v="7254"/>
        <n v="7255"/>
        <n v="7256"/>
        <n v="7257"/>
        <n v="7258"/>
        <n v="7259"/>
        <n v="7260"/>
        <n v="7261"/>
        <n v="7264"/>
        <n v="7265"/>
        <n v="7266"/>
        <n v="7267"/>
        <n v="7268"/>
        <n v="7269"/>
        <n v="7270"/>
        <n v="7271"/>
        <n v="7272"/>
        <n v="7273"/>
        <n v="7275"/>
        <n v="7276"/>
        <n v="7277"/>
        <n v="7278"/>
        <n v="7279"/>
        <n v="7280"/>
        <n v="7281"/>
        <n v="7282"/>
        <n v="7283"/>
        <n v="7284"/>
        <n v="7285"/>
        <n v="7286"/>
        <n v="7287"/>
        <n v="7288"/>
        <n v="7289"/>
        <n v="7290"/>
        <n v="7291"/>
        <n v="7292"/>
        <n v="7293"/>
        <n v="7294"/>
        <n v="7295"/>
        <n v="7296"/>
        <n v="7297"/>
        <n v="7298"/>
        <n v="7299"/>
        <n v="7300"/>
        <n v="7301"/>
        <n v="7302"/>
        <n v="7303"/>
        <n v="7304"/>
        <n v="7305"/>
        <n v="7306"/>
        <n v="7307"/>
        <n v="7308"/>
        <n v="7310"/>
        <n v="7311"/>
        <n v="7312"/>
        <n v="7313"/>
        <n v="7314"/>
        <n v="7315"/>
        <n v="7316"/>
        <n v="7317"/>
        <n v="7318"/>
        <n v="7319"/>
        <n v="7320"/>
        <n v="7321"/>
        <n v="7322"/>
        <n v="7323"/>
        <n v="7324"/>
        <n v="7325"/>
        <n v="7326"/>
        <n v="7327"/>
        <n v="7328"/>
        <n v="7329"/>
        <n v="7330"/>
        <n v="7331"/>
        <n v="7332"/>
        <n v="7333"/>
        <n v="7334"/>
        <n v="7335"/>
        <n v="7336"/>
        <n v="7337"/>
        <n v="7338"/>
        <n v="7339"/>
        <n v="7340"/>
        <n v="7341"/>
        <n v="7342"/>
        <n v="7343"/>
        <n v="7577"/>
        <n v="7578"/>
        <n v="7579"/>
        <n v="7580"/>
        <n v="7581"/>
        <n v="7582"/>
        <n v="7583"/>
        <n v="7584"/>
        <n v="7585"/>
        <n v="7586"/>
        <n v="7587"/>
        <n v="7622"/>
        <n v="7623"/>
        <n v="7624"/>
        <n v="7625"/>
        <n v="7626"/>
        <n v="7627"/>
        <n v="7628"/>
        <n v="7629"/>
        <n v="7630"/>
        <n v="7631"/>
        <n v="7632"/>
        <n v="7633"/>
        <n v="7634"/>
        <n v="7635"/>
        <n v="7636"/>
        <n v="7637"/>
        <n v="7638"/>
        <n v="7639"/>
        <n v="7640"/>
        <n v="7641"/>
        <n v="7644"/>
        <n v="7645"/>
        <n v="7646"/>
        <n v="7647"/>
        <n v="7648"/>
        <n v="7649"/>
        <n v="7650"/>
        <n v="7651"/>
        <n v="7652"/>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90"/>
        <n v="7691"/>
        <n v="7692"/>
        <n v="7693"/>
        <n v="7694"/>
        <n v="7695"/>
        <n v="7696"/>
        <n v="7697"/>
        <n v="7698"/>
        <n v="7699"/>
        <n v="7700"/>
        <n v="7701"/>
        <n v="7702"/>
        <n v="7703"/>
        <n v="7704"/>
        <n v="7705"/>
        <n v="7706"/>
        <n v="7707"/>
        <n v="7708"/>
        <n v="7709"/>
        <n v="7710"/>
        <n v="7711"/>
        <n v="7712"/>
        <n v="7713"/>
        <n v="7714"/>
        <n v="7715"/>
        <n v="7716"/>
        <m/>
      </sharedItems>
    </cacheField>
    <cacheField name="Latitude" numFmtId="165">
      <sharedItems containsString="0" containsBlank="1" containsNumber="1" minValue="46.824154" maxValue="48.998609999999999"/>
    </cacheField>
    <cacheField name="Longitude" numFmtId="165">
      <sharedItems containsString="0" containsBlank="1" containsNumber="1" minValue="-124.662796" maxValue="-67.839780000000005"/>
    </cacheField>
    <cacheField name="Country" numFmtId="49">
      <sharedItems containsBlank="1" count="2">
        <s v="United States"/>
        <m/>
      </sharedItems>
    </cacheField>
    <cacheField name="State" numFmtId="49">
      <sharedItems containsBlank="1" count="5">
        <s v="Washington"/>
        <s v="Idaho"/>
        <s v="Montana"/>
        <s v="Maine"/>
        <m/>
      </sharedItems>
    </cacheField>
    <cacheField name="County" numFmtId="49">
      <sharedItems containsBlank="1" count="35">
        <s v="Whatcom"/>
        <s v="Clallam"/>
        <s v="Skagit"/>
        <s v="Okanogan"/>
        <s v="Island"/>
        <s v="Ferry"/>
        <s v="Snohomish"/>
        <s v="Stevens"/>
        <s v="Pend Oreille"/>
        <s v="Jefferson"/>
        <s v="Boundary"/>
        <s v="Kitsap"/>
        <s v="Chelan"/>
        <s v="Bonner"/>
        <s v="Lincoln"/>
        <s v="Grays Harbor"/>
        <s v="Flathead"/>
        <s v="Mason"/>
        <s v="King"/>
        <s v="Glacier"/>
        <s v="Douglas"/>
        <s v="Toole"/>
        <s v="Aroostook"/>
        <s v="Pierce"/>
        <s v="Liberty"/>
        <s v="Hill"/>
        <s v="Blaine"/>
        <s v="Thurston"/>
        <s v="Kittitas"/>
        <s v="Spokane"/>
        <s v="Sanders"/>
        <s v="Phillips"/>
        <s v="Grant"/>
        <s v="Kootenai"/>
        <m/>
      </sharedItems>
    </cacheField>
    <cacheField name="Time Zone" numFmtId="49">
      <sharedItems containsString="0" containsBlank="1" containsNumber="1" containsInteger="1" minValue="-8" maxValue="-5"/>
    </cacheField>
    <cacheField name="Elevation (Mtrs)" numFmtId="2">
      <sharedItems containsString="0" containsBlank="1" containsNumber="1" minValue="9.4" maxValue="1823.25"/>
    </cacheField>
    <cacheField name="Solar _x000a_Resource" numFmtId="2">
      <sharedItems containsString="0" containsBlank="1" containsNumber="1" minValue="2.9104085" maxValue="4.1048635999999998"/>
    </cacheField>
    <cacheField name="Resource Category" numFmtId="2">
      <sharedItems containsBlank="1" count="4">
        <s v="Moderate"/>
        <s v="Low"/>
        <s v="High"/>
        <m/>
      </sharedItems>
    </cacheField>
    <cacheField name="Regional Capacity _x000a_Multiplier" numFmtId="2">
      <sharedItems containsString="0" containsBlank="1" containsNumber="1" minValue="0.96682805000000005" maxValue="1.0318456"/>
    </cacheField>
    <cacheField name="Developable Area _x000a_(Sq.Km)" numFmtId="2">
      <sharedItems containsString="0" containsBlank="1" containsNumber="1" minValue="5.1840000000000002E-3" maxValue="108.69001609999999"/>
    </cacheField>
    <cacheField name="Installed Capacity _x000a_(AC -MW)" numFmtId="2">
      <sharedItems containsString="0" containsBlank="1" containsNumber="1" minValue="0.16635222399999999" maxValue="3487.813294"/>
    </cacheField>
    <cacheField name="Installed Capacity _x000a_(DC -MW)" numFmtId="2">
      <sharedItems containsString="0" containsBlank="1" containsNumber="1" minValue="0.222911995" maxValue="4673.670693"/>
    </cacheField>
    <cacheField name="AC/ DC Ratio" numFmtId="2">
      <sharedItems containsString="0" containsBlank="1" containsNumber="1" minValue="0.74626842748528199" maxValue="0.7462687827745631"/>
    </cacheField>
    <cacheField name="Capacity Factor _x000a_(AC %)" numFmtId="10">
      <sharedItems containsString="0" containsBlank="1" containsNumber="1" minValue="0.16318145000000001" maxValue="0.25129449999999998"/>
    </cacheField>
    <cacheField name="Capacity Factor _x000a_(DC %)" numFmtId="10">
      <sharedItems containsString="0" containsBlank="1" containsNumber="1" minValue="0.12177721399999999" maxValue="0.18753323"/>
    </cacheField>
    <cacheField name="Generation Cost _x000a_LCOE (USD/MWh)" numFmtId="164">
      <sharedItems containsString="0" containsBlank="1" containsNumber="1" minValue="38.777399819999999" maxValue="111.4672108"/>
    </cacheField>
    <cacheField name="Distance to _x000a_Grid (Km)" numFmtId="2">
      <sharedItems containsString="0" containsBlank="1" containsNumber="1" minValue="0" maxValue="333.89401279999998"/>
    </cacheField>
    <cacheField name="Grid Reinforcement _x000a_Distance (Km)" numFmtId="2">
      <sharedItems containsString="0" containsBlank="1" containsNumber="1" minValue="8.0329350599999998" maxValue="462.00148030000003"/>
    </cacheField>
    <cacheField name="Grid Upgrade Cost _x000a_(USD/MW)" numFmtId="164">
      <sharedItems containsString="0" containsBlank="1" containsNumber="1" minValue="33734.327799999999" maxValue="2806523.0419999999"/>
    </cacheField>
    <cacheField name="Total Transmission Cost _x000a_(USD/MW)" numFmtId="164">
      <sharedItems containsString="0" containsBlank="1" containsNumber="1" minValue="69891.88" maxValue="5955057"/>
    </cacheField>
    <cacheField name="Transmission Cost_x000a_LCOT (USD/MWh)" numFmtId="164">
      <sharedItems containsString="0" containsBlank="1" containsNumber="1" minValue="3.3294131999999999" maxValue="263.49016999999998"/>
    </cacheField>
    <cacheField name="Total Energy Cost_x000a_(LCOE + LCOT)" numFmtId="164">
      <sharedItems containsString="0" containsBlank="1" containsNumber="1" minValue="52.64898599" maxValue="310.9785301199999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60">
  <r>
    <n v="1"/>
    <x v="0"/>
    <n v="48.994427000000002"/>
    <n v="-122.73455"/>
    <x v="0"/>
    <x v="0"/>
    <x v="0"/>
    <n v="-8"/>
    <n v="23.2"/>
    <n v="3.2631747999999998"/>
    <s v="Moderate"/>
    <n v="1.0187165"/>
    <n v="7.9333018620000004"/>
    <n v="254.5761172"/>
    <n v="341.13198"/>
    <n v="0.74626869401103935"/>
    <n v="0.18772335000000001"/>
    <n v="0.14009205999999999"/>
    <n v="52.399515530000002"/>
    <x v="0"/>
    <n v="206.93962970000001"/>
    <n v="711147.16330000001"/>
    <n v="740416.25"/>
    <n v="36.42521"/>
    <n v="88.824725529999995"/>
  </r>
  <r>
    <n v="2"/>
    <x v="1"/>
    <n v="48.900374999999997"/>
    <n v="-122.68828600000001"/>
    <x v="0"/>
    <x v="0"/>
    <x v="0"/>
    <n v="-8"/>
    <n v="39.705882350000003"/>
    <n v="3.3171778000000001"/>
    <s v="Moderate"/>
    <n v="1.0188096"/>
    <n v="21.39866147"/>
    <n v="686.67341769999996"/>
    <n v="920.14244340000005"/>
    <n v="0.74626860506802262"/>
    <n v="0.19130403000000001"/>
    <n v="0.14276420000000001"/>
    <n v="51.422456169999997"/>
    <x v="1"/>
    <n v="204.6768375"/>
    <n v="702294.37849999999"/>
    <n v="727350.1"/>
    <n v="35.112667000000002"/>
    <n v="86.535123169999991"/>
  </r>
  <r>
    <n v="3"/>
    <x v="2"/>
    <n v="48.927494000000003"/>
    <n v="-122.52849999999999"/>
    <x v="0"/>
    <x v="0"/>
    <x v="0"/>
    <n v="-8"/>
    <n v="28.055555559999998"/>
    <n v="3.2327954999999999"/>
    <s v="Moderate"/>
    <n v="1.0162028000000001"/>
    <n v="14.64204529"/>
    <n v="469.85664459999998"/>
    <n v="629.60794739999994"/>
    <n v="0.74626860499505832"/>
    <n v="0.18551946"/>
    <n v="0.13844734"/>
    <n v="52.918499359999998"/>
    <x v="2"/>
    <n v="203.65860380000001"/>
    <n v="695817.72990000003"/>
    <n v="739177.8"/>
    <n v="36.796275999999999"/>
    <n v="89.714775360000004"/>
  </r>
  <r>
    <n v="4"/>
    <x v="3"/>
    <n v="48.954459999999997"/>
    <n v="-122.36857000000001"/>
    <x v="0"/>
    <x v="0"/>
    <x v="0"/>
    <n v="-8"/>
    <n v="32"/>
    <n v="3.1593312999999998"/>
    <s v="Moderate"/>
    <n v="1.0157673"/>
    <n v="15.599789210000001"/>
    <n v="500.59027559999998"/>
    <n v="670.79093599999999"/>
    <n v="0.74626869376780014"/>
    <n v="0.18066468999999999"/>
    <n v="0.13482441000000001"/>
    <n v="54.32209495"/>
    <x v="3"/>
    <n v="219.27072709999999"/>
    <n v="739817.25899999996"/>
    <n v="787049.8"/>
    <n v="40.23216"/>
    <n v="94.554254950000001"/>
  </r>
  <r>
    <n v="5"/>
    <x v="4"/>
    <n v="48.981265999999998"/>
    <n v="-122.20847999999999"/>
    <x v="0"/>
    <x v="0"/>
    <x v="0"/>
    <n v="-8"/>
    <n v="277.81818179999999"/>
    <n v="3.0674891"/>
    <s v="Moderate"/>
    <n v="1.0153416"/>
    <n v="13.46284863"/>
    <n v="432.01670319999999"/>
    <n v="578.90249119999999"/>
    <n v="0.74626851631693236"/>
    <n v="0.17470738"/>
    <n v="0.13037863"/>
    <n v="56.155791460000003"/>
    <x v="4"/>
    <n v="233.74373360000001"/>
    <n v="775850.31030000001"/>
    <n v="820063.1"/>
    <n v="43.349136000000001"/>
    <n v="99.504927460000005"/>
  </r>
  <r>
    <n v="6"/>
    <x v="5"/>
    <n v="48.806323999999996"/>
    <n v="-122.64218"/>
    <x v="0"/>
    <x v="0"/>
    <x v="0"/>
    <n v="-8"/>
    <n v="34.454545449999998"/>
    <n v="3.3250651000000002"/>
    <s v="Moderate"/>
    <n v="1.0189771999999999"/>
    <n v="18.44928853"/>
    <n v="592.02936690000001"/>
    <n v="793.31940659999998"/>
    <n v="0.7462686050216687"/>
    <n v="0.19148709999999999"/>
    <n v="0.14290079999999999"/>
    <n v="51.379993380000002"/>
    <x v="5"/>
    <n v="187.34082459999999"/>
    <n v="656295.37690000003"/>
    <n v="689508.44"/>
    <n v="33.254044"/>
    <n v="84.634037379999995"/>
  </r>
  <r>
    <n v="7"/>
    <x v="6"/>
    <n v="48.833393000000001"/>
    <n v="-122.48265000000001"/>
    <x v="0"/>
    <x v="0"/>
    <x v="0"/>
    <n v="-8"/>
    <n v="45.473684210000002"/>
    <n v="3.2710149999999998"/>
    <s v="Moderate"/>
    <n v="1.0165848"/>
    <n v="24.48103381"/>
    <n v="785.58545240000001"/>
    <n v="1052.684454"/>
    <n v="0.74626869373336446"/>
    <n v="0.18753618"/>
    <n v="0.13995237999999999"/>
    <n v="52.364977449999998"/>
    <x v="6"/>
    <n v="178.7961233"/>
    <n v="631027.03870000003"/>
    <n v="667587.06000000006"/>
    <n v="32.875114000000004"/>
    <n v="85.240091449999994"/>
  </r>
  <r>
    <n v="8"/>
    <x v="7"/>
    <n v="48.860309999999998"/>
    <n v="-122.32295000000001"/>
    <x v="0"/>
    <x v="0"/>
    <x v="0"/>
    <n v="-8"/>
    <n v="120.47368419999999"/>
    <n v="3.1393764000000002"/>
    <s v="Moderate"/>
    <n v="1.0161762999999999"/>
    <n v="23.710883200000001"/>
    <n v="760.87175339999999"/>
    <n v="1019.567978"/>
    <n v="0.74626878228613802"/>
    <n v="0.17926739"/>
    <n v="0.13378163000000001"/>
    <n v="54.762945209999998"/>
    <x v="7"/>
    <n v="185.1062661"/>
    <n v="661113.83660000004"/>
    <n v="699723.5"/>
    <n v="36.047035000000001"/>
    <n v="90.809980209999992"/>
  </r>
  <r>
    <n v="9"/>
    <x v="8"/>
    <n v="48.887065999999997"/>
    <n v="-122.16312000000001"/>
    <x v="0"/>
    <x v="0"/>
    <x v="0"/>
    <n v="-8"/>
    <n v="378.7692308"/>
    <n v="3.0421472000000001"/>
    <s v="Moderate"/>
    <n v="1.0157349"/>
    <n v="9.1363135250000003"/>
    <n v="293.1802247"/>
    <n v="392.86148159999999"/>
    <n v="0.74626869375427207"/>
    <n v="0.17408624"/>
    <n v="0.12991510000000001"/>
    <n v="56.373401520000002"/>
    <x v="8"/>
    <n v="245.92571409999999"/>
    <n v="829809.56030000001"/>
    <n v="910795.8"/>
    <n v="48.317115999999999"/>
    <n v="104.69051752"/>
  </r>
  <r>
    <n v="10"/>
    <x v="9"/>
    <n v="48.913665999999999"/>
    <n v="-122.00313"/>
    <x v="0"/>
    <x v="0"/>
    <x v="0"/>
    <n v="-8"/>
    <n v="606.4"/>
    <n v="3.0298123000000001"/>
    <s v="Moderate"/>
    <n v="1.0153867999999999"/>
    <n v="2.77927196"/>
    <n v="89.18558659"/>
    <n v="119.5086943"/>
    <n v="0.74626860507838377"/>
    <n v="0.17149173000000001"/>
    <n v="0.12797890000000001"/>
    <n v="57.210780980000003"/>
    <x v="9"/>
    <n v="245.65571410000001"/>
    <n v="828430.60950000002"/>
    <n v="946710"/>
    <n v="50.982154999999999"/>
    <n v="108.19293598"/>
  </r>
  <r>
    <n v="11"/>
    <x v="10"/>
    <n v="48.34684"/>
    <n v="-124.6527"/>
    <x v="0"/>
    <x v="0"/>
    <x v="1"/>
    <n v="-8"/>
    <n v="174.7"/>
    <n v="3.0531263000000002"/>
    <s v="Moderate"/>
    <n v="1.021026"/>
    <n v="7.0693560790000003"/>
    <n v="226.85245549999999"/>
    <n v="303.98231140000001"/>
    <n v="0.74626860508831561"/>
    <n v="0.17594834000000001"/>
    <n v="0.13130473000000001"/>
    <n v="56.00652281"/>
    <x v="10"/>
    <n v="388.43109709999999"/>
    <n v="1474336.7749999999"/>
    <n v="1811140.6"/>
    <n v="95.062989999999999"/>
    <n v="151.06951280999999"/>
  </r>
  <r>
    <n v="12"/>
    <x v="11"/>
    <n v="48.739296000000003"/>
    <n v="-122.43693500000001"/>
    <x v="0"/>
    <x v="0"/>
    <x v="0"/>
    <n v="-8"/>
    <n v="149.85714290000001"/>
    <n v="3.2164359999999999"/>
    <s v="Moderate"/>
    <n v="1.0169492"/>
    <n v="10.401695289999999"/>
    <n v="333.78580060000002"/>
    <n v="447.27289739999998"/>
    <n v="0.74626878252695139"/>
    <n v="0.1852704"/>
    <n v="0.13826150000000001"/>
    <n v="53.020396179999999"/>
    <x v="11"/>
    <n v="165.93937"/>
    <n v="632969.7476"/>
    <n v="657105.4"/>
    <n v="32.75468"/>
    <n v="85.775076179999999"/>
  </r>
  <r>
    <n v="13"/>
    <x v="12"/>
    <n v="48.766162999999999"/>
    <n v="-122.2775"/>
    <x v="0"/>
    <x v="0"/>
    <x v="0"/>
    <n v="-8"/>
    <n v="300.41176469999999"/>
    <n v="3.1041460000000001"/>
    <s v="Moderate"/>
    <n v="1.0166001"/>
    <n v="12.17818784"/>
    <n v="390.79261430000003"/>
    <n v="523.6620772"/>
    <n v="0.74626869371475657"/>
    <n v="0.17776454999999999"/>
    <n v="0.1326601"/>
    <n v="55.244121489999998"/>
    <x v="12"/>
    <n v="177.36781809999999"/>
    <n v="634526.52480000001"/>
    <n v="730549.94"/>
    <n v="37.953265999999999"/>
    <n v="93.197387489999997"/>
  </r>
  <r>
    <n v="14"/>
    <x v="13"/>
    <n v="48.792870000000001"/>
    <n v="-122.11790499999999"/>
    <x v="0"/>
    <x v="0"/>
    <x v="0"/>
    <n v="-8"/>
    <n v="395.06666669999998"/>
    <n v="3.0398858"/>
    <s v="Moderate"/>
    <n v="1.0161785999999999"/>
    <n v="11.75439529"/>
    <n v="377.19325550000002"/>
    <n v="505.43899740000001"/>
    <n v="0.74626860499545622"/>
    <n v="0.17347014999999999"/>
    <n v="0.12945533000000001"/>
    <n v="56.593162020000001"/>
    <x v="13"/>
    <n v="185.1062661"/>
    <n v="661113.83660000004"/>
    <n v="769917.1"/>
    <n v="40.98865"/>
    <n v="97.581812020000001"/>
  </r>
  <r>
    <n v="15"/>
    <x v="14"/>
    <n v="48.819420000000001"/>
    <n v="-121.95815"/>
    <x v="0"/>
    <x v="0"/>
    <x v="0"/>
    <n v="-8"/>
    <n v="1070.2"/>
    <n v="3.0986549999999999"/>
    <s v="Moderate"/>
    <n v="1.0156014"/>
    <n v="0.17657999399999999"/>
    <n v="5.6663725439999997"/>
    <n v="7.5929397339999998"/>
    <n v="0.74626860511309834"/>
    <n v="0.17903160000000001"/>
    <n v="0.13360567000000001"/>
    <n v="72.21615654"/>
    <x v="14"/>
    <n v="245.92571409999999"/>
    <n v="829809.56030000001"/>
    <n v="1038321.25"/>
    <n v="53.560726000000003"/>
    <n v="125.77688254"/>
  </r>
  <r>
    <n v="16"/>
    <x v="15"/>
    <n v="48.253456"/>
    <n v="-124.603775"/>
    <x v="0"/>
    <x v="0"/>
    <x v="1"/>
    <n v="-8"/>
    <n v="190.06666670000001"/>
    <n v="2.9862305999999998"/>
    <s v="Low"/>
    <n v="1.0210224000000001"/>
    <n v="25.923887839999999"/>
    <n v="831.88589560000003"/>
    <n v="1114.727177"/>
    <n v="0.74626860523738714"/>
    <n v="0.17180656"/>
    <n v="0.12821384999999999"/>
    <n v="57.356525439999999"/>
    <x v="15"/>
    <n v="388.43109709999999"/>
    <n v="1474336.7749999999"/>
    <n v="1754492"/>
    <n v="94.309629999999999"/>
    <n v="151.66615544000001"/>
  </r>
  <r>
    <n v="17"/>
    <x v="16"/>
    <n v="48.282443999999998"/>
    <n v="-124.44678"/>
    <x v="0"/>
    <x v="0"/>
    <x v="1"/>
    <n v="-8"/>
    <n v="201.92857140000001"/>
    <n v="3.0754535000000001"/>
    <s v="Moderate"/>
    <n v="1.0208545"/>
    <n v="9.3340348019999997"/>
    <n v="299.52501230000001"/>
    <n v="401.3634965"/>
    <n v="0.74626869386962302"/>
    <n v="0.17783252999999999"/>
    <n v="0.13271084"/>
    <n v="55.405744060000004"/>
    <x v="16"/>
    <n v="388.43109709999999"/>
    <n v="1474336.7749999999"/>
    <n v="1732423.8"/>
    <n v="89.967839999999995"/>
    <n v="145.37358405999998"/>
  </r>
  <r>
    <n v="18"/>
    <x v="17"/>
    <n v="48.645203000000002"/>
    <n v="-122.39136999999999"/>
    <x v="0"/>
    <x v="0"/>
    <x v="0"/>
    <n v="-8"/>
    <n v="235.64285709999999"/>
    <n v="3.1365492000000001"/>
    <s v="Moderate"/>
    <n v="1.017479"/>
    <n v="12.324149999999999"/>
    <n v="395.47642789999998"/>
    <n v="529.93844999999999"/>
    <n v="0.7462686051559384"/>
    <n v="0.1809962"/>
    <n v="0.13507178"/>
    <n v="54.2948314"/>
    <x v="17"/>
    <n v="152.350922"/>
    <n v="560524.66029999999"/>
    <n v="602696.80000000005"/>
    <n v="30.752037000000001"/>
    <n v="85.046868399999994"/>
  </r>
  <r>
    <n v="19"/>
    <x v="18"/>
    <n v="48.672020000000003"/>
    <n v="-122.232185"/>
    <x v="0"/>
    <x v="0"/>
    <x v="0"/>
    <n v="-8"/>
    <n v="338.17647060000002"/>
    <n v="3.0518155"/>
    <s v="Moderate"/>
    <n v="1.0171176"/>
    <n v="9.6176158810000008"/>
    <n v="308.62496590000001"/>
    <n v="413.55748290000002"/>
    <n v="0.74626860511825599"/>
    <n v="0.17457344999999999"/>
    <n v="0.13027869"/>
    <n v="56.276592659999999"/>
    <x v="18"/>
    <n v="150.77614929999999"/>
    <n v="533760.16130000004"/>
    <n v="585332.6"/>
    <n v="30.964848"/>
    <n v="87.241440659999995"/>
  </r>
  <r>
    <n v="20"/>
    <x v="19"/>
    <n v="48.698677000000004"/>
    <n v="-122.07284"/>
    <x v="0"/>
    <x v="0"/>
    <x v="0"/>
    <n v="-8"/>
    <n v="567"/>
    <n v="3.0592337000000001"/>
    <s v="Moderate"/>
    <n v="1.0165781"/>
    <n v="5.0202182369999999"/>
    <n v="161.09652510000001"/>
    <n v="215.86938420000001"/>
    <n v="0.74626851647821579"/>
    <n v="0.17454147"/>
    <n v="0.13025485000000001"/>
    <n v="56.263270489999996"/>
    <x v="19"/>
    <n v="150.77614929999999"/>
    <n v="533563.52150000003"/>
    <n v="673616.1"/>
    <n v="35.641685000000003"/>
    <n v="91.904955489999992"/>
  </r>
  <r>
    <n v="21"/>
    <x v="20"/>
    <n v="48.160080000000001"/>
    <n v="-124.55502"/>
    <x v="0"/>
    <x v="0"/>
    <x v="1"/>
    <n v="-8"/>
    <n v="140.05263160000001"/>
    <n v="2.9803557000000001"/>
    <s v="Low"/>
    <n v="1.0210115"/>
    <n v="42.848999999999997"/>
    <n v="1375.0051289999999"/>
    <n v="1842.5070000000001"/>
    <n v="0.74626860522103844"/>
    <n v="0.17125149000000001"/>
    <n v="0.12779962"/>
    <n v="57.541951509999997"/>
    <x v="20"/>
    <n v="388.43109709999999"/>
    <n v="1474336.7749999999"/>
    <n v="1670630.1"/>
    <n v="90.092849999999999"/>
    <n v="147.63480150999999"/>
  </r>
  <r>
    <n v="22"/>
    <x v="21"/>
    <n v="48.189014"/>
    <n v="-124.39825399999999"/>
    <x v="0"/>
    <x v="0"/>
    <x v="1"/>
    <n v="-8"/>
    <n v="237.65"/>
    <n v="3.0010552000000001"/>
    <s v="Moderate"/>
    <n v="1.0208508999999999"/>
    <n v="16.534530400000001"/>
    <n v="530.58564019999994"/>
    <n v="710.98480700000005"/>
    <n v="0.74626860514615734"/>
    <n v="0.1726268"/>
    <n v="0.12882598000000001"/>
    <n v="57.076400169999999"/>
    <x v="21"/>
    <n v="388.43109709999999"/>
    <n v="1474336.7749999999"/>
    <n v="1627823"/>
    <n v="87.085009999999997"/>
    <n v="144.16141017000001"/>
  </r>
  <r>
    <n v="23"/>
    <x v="22"/>
    <n v="48.217796"/>
    <n v="-124.24133"/>
    <x v="0"/>
    <x v="0"/>
    <x v="1"/>
    <n v="-8"/>
    <n v="157.93333329999999"/>
    <n v="3.1618225999999998"/>
    <s v="Moderate"/>
    <n v="1.0206993"/>
    <n v="21.5967041"/>
    <n v="693.02851650000002"/>
    <n v="928.65827639999998"/>
    <n v="0.74626860505305248"/>
    <n v="0.18179776"/>
    <n v="0.13566998"/>
    <n v="54.190759550000003"/>
    <x v="22"/>
    <n v="388.43109709999999"/>
    <n v="1474336.7749999999"/>
    <n v="1638896.2"/>
    <n v="83.254429999999999"/>
    <n v="137.44518955000001"/>
  </r>
  <r>
    <n v="24"/>
    <x v="23"/>
    <n v="48.497115999999998"/>
    <n v="-122.66342"/>
    <x v="0"/>
    <x v="0"/>
    <x v="2"/>
    <n v="-8"/>
    <n v="68.666666669999998"/>
    <n v="3.3443632000000001"/>
    <s v="Moderate"/>
    <n v="1.0198786"/>
    <n v="2.2113"/>
    <n v="70.959621960000007"/>
    <n v="95.085899999999995"/>
    <n v="0.74626860512441917"/>
    <n v="0.19320203"/>
    <n v="0.14418064"/>
    <n v="50.959548920000003"/>
    <x v="23"/>
    <n v="171.70951289999999"/>
    <n v="674067.96869999997"/>
    <n v="702843.44"/>
    <n v="33.596286999999997"/>
    <n v="84.555835919999993"/>
  </r>
  <r>
    <n v="25"/>
    <x v="24"/>
    <n v="48.524189999999997"/>
    <n v="-122.50477600000001"/>
    <x v="0"/>
    <x v="0"/>
    <x v="2"/>
    <n v="-8"/>
    <n v="24.5"/>
    <n v="3.2461190000000002"/>
    <s v="Moderate"/>
    <n v="1.0195904"/>
    <n v="7.7567219600000001"/>
    <n v="248.90971730000001"/>
    <n v="333.5390443"/>
    <n v="0.74626860499162262"/>
    <n v="0.18563123000000001"/>
    <n v="0.13853077999999999"/>
    <n v="53.026029080000001"/>
    <x v="24"/>
    <n v="152.5889415"/>
    <n v="524547.05200000003"/>
    <n v="556253.93999999994"/>
    <n v="27.673649000000001"/>
    <n v="80.699678079999998"/>
  </r>
  <r>
    <n v="26"/>
    <x v="25"/>
    <n v="48.551113000000001"/>
    <n v="-122.34598"/>
    <x v="0"/>
    <x v="0"/>
    <x v="2"/>
    <n v="-8"/>
    <n v="68.111111109999996"/>
    <n v="3.105356"/>
    <s v="Moderate"/>
    <n v="1.0179244999999999"/>
    <n v="29.690061549999999"/>
    <n v="952.74082829999998"/>
    <n v="1276.6726470000001"/>
    <n v="0.74626869349696334"/>
    <n v="0.17730872"/>
    <n v="0.13231994"/>
    <n v="55.443200969999999"/>
    <x v="25"/>
    <n v="142.7315194"/>
    <n v="510523.28769999999"/>
    <n v="560804.80000000005"/>
    <n v="29.209631000000002"/>
    <n v="84.652831969999994"/>
  </r>
  <r>
    <n v="27"/>
    <x v="26"/>
    <n v="48.57788"/>
    <n v="-122.18702999999999"/>
    <x v="0"/>
    <x v="0"/>
    <x v="2"/>
    <n v="-8"/>
    <n v="289.18181820000001"/>
    <n v="3.0360775000000002"/>
    <s v="Moderate"/>
    <n v="1.0175924999999999"/>
    <n v="13.80393853"/>
    <n v="442.96222840000001"/>
    <n v="593.56935659999999"/>
    <n v="0.74626869375015181"/>
    <n v="0.17292083999999999"/>
    <n v="0.1290454"/>
    <n v="56.835414270000001"/>
    <x v="26"/>
    <n v="138.4913765"/>
    <n v="489297.20020000002"/>
    <n v="560422"/>
    <n v="29.930384"/>
    <n v="86.765798270000005"/>
  </r>
  <r>
    <n v="28"/>
    <x v="27"/>
    <n v="48.604489999999998"/>
    <n v="-122.02791999999999"/>
    <x v="0"/>
    <x v="0"/>
    <x v="2"/>
    <n v="-8"/>
    <n v="552.4"/>
    <n v="3.0352328000000002"/>
    <s v="Moderate"/>
    <n v="1.0170676000000001"/>
    <n v="4.2042243160000003"/>
    <n v="134.9116665"/>
    <n v="180.78164559999999"/>
    <n v="0.74626860515755811"/>
    <n v="0.17230645"/>
    <n v="0.1285869"/>
    <n v="57.014782539999999"/>
    <x v="27"/>
    <n v="145.01240250000001"/>
    <n v="517618.67499999999"/>
    <n v="652105.43999999994"/>
    <n v="34.951087999999999"/>
    <n v="91.965870539999997"/>
  </r>
  <r>
    <n v="29"/>
    <x v="28"/>
    <n v="48.630935999999998"/>
    <n v="-121.868675"/>
    <x v="0"/>
    <x v="0"/>
    <x v="2"/>
    <n v="-8"/>
    <n v="812.57142859999999"/>
    <n v="3.0519915000000002"/>
    <s v="Moderate"/>
    <n v="1.0166234999999999"/>
    <n v="0.66128393299999999"/>
    <n v="21.22030638"/>
    <n v="28.43520913"/>
    <n v="0.74626869396265272"/>
    <n v="0.17451727"/>
    <n v="0.13023680000000001"/>
    <n v="63.997304509999999"/>
    <x v="28"/>
    <n v="159.92261679999999"/>
    <n v="583194.54040000006"/>
    <n v="734549.44"/>
    <n v="38.871113000000001"/>
    <n v="102.86841751"/>
  </r>
  <r>
    <n v="30"/>
    <x v="29"/>
    <n v="48.657234000000003"/>
    <n v="-121.70927399999999"/>
    <x v="0"/>
    <x v="0"/>
    <x v="2"/>
    <n v="-8"/>
    <n v="300.5"/>
    <n v="2.9946342000000001"/>
    <s v="Low"/>
    <n v="1.0157849000000001"/>
    <n v="3.2698079409999998"/>
    <n v="104.9266655"/>
    <n v="140.60174140000001"/>
    <n v="0.7462686056034864"/>
    <n v="0.16821083000000001"/>
    <n v="0.12553048"/>
    <n v="58.344736220000001"/>
    <x v="29"/>
    <n v="180.47414280000001"/>
    <n v="712645.43149999995"/>
    <n v="756984.4"/>
    <n v="41.560177000000003"/>
    <n v="99.904913219999997"/>
  </r>
  <r>
    <n v="31"/>
    <x v="30"/>
    <n v="48.960425999999998"/>
    <n v="-119.78502"/>
    <x v="0"/>
    <x v="0"/>
    <x v="3"/>
    <n v="-8"/>
    <n v="1357.25"/>
    <n v="3.6759187999999998"/>
    <s v="Moderate"/>
    <n v="1.0008729999999999"/>
    <n v="0.62758796500000003"/>
    <n v="20.139017800000001"/>
    <n v="26.986282509999999"/>
    <n v="0.74626869382758876"/>
    <n v="0.22137200000000001"/>
    <n v="0.16520296000000001"/>
    <n v="50.100152979999997"/>
    <x v="30"/>
    <n v="245.4081946"/>
    <n v="727406.07559999998"/>
    <n v="926063.8"/>
    <n v="38.633377000000003"/>
    <n v="88.73352998"/>
  </r>
  <r>
    <n v="32"/>
    <x v="31"/>
    <n v="48.984656999999999"/>
    <n v="-119.62372999999999"/>
    <x v="0"/>
    <x v="0"/>
    <x v="3"/>
    <n v="-8"/>
    <n v="792.125"/>
    <n v="3.6681499999999998"/>
    <s v="Moderate"/>
    <n v="0.99943539999999997"/>
    <n v="3.293783871"/>
    <n v="105.6960423"/>
    <n v="141.63270650000001"/>
    <n v="0.74626860498496506"/>
    <n v="0.21574225"/>
    <n v="0.16100168000000001"/>
    <n v="44.911543160000001"/>
    <x v="31"/>
    <n v="255.309292"/>
    <n v="765854.18169999996"/>
    <n v="853872.1"/>
    <n v="36.551229999999997"/>
    <n v="81.462773159999998"/>
  </r>
  <r>
    <n v="33"/>
    <x v="32"/>
    <n v="48.037666000000002"/>
    <n v="-124.662796"/>
    <x v="0"/>
    <x v="0"/>
    <x v="1"/>
    <n v="-8"/>
    <n v="84.222222220000006"/>
    <n v="3.0579755"/>
    <s v="Moderate"/>
    <n v="1.0211664"/>
    <n v="15.878268240000001"/>
    <n v="509.5264828"/>
    <n v="682.76553420000005"/>
    <n v="0.74626860507394366"/>
    <n v="0.17562720000000001"/>
    <n v="0.13106509"/>
    <n v="56.11503905"/>
    <x v="32"/>
    <n v="406.9088764"/>
    <n v="1528753.13"/>
    <n v="1747086.1"/>
    <n v="91.868570000000005"/>
    <n v="147.98360905000001"/>
  </r>
  <r>
    <n v="34"/>
    <x v="33"/>
    <n v="48.066699999999997"/>
    <n v="-124.506424"/>
    <x v="0"/>
    <x v="0"/>
    <x v="1"/>
    <n v="-8"/>
    <n v="134.47368420000001"/>
    <n v="2.9963690999999999"/>
    <s v="Low"/>
    <n v="1.0209949"/>
    <n v="51.32063101"/>
    <n v="1646.8557599999999"/>
    <n v="2206.7871329999998"/>
    <n v="0.74626851651123893"/>
    <n v="0.17103146"/>
    <n v="0.12763542"/>
    <n v="57.615239090000003"/>
    <x v="33"/>
    <n v="388.43109709999999"/>
    <n v="1474336.7749999999"/>
    <n v="1625996.9"/>
    <n v="87.798699999999997"/>
    <n v="145.41393908999999"/>
  </r>
  <r>
    <n v="35"/>
    <x v="34"/>
    <n v="48.095585"/>
    <n v="-124.34990000000001"/>
    <x v="0"/>
    <x v="0"/>
    <x v="1"/>
    <n v="-8"/>
    <n v="261.73333330000003"/>
    <n v="2.9914304999999999"/>
    <s v="Low"/>
    <n v="1.0208390000000001"/>
    <n v="24.889031760000002"/>
    <n v="798.67782969999996"/>
    <n v="1070.2283660000001"/>
    <n v="0.74626860497547298"/>
    <n v="0.17135653000000001"/>
    <n v="0.12787800999999999"/>
    <n v="57.498993249999998"/>
    <x v="34"/>
    <n v="388.43109709999999"/>
    <n v="1474336.7749999999"/>
    <n v="1571335"/>
    <n v="84.686170000000004"/>
    <n v="142.18516325000002"/>
  </r>
  <r>
    <n v="36"/>
    <x v="35"/>
    <n v="48.124310000000001"/>
    <n v="-124.19320999999999"/>
    <x v="0"/>
    <x v="0"/>
    <x v="1"/>
    <n v="-8"/>
    <n v="296.41176469999999"/>
    <n v="3.1369712000000001"/>
    <s v="Moderate"/>
    <n v="1.020715"/>
    <n v="12.28413647"/>
    <n v="394.192365"/>
    <n v="528.21786840000004"/>
    <n v="0.74626851642491687"/>
    <n v="0.18068194000000001"/>
    <n v="0.13483727000000001"/>
    <n v="54.526094020000002"/>
    <x v="35"/>
    <n v="388.43109709999999"/>
    <n v="1474336.7749999999"/>
    <n v="1582428.6"/>
    <n v="80.882355000000004"/>
    <n v="135.40844902000001"/>
  </r>
  <r>
    <n v="37"/>
    <x v="36"/>
    <n v="48.152884999999998"/>
    <n v="-124.03636"/>
    <x v="0"/>
    <x v="0"/>
    <x v="1"/>
    <n v="-8"/>
    <n v="207"/>
    <n v="3.2196872000000001"/>
    <s v="Moderate"/>
    <n v="1.0206077"/>
    <n v="22.07622568"/>
    <n v="708.41614830000003"/>
    <n v="949.27770439999995"/>
    <n v="0.74626860508407411"/>
    <n v="0.18493569000000001"/>
    <n v="0.13801171000000001"/>
    <n v="53.267496749999999"/>
    <x v="36"/>
    <n v="363.80883089999998"/>
    <n v="1320693.43"/>
    <n v="1430411.1"/>
    <n v="71.430639999999997"/>
    <n v="124.69813675"/>
  </r>
  <r>
    <n v="38"/>
    <x v="37"/>
    <n v="48.403122000000003"/>
    <n v="-122.61767999999999"/>
    <x v="0"/>
    <x v="0"/>
    <x v="2"/>
    <n v="-8"/>
    <n v="56"/>
    <n v="3.3267085999999999"/>
    <s v="Moderate"/>
    <n v="1.0200260000000001"/>
    <n v="10.56061725"/>
    <n v="338.88549569999998"/>
    <n v="454.10654169999998"/>
    <n v="0.74626869375486915"/>
    <n v="0.19145656"/>
    <n v="0.14287804000000001"/>
    <n v="51.430034790000001"/>
    <x v="37"/>
    <n v="180.8634739"/>
    <n v="711755.853"/>
    <n v="760091.9"/>
    <n v="36.664031999999999"/>
    <n v="88.094066789999999"/>
  </r>
  <r>
    <n v="39"/>
    <x v="38"/>
    <n v="48.430149999999998"/>
    <n v="-122.45928000000001"/>
    <x v="0"/>
    <x v="0"/>
    <x v="2"/>
    <n v="-8"/>
    <n v="19.5"/>
    <n v="3.2584474000000001"/>
    <s v="Moderate"/>
    <n v="1.0198077999999999"/>
    <n v="22.682266259999999"/>
    <n v="727.86371770000005"/>
    <n v="975.33744920000004"/>
    <n v="0.74626860508331239"/>
    <n v="0.18603852000000001"/>
    <n v="0.13883471"/>
    <n v="52.918876740000002"/>
    <x v="38"/>
    <n v="146.6180584"/>
    <n v="566451.80240000004"/>
    <n v="590061.80000000005"/>
    <n v="29.291325000000001"/>
    <n v="82.210201740000002"/>
  </r>
  <r>
    <n v="40"/>
    <x v="39"/>
    <n v="48.457023999999997"/>
    <n v="-122.30072"/>
    <x v="0"/>
    <x v="0"/>
    <x v="2"/>
    <n v="-8"/>
    <n v="38"/>
    <n v="3.1245908999999998"/>
    <s v="Moderate"/>
    <n v="1.0184025999999999"/>
    <n v="13.386140879999999"/>
    <n v="429.55523740000001"/>
    <n v="575.60405790000004"/>
    <n v="0.74626860513660043"/>
    <n v="0.17770948"/>
    <n v="0.13261902"/>
    <n v="55.33871473"/>
    <x v="39"/>
    <n v="134.1160064"/>
    <n v="531877.13699999999"/>
    <n v="567366.56000000006"/>
    <n v="29.484756000000001"/>
    <n v="84.823470729999997"/>
  </r>
  <r>
    <n v="41"/>
    <x v="40"/>
    <n v="48.483739999999997"/>
    <n v="-122.14202"/>
    <x v="0"/>
    <x v="0"/>
    <x v="2"/>
    <n v="-8"/>
    <n v="222.58823530000001"/>
    <n v="3.0517530000000002"/>
    <s v="Moderate"/>
    <n v="1.0179061"/>
    <n v="10.777049010000001"/>
    <n v="345.83069440000003"/>
    <n v="463.41310750000002"/>
    <n v="0.74626869374859017"/>
    <n v="0.17234334000000001"/>
    <n v="0.12861444"/>
    <n v="57.039758509999999"/>
    <x v="40"/>
    <n v="128.8075584"/>
    <n v="461053.1643"/>
    <n v="515674.78"/>
    <n v="27.632857999999999"/>
    <n v="84.672616509999997"/>
  </r>
  <r>
    <n v="42"/>
    <x v="41"/>
    <n v="48.510300000000001"/>
    <n v="-121.98317"/>
    <x v="0"/>
    <x v="0"/>
    <x v="2"/>
    <n v="-8"/>
    <n v="225.81818179999999"/>
    <n v="3.0567004999999998"/>
    <s v="Moderate"/>
    <n v="1.0174209000000001"/>
    <n v="17.2773"/>
    <n v="554.42084839999995"/>
    <n v="742.9239"/>
    <n v="0.74626869373834914"/>
    <n v="0.17165654999999999"/>
    <n v="0.12810189999999999"/>
    <n v="57.246370159999998"/>
    <x v="41"/>
    <n v="145.53696099999999"/>
    <n v="519084.75870000001"/>
    <n v="572974.75"/>
    <n v="30.826163999999999"/>
    <n v="88.072534160000004"/>
  </r>
  <r>
    <n v="43"/>
    <x v="42"/>
    <n v="48.536704999999998"/>
    <n v="-121.82416000000001"/>
    <x v="0"/>
    <x v="0"/>
    <x v="2"/>
    <n v="-8"/>
    <n v="305.8"/>
    <n v="3.0715165"/>
    <s v="Moderate"/>
    <n v="1.0167839999999999"/>
    <n v="13.547168920000001"/>
    <n v="434.72255469999999"/>
    <n v="582.52826359999995"/>
    <n v="0.74626860508610016"/>
    <n v="0.17280342000000001"/>
    <n v="0.12895777999999999"/>
    <n v="56.838269850000003"/>
    <x v="38"/>
    <n v="159.6526168"/>
    <n v="582054.0294"/>
    <n v="637358"/>
    <n v="34.062424"/>
    <n v="90.90069385000001"/>
  </r>
  <r>
    <n v="44"/>
    <x v="43"/>
    <n v="48.562950000000001"/>
    <n v="-121.66501"/>
    <x v="0"/>
    <x v="0"/>
    <x v="2"/>
    <n v="-8"/>
    <n v="274.75"/>
    <n v="3.0848544000000002"/>
    <s v="Moderate"/>
    <n v="1.0161127999999999"/>
    <n v="2.5767719599999999"/>
    <n v="82.687462539999999"/>
    <n v="110.80119430000001"/>
    <n v="0.74626869378428706"/>
    <n v="0.17330168000000001"/>
    <n v="0.12932959999999999"/>
    <n v="56.645280419999999"/>
    <x v="42"/>
    <n v="170.13474020000001"/>
    <n v="645538.3504"/>
    <n v="740474.94"/>
    <n v="39.459539999999997"/>
    <n v="96.104820419999996"/>
  </r>
  <r>
    <n v="45"/>
    <x v="44"/>
    <n v="48.589039999999997"/>
    <n v="-121.50570999999999"/>
    <x v="0"/>
    <x v="0"/>
    <x v="2"/>
    <n v="-8"/>
    <n v="1124"/>
    <n v="3.0760000000000001"/>
    <s v="Moderate"/>
    <n v="1.0153329"/>
    <n v="1.6199999999999999E-2"/>
    <n v="0.51985071000000005"/>
    <n v="0.6966"/>
    <n v="0.74626860465116285"/>
    <n v="0.17833668"/>
    <n v="0.13308707"/>
    <n v="95.580116059999995"/>
    <x v="43"/>
    <n v="160.7972207"/>
    <n v="590539.29350000003"/>
    <n v="780357"/>
    <n v="40.410763000000003"/>
    <n v="135.99087906"/>
  </r>
  <r>
    <n v="46"/>
    <x v="45"/>
    <n v="48.61497"/>
    <n v="-121.34625"/>
    <x v="0"/>
    <x v="0"/>
    <x v="2"/>
    <n v="-8"/>
    <n v="360"/>
    <n v="3.0960000000000001"/>
    <s v="Moderate"/>
    <n v="1.0143648000000001"/>
    <n v="1.6199999999999999E-2"/>
    <n v="0.51985071000000005"/>
    <n v="0.6966"/>
    <n v="0.74626860465116285"/>
    <n v="0.17345079999999999"/>
    <n v="0.12944091999999999"/>
    <n v="98.190051449999999"/>
    <x v="44"/>
    <n v="172.87860380000001"/>
    <n v="639249.13399999996"/>
    <n v="691774.5"/>
    <n v="36.832622999999998"/>
    <n v="135.02267445000001"/>
  </r>
  <r>
    <n v="47"/>
    <x v="46"/>
    <n v="48.717117000000002"/>
    <n v="-120.706985"/>
    <x v="0"/>
    <x v="0"/>
    <x v="3"/>
    <n v="-8"/>
    <n v="1780"/>
    <n v="3.6019999999999999"/>
    <s v="Moderate"/>
    <n v="1.0094742999999999"/>
    <n v="8.0999999999999996E-3"/>
    <n v="0.25992535500000002"/>
    <n v="0.3483"/>
    <n v="0.74626860465116285"/>
    <n v="0.20927319999999999"/>
    <n v="0.15617402"/>
    <n v="87.996458129999994"/>
    <x v="45"/>
    <n v="200.67115570000001"/>
    <n v="801012.50170000002"/>
    <n v="1096259.2"/>
    <n v="48.377569999999999"/>
    <n v="136.37402813"/>
  </r>
  <r>
    <n v="48"/>
    <x v="47"/>
    <n v="48.841231999999998"/>
    <n v="-119.90466000000001"/>
    <x v="0"/>
    <x v="0"/>
    <x v="3"/>
    <n v="-8"/>
    <n v="1611.7142859999999"/>
    <n v="3.6687112000000002"/>
    <s v="Moderate"/>
    <n v="1.0018225999999999"/>
    <n v="2.6227801479999999"/>
    <n v="84.163824750000003"/>
    <n v="112.7795464"/>
    <n v="0.74626851620321821"/>
    <n v="0.21978702"/>
    <n v="0.16402015"/>
    <n v="44.16801006"/>
    <x v="46"/>
    <n v="245.4081946"/>
    <n v="727406.07559999998"/>
    <n v="947934.06"/>
    <n v="39.830936000000001"/>
    <n v="83.998946060000009"/>
  </r>
  <r>
    <n v="49"/>
    <x v="48"/>
    <n v="48.865577999999999"/>
    <n v="-119.743774"/>
    <x v="0"/>
    <x v="0"/>
    <x v="3"/>
    <n v="-8"/>
    <n v="1239.6923079999999"/>
    <n v="3.6691039999999999"/>
    <s v="Moderate"/>
    <n v="1.0005869000000001"/>
    <n v="3.8808719599999999"/>
    <n v="124.5354497"/>
    <n v="166.8774943"/>
    <n v="0.74626869382470107"/>
    <n v="0.21868562999999999"/>
    <n v="0.16319822"/>
    <n v="44.347292600000003"/>
    <x v="47"/>
    <n v="245.4081946"/>
    <n v="727406.07559999998"/>
    <n v="859420.7"/>
    <n v="36.293593999999999"/>
    <n v="80.640886600000002"/>
  </r>
  <r>
    <n v="50"/>
    <x v="49"/>
    <n v="48.889763000000002"/>
    <n v="-119.58274"/>
    <x v="0"/>
    <x v="0"/>
    <x v="3"/>
    <n v="-8"/>
    <n v="726.23076920000005"/>
    <n v="3.717619"/>
    <s v="Moderate"/>
    <n v="0.99867570000000006"/>
    <n v="5.2973189209999996"/>
    <n v="169.98858050000001"/>
    <n v="227.7847136"/>
    <n v="0.74626860518176585"/>
    <n v="0.21965934000000001"/>
    <n v="0.16392487"/>
    <n v="44.084241669999997"/>
    <x v="48"/>
    <n v="255.309292"/>
    <n v="765854.18169999996"/>
    <n v="883315.06"/>
    <n v="37.137301999999998"/>
    <n v="81.221543669999988"/>
  </r>
  <r>
    <n v="51"/>
    <x v="50"/>
    <n v="48.913787999999997"/>
    <n v="-119.42158000000001"/>
    <x v="0"/>
    <x v="0"/>
    <x v="3"/>
    <n v="-8"/>
    <n v="557.375"/>
    <n v="3.7073320999999999"/>
    <s v="Moderate"/>
    <n v="0.99754034999999996"/>
    <n v="7.8914245059999999"/>
    <n v="253.2322915"/>
    <n v="339.33125369999999"/>
    <n v="0.74626869390545625"/>
    <n v="0.21712629999999999"/>
    <n v="0.16203454"/>
    <n v="44.55859676"/>
    <x v="49"/>
    <n v="255.309292"/>
    <n v="765854.18169999996"/>
    <n v="804798"/>
    <n v="34.230939999999997"/>
    <n v="78.789536760000004"/>
  </r>
  <r>
    <n v="52"/>
    <x v="51"/>
    <n v="48.937652999999997"/>
    <n v="-119.26027000000001"/>
    <x v="0"/>
    <x v="0"/>
    <x v="3"/>
    <n v="-8"/>
    <n v="1118.5"/>
    <n v="3.7253699999999998"/>
    <s v="Moderate"/>
    <n v="0.99617374000000003"/>
    <n v="21.907502050000002"/>
    <n v="703.00188279999998"/>
    <n v="942.02258819999997"/>
    <n v="0.74626860502706571"/>
    <n v="0.22061612"/>
    <n v="0.1646389"/>
    <n v="43.806415780000002"/>
    <x v="50"/>
    <n v="255.309292"/>
    <n v="765854.18169999996"/>
    <n v="874382.7"/>
    <n v="36.602330000000002"/>
    <n v="80.408745780000004"/>
  </r>
  <r>
    <n v="53"/>
    <x v="52"/>
    <n v="48.961357"/>
    <n v="-119.09882"/>
    <x v="0"/>
    <x v="0"/>
    <x v="3"/>
    <n v="-8"/>
    <n v="1252.3076920000001"/>
    <n v="3.6295571"/>
    <s v="Moderate"/>
    <n v="0.99500469999999996"/>
    <n v="15.930269600000001"/>
    <n v="511.1951833"/>
    <n v="685.00159299999996"/>
    <n v="0.74626860510089355"/>
    <n v="0.21428454999999999"/>
    <n v="0.15991387000000001"/>
    <n v="45.059103829999998"/>
    <x v="51"/>
    <n v="255.309292"/>
    <n v="765854.18169999996"/>
    <n v="863619.94"/>
    <n v="37.219985999999999"/>
    <n v="82.279089830000004"/>
  </r>
  <r>
    <n v="54"/>
    <x v="53"/>
    <n v="48.984893999999997"/>
    <n v="-118.93724"/>
    <x v="0"/>
    <x v="0"/>
    <x v="3"/>
    <n v="-8"/>
    <n v="1123.1111109999999"/>
    <n v="3.5630229"/>
    <s v="Moderate"/>
    <n v="0.99384930000000005"/>
    <n v="2.1616469600000001"/>
    <n v="69.366278260000001"/>
    <n v="92.950819300000006"/>
    <n v="0.7462686050794175"/>
    <n v="0.20911945000000001"/>
    <n v="0.15605930000000001"/>
    <n v="46.15690275"/>
    <x v="52"/>
    <n v="255.309292"/>
    <n v="765854.18169999996"/>
    <n v="863063.94"/>
    <n v="38.114739999999998"/>
    <n v="84.271642749999998"/>
  </r>
  <r>
    <n v="55"/>
    <x v="54"/>
    <n v="47.944336"/>
    <n v="-124.61412"/>
    <x v="0"/>
    <x v="0"/>
    <x v="1"/>
    <n v="-8"/>
    <n v="71.133333329999999"/>
    <n v="3.0669208000000001"/>
    <s v="Moderate"/>
    <n v="1.0211695000000001"/>
    <n v="32.164045969999997"/>
    <n v="1032.1298850000001"/>
    <n v="1383.053977"/>
    <n v="0.74626869389349948"/>
    <n v="0.17523738999999999"/>
    <n v="0.13077416"/>
    <n v="56.240010089999998"/>
    <x v="53"/>
    <n v="406.99887639999997"/>
    <n v="1529207.7609999999"/>
    <n v="1667265.4"/>
    <n v="87.866309999999999"/>
    <n v="144.10632009"/>
  </r>
  <r>
    <n v="56"/>
    <x v="55"/>
    <n v="47.973320000000001"/>
    <n v="-124.45799"/>
    <x v="0"/>
    <x v="0"/>
    <x v="1"/>
    <n v="-8"/>
    <n v="103.9375"/>
    <n v="3.0107179999999998"/>
    <s v="Moderate"/>
    <n v="1.0209992000000001"/>
    <n v="55.854926370000001"/>
    <n v="1792.359453"/>
    <n v="2401.7618339999999"/>
    <n v="0.74626860483286372"/>
    <n v="0.17120848999999999"/>
    <n v="0.12776752999999999"/>
    <n v="57.555848050000002"/>
    <x v="54"/>
    <n v="406.99887639999997"/>
    <n v="1529207.7609999999"/>
    <n v="1609292.6"/>
    <n v="86.806880000000007"/>
    <n v="144.36272805000002"/>
  </r>
  <r>
    <n v="57"/>
    <x v="56"/>
    <n v="48.002147999999998"/>
    <n v="-124.30168999999999"/>
    <x v="0"/>
    <x v="0"/>
    <x v="1"/>
    <n v="-8"/>
    <n v="241.16666670000001"/>
    <n v="3.0019300000000002"/>
    <s v="Moderate"/>
    <n v="1.0208543999999999"/>
    <n v="17.088733739999999"/>
    <n v="548.36977609999997"/>
    <n v="734.81555079999998"/>
    <n v="0.74626860509822512"/>
    <n v="0.17186750000000001"/>
    <n v="0.12825933"/>
    <n v="57.328711640000002"/>
    <x v="55"/>
    <n v="388.43109709999999"/>
    <n v="1474336.7749999999"/>
    <n v="1600209.8"/>
    <n v="85.985960000000006"/>
    <n v="143.31467164"/>
  </r>
  <r>
    <n v="58"/>
    <x v="57"/>
    <n v="48.030822999999998"/>
    <n v="-124.14524"/>
    <x v="0"/>
    <x v="0"/>
    <x v="1"/>
    <n v="-8"/>
    <n v="416"/>
    <n v="3.0673745000000001"/>
    <s v="Moderate"/>
    <n v="1.0207272000000001"/>
    <n v="9.8829729489999991"/>
    <n v="317.1401171"/>
    <n v="424.96783679999999"/>
    <n v="0.74626851643187697"/>
    <n v="0.17719099999999999"/>
    <n v="0.13223208"/>
    <n v="55.60085299"/>
    <x v="56"/>
    <n v="388.43109709999999"/>
    <n v="1474336.7749999999"/>
    <n v="1583041.8"/>
    <n v="82.507819999999995"/>
    <n v="138.10867299"/>
  </r>
  <r>
    <n v="59"/>
    <x v="58"/>
    <n v="48.059350000000002"/>
    <n v="-123.98863"/>
    <x v="0"/>
    <x v="0"/>
    <x v="1"/>
    <n v="-8"/>
    <n v="576.85714289999999"/>
    <n v="3.172107"/>
    <s v="Moderate"/>
    <n v="1.0206244"/>
    <n v="2.6182439209999999"/>
    <n v="84.018279250000006"/>
    <n v="112.5844886"/>
    <n v="0.74626869380299343"/>
    <n v="0.18440285000000001"/>
    <n v="0.13761407000000001"/>
    <n v="53.42209733"/>
    <x v="57"/>
    <n v="369.92353220000001"/>
    <n v="1365071.4779999999"/>
    <n v="1516856.1"/>
    <n v="75.966329999999999"/>
    <n v="129.38842733000001"/>
  </r>
  <r>
    <n v="60"/>
    <x v="59"/>
    <n v="48.087722999999997"/>
    <n v="-123.831856"/>
    <x v="0"/>
    <x v="0"/>
    <x v="1"/>
    <n v="-8"/>
    <n v="283.39999999999998"/>
    <n v="3.3059601999999999"/>
    <s v="Moderate"/>
    <n v="1.0205481999999999"/>
    <n v="8.4222182369999992"/>
    <n v="270.26519339999999"/>
    <n v="362.15538420000001"/>
    <n v="0.74626860510997195"/>
    <n v="0.18940552999999999"/>
    <n v="0.14134740000000001"/>
    <n v="52.008011400000001"/>
    <x v="58"/>
    <n v="351.4404543"/>
    <n v="1249307.3840000001"/>
    <n v="1359298.2"/>
    <n v="66.277559999999994"/>
    <n v="118.28557139999999"/>
  </r>
  <r>
    <n v="61"/>
    <x v="60"/>
    <n v="48.115935999999998"/>
    <n v="-123.67493"/>
    <x v="0"/>
    <x v="0"/>
    <x v="1"/>
    <n v="-8"/>
    <n v="174.36363639999999"/>
    <n v="3.3513727000000002"/>
    <s v="Moderate"/>
    <n v="1.020505"/>
    <n v="20.457198630000001"/>
    <n v="656.46229879999999"/>
    <n v="879.65954120000004"/>
    <n v="0.74626860512929538"/>
    <n v="0.19176792000000001"/>
    <n v="0.14311038000000001"/>
    <n v="51.365599009999997"/>
    <x v="59"/>
    <n v="340.88377250000002"/>
    <n v="1198091.4410000001"/>
    <n v="1235698.2"/>
    <n v="59.508755000000001"/>
    <n v="110.87435400999999"/>
  </r>
  <r>
    <n v="62"/>
    <x v="61"/>
    <n v="48.281998000000002"/>
    <n v="-122.73009999999999"/>
    <x v="0"/>
    <x v="0"/>
    <x v="4"/>
    <n v="-8"/>
    <n v="40.857142860000003"/>
    <n v="3.3675343999999998"/>
    <s v="Moderate"/>
    <n v="1.0203397999999999"/>
    <n v="12.725990879999999"/>
    <n v="408.3713209"/>
    <n v="547.21760789999996"/>
    <n v="0.74626860503843084"/>
    <n v="0.19307195999999999"/>
    <n v="0.14408356"/>
    <n v="51.012127370000002"/>
    <x v="60"/>
    <n v="191.87920120000001"/>
    <n v="751588.35719999997"/>
    <n v="786588.4"/>
    <n v="37.624671999999997"/>
    <n v="88.636799370000006"/>
  </r>
  <r>
    <n v="63"/>
    <x v="62"/>
    <n v="48.309134999999998"/>
    <n v="-122.57210000000001"/>
    <x v="0"/>
    <x v="0"/>
    <x v="4"/>
    <n v="-8"/>
    <n v="47.5"/>
    <n v="3.2972413999999999"/>
    <s v="Moderate"/>
    <n v="1.0202236"/>
    <n v="14.200919600000001"/>
    <n v="455.70112"/>
    <n v="610.639543"/>
    <n v="0.74626860514337834"/>
    <n v="0.18898243000000001"/>
    <n v="0.14103165000000001"/>
    <n v="52.111329900000001"/>
    <x v="61"/>
    <n v="180.8107531"/>
    <n v="711517.49179999996"/>
    <n v="746199.9"/>
    <n v="36.465164000000001"/>
    <n v="88.576493900000003"/>
  </r>
  <r>
    <n v="64"/>
    <x v="63"/>
    <n v="48.336117000000002"/>
    <n v="-122.41394"/>
    <x v="0"/>
    <x v="0"/>
    <x v="2"/>
    <n v="-8"/>
    <n v="21.666666670000001"/>
    <n v="3.2052299999999998"/>
    <s v="Moderate"/>
    <n v="1.0201480000000001"/>
    <n v="6.7008060790000004"/>
    <n v="215.0258518"/>
    <n v="288.13466140000003"/>
    <n v="0.74626860494750591"/>
    <n v="0.18166229"/>
    <n v="0.13556886000000001"/>
    <n v="54.208000929999997"/>
    <x v="62"/>
    <n v="146.6180584"/>
    <n v="566451.80240000004"/>
    <n v="613579.93999999994"/>
    <n v="31.192543000000001"/>
    <n v="85.400543929999998"/>
  </r>
  <r>
    <n v="65"/>
    <x v="64"/>
    <n v="48.362938"/>
    <n v="-122.25563"/>
    <x v="0"/>
    <x v="0"/>
    <x v="2"/>
    <n v="-8"/>
    <n v="140.83333329999999"/>
    <n v="3.0920198000000001"/>
    <s v="Moderate"/>
    <n v="1.0189035"/>
    <n v="21.823019599999999"/>
    <n v="700.29096240000001"/>
    <n v="938.38984300000004"/>
    <n v="0.74626869378849403"/>
    <n v="0.17603021999999999"/>
    <n v="0.13136584000000001"/>
    <n v="55.888360839999997"/>
    <x v="63"/>
    <n v="138.03607779999999"/>
    <n v="543257.17830000003"/>
    <n v="623781.9"/>
    <n v="32.725777000000001"/>
    <n v="88.614137839999998"/>
  </r>
  <r>
    <n v="66"/>
    <x v="65"/>
    <n v="48.389606000000001"/>
    <n v="-122.09717000000001"/>
    <x v="0"/>
    <x v="0"/>
    <x v="2"/>
    <n v="-8"/>
    <n v="544.36842109999998"/>
    <n v="2.9852569999999998"/>
    <s v="Low"/>
    <n v="1.0185120999999999"/>
    <n v="16.35600608"/>
    <n v="524.85687519999999"/>
    <n v="703.30826139999999"/>
    <n v="0.74626860511381443"/>
    <n v="0.17091935999999999"/>
    <n v="0.12755174999999999"/>
    <n v="57.542062719999997"/>
    <x v="64"/>
    <n v="115.0673441"/>
    <n v="411048.8297"/>
    <n v="532870.06000000006"/>
    <n v="28.792175"/>
    <n v="86.334237720000004"/>
  </r>
  <r>
    <n v="67"/>
    <x v="66"/>
    <n v="48.416114999999998"/>
    <n v="-121.93855000000001"/>
    <x v="0"/>
    <x v="0"/>
    <x v="2"/>
    <n v="-8"/>
    <n v="727.58333330000005"/>
    <n v="2.969004"/>
    <s v="Low"/>
    <n v="1.0180418"/>
    <n v="3.4146359799999999"/>
    <n v="109.5741321"/>
    <n v="146.82934710000001"/>
    <n v="0.74626860545373896"/>
    <n v="0.16955993999999999"/>
    <n v="0.12653724999999999"/>
    <n v="57.982215580000002"/>
    <x v="65"/>
    <n v="145.53696099999999"/>
    <n v="519084.75870000001"/>
    <n v="684884.94"/>
    <n v="37.302570000000003"/>
    <n v="95.284785580000005"/>
  </r>
  <r>
    <n v="68"/>
    <x v="67"/>
    <n v="48.44247"/>
    <n v="-121.77979000000001"/>
    <x v="0"/>
    <x v="0"/>
    <x v="2"/>
    <n v="-8"/>
    <n v="819.66666669999995"/>
    <n v="3.0696766000000002"/>
    <s v="Moderate"/>
    <n v="1.0174576"/>
    <n v="0.30488402599999997"/>
    <n v="9.7835912010000001"/>
    <n v="13.11001312"/>
    <n v="0.74626860487840618"/>
    <n v="0.17574877"/>
    <n v="0.13115578999999999"/>
    <n v="69.287813749999998"/>
    <x v="66"/>
    <n v="165.58092199999999"/>
    <n v="613733.53559999994"/>
    <n v="776632.8"/>
    <n v="40.810119999999998"/>
    <n v="110.09793375"/>
  </r>
  <r>
    <n v="69"/>
    <x v="68"/>
    <n v="48.468670000000003"/>
    <n v="-121.62088"/>
    <x v="0"/>
    <x v="0"/>
    <x v="2"/>
    <n v="-8"/>
    <n v="276.8"/>
    <n v="3.0912997999999998"/>
    <s v="Moderate"/>
    <n v="1.0164291999999999"/>
    <n v="9.0370084350000006"/>
    <n v="289.99349969999997"/>
    <n v="388.59136269999999"/>
    <n v="0.74626851632798785"/>
    <n v="0.17374587"/>
    <n v="0.1296611"/>
    <n v="56.51436546"/>
    <x v="67"/>
    <n v="146.01209080000001"/>
    <n v="533275.58259999997"/>
    <n v="631834.5"/>
    <n v="33.584063999999998"/>
    <n v="90.098429460000006"/>
  </r>
  <r>
    <n v="70"/>
    <x v="69"/>
    <n v="48.494709999999998"/>
    <n v="-121.46182"/>
    <x v="0"/>
    <x v="0"/>
    <x v="2"/>
    <n v="-8"/>
    <n v="305"/>
    <n v="3.092381"/>
    <s v="Moderate"/>
    <n v="1.0156704999999999"/>
    <n v="3.8202841190000001"/>
    <n v="122.5911983"/>
    <n v="164.27221710000001"/>
    <n v="0.74626860502755088"/>
    <n v="0.17359153999999999"/>
    <n v="0.12954593"/>
    <n v="56.531222450000001"/>
    <x v="68"/>
    <n v="154.52061029999999"/>
    <n v="570068.47889999999"/>
    <n v="638408.1"/>
    <n v="33.963642"/>
    <n v="90.494864449999994"/>
  </r>
  <r>
    <n v="71"/>
    <x v="70"/>
    <n v="48.647644"/>
    <n v="-120.504425"/>
    <x v="0"/>
    <x v="0"/>
    <x v="3"/>
    <n v="-8"/>
    <n v="942"/>
    <n v="3.6160002000000002"/>
    <s v="Moderate"/>
    <n v="1.0079719"/>
    <n v="1.5876000000000001E-2"/>
    <n v="0.50945382699999997"/>
    <n v="0.68266801300000002"/>
    <n v="0.74626878262714202"/>
    <n v="0.21082528"/>
    <n v="0.15733227"/>
    <n v="80.527596059999993"/>
    <x v="69"/>
    <n v="244.4309868"/>
    <n v="791780.65980000002"/>
    <n v="973489.7"/>
    <n v="42.643520000000002"/>
    <n v="123.17111606"/>
  </r>
  <r>
    <n v="72"/>
    <x v="71"/>
    <n v="48.672580000000004"/>
    <n v="-120.34435999999999"/>
    <x v="0"/>
    <x v="0"/>
    <x v="3"/>
    <n v="-8"/>
    <n v="1353"/>
    <n v="3.7949999999999999"/>
    <s v="Moderate"/>
    <n v="1.0064074999999999"/>
    <n v="8.0999999999999996E-3"/>
    <n v="0.25992535500000002"/>
    <n v="0.3483"/>
    <n v="0.74626860465116285"/>
    <n v="0.22779331999999999"/>
    <n v="0.16999503999999999"/>
    <n v="80.623931580000004"/>
    <x v="70"/>
    <n v="244.4309868"/>
    <n v="791780.65980000002"/>
    <n v="1018304"/>
    <n v="41.283912999999998"/>
    <n v="121.90784458"/>
  </r>
  <r>
    <n v="73"/>
    <x v="72"/>
    <n v="48.697356999999997"/>
    <n v="-120.18414"/>
    <x v="0"/>
    <x v="0"/>
    <x v="3"/>
    <n v="-8"/>
    <n v="1093.75"/>
    <n v="3.7357035000000001"/>
    <s v="Moderate"/>
    <n v="1.0047196"/>
    <n v="0.40840201599999998"/>
    <n v="13.105436920000001"/>
    <n v="17.561286689999999"/>
    <n v="0.7462686049913807"/>
    <n v="0.22321658"/>
    <n v="0.16657955999999999"/>
    <n v="52.259191800000004"/>
    <x v="71"/>
    <n v="244.4309868"/>
    <n v="791780.65980000002"/>
    <n v="1007634.94"/>
    <n v="41.688972"/>
    <n v="93.948163800000003"/>
  </r>
  <r>
    <n v="74"/>
    <x v="73"/>
    <n v="48.746437"/>
    <n v="-119.8633"/>
    <x v="0"/>
    <x v="0"/>
    <x v="3"/>
    <n v="-8"/>
    <n v="1611.9285709999999"/>
    <n v="3.6884108000000002"/>
    <s v="Moderate"/>
    <n v="1.0014168999999999"/>
    <n v="3.6676799010000001"/>
    <n v="117.6941976"/>
    <n v="157.7102357"/>
    <n v="0.74626860506302573"/>
    <n v="0.22286332"/>
    <n v="0.16631591000000001"/>
    <n v="43.544430830000003"/>
    <x v="72"/>
    <n v="245.4081946"/>
    <n v="727406.07559999998"/>
    <n v="946652.94"/>
    <n v="39.22804"/>
    <n v="82.772470830000003"/>
  </r>
  <r>
    <n v="75"/>
    <x v="74"/>
    <n v="48.770736999999997"/>
    <n v="-119.70265999999999"/>
    <x v="0"/>
    <x v="0"/>
    <x v="3"/>
    <n v="-8"/>
    <n v="1286.666667"/>
    <n v="3.6937847000000001"/>
    <s v="Moderate"/>
    <n v="1.0000468"/>
    <n v="3.007692059"/>
    <n v="96.515484779999994"/>
    <n v="129.3307586"/>
    <n v="0.74626860481432289"/>
    <n v="0.22194067000000001"/>
    <n v="0.16562736"/>
    <n v="43.678292900000002"/>
    <x v="73"/>
    <n v="245.4081946"/>
    <n v="727406.07559999998"/>
    <n v="861652.1"/>
    <n v="35.854156000000003"/>
    <n v="79.532448900000006"/>
  </r>
  <r>
    <n v="76"/>
    <x v="75"/>
    <n v="48.794876000000002"/>
    <n v="-119.54188499999999"/>
    <x v="0"/>
    <x v="0"/>
    <x v="3"/>
    <n v="-8"/>
    <n v="629.52941180000005"/>
    <n v="3.7373953000000002"/>
    <s v="Moderate"/>
    <n v="0.99830470000000004"/>
    <n v="26.20187842"/>
    <n v="840.80658800000003"/>
    <n v="1126.6807719999999"/>
    <n v="0.74626869375560811"/>
    <n v="0.22063575999999999"/>
    <n v="0.16465357"/>
    <n v="43.876300649999997"/>
    <x v="74"/>
    <n v="241.9599609"/>
    <n v="715257.28590000002"/>
    <n v="781567.8"/>
    <n v="32.714115"/>
    <n v="76.590415649999997"/>
  </r>
  <r>
    <n v="77"/>
    <x v="76"/>
    <n v="48.818854999999999"/>
    <n v="-119.38097399999999"/>
    <x v="0"/>
    <x v="0"/>
    <x v="3"/>
    <n v="-8"/>
    <n v="649.20000000000005"/>
    <n v="3.7680693000000001"/>
    <s v="Moderate"/>
    <n v="0.99679680000000004"/>
    <n v="16.484065579999999"/>
    <n v="528.96630970000001"/>
    <n v="708.81481980000001"/>
    <n v="0.74626869377428329"/>
    <n v="0.22235279999999999"/>
    <n v="0.16593492000000001"/>
    <n v="43.485675370000003"/>
    <x v="75"/>
    <n v="241.61540239999999"/>
    <n v="714313.9669"/>
    <n v="781097.56"/>
    <n v="32.441960000000002"/>
    <n v="75.927635370000004"/>
  </r>
  <r>
    <n v="78"/>
    <x v="77"/>
    <n v="48.842674000000002"/>
    <n v="-119.219925"/>
    <x v="0"/>
    <x v="0"/>
    <x v="3"/>
    <n v="-8"/>
    <n v="1173.1875"/>
    <n v="3.7283865999999999"/>
    <s v="Moderate"/>
    <n v="0.99554485000000004"/>
    <n v="24.651539209999999"/>
    <n v="791.0568945"/>
    <n v="1060.0161860000001"/>
    <n v="0.7462686937687949"/>
    <n v="0.22160497000000001"/>
    <n v="0.16537684"/>
    <n v="43.589268869999998"/>
    <x v="76"/>
    <n v="241.61540239999999"/>
    <n v="714313.9669"/>
    <n v="847316.75"/>
    <n v="35.311053999999999"/>
    <n v="78.900322869999997"/>
  </r>
  <r>
    <n v="79"/>
    <x v="78"/>
    <n v="48.866332999999997"/>
    <n v="-119.05874"/>
    <x v="0"/>
    <x v="0"/>
    <x v="3"/>
    <n v="-8"/>
    <n v="1249.8421049999999"/>
    <n v="3.6143990000000001"/>
    <s v="Moderate"/>
    <n v="0.99432830000000005"/>
    <n v="26.245052050000002"/>
    <n v="842.1920106"/>
    <n v="1128.5372379999999"/>
    <n v="0.74626869388247874"/>
    <n v="0.21388897000000001"/>
    <n v="0.15961866"/>
    <n v="45.118283169999998"/>
    <x v="77"/>
    <n v="241.61540239999999"/>
    <n v="714313.9669"/>
    <n v="936644.6"/>
    <n v="40.441833000000003"/>
    <n v="85.560116170000001"/>
  </r>
  <r>
    <n v="80"/>
    <x v="79"/>
    <n v="48.889830000000003"/>
    <n v="-118.897415"/>
    <x v="0"/>
    <x v="0"/>
    <x v="3"/>
    <n v="-8"/>
    <n v="1082.3125"/>
    <n v="3.5681677000000001"/>
    <s v="Moderate"/>
    <n v="0.99326669999999995"/>
    <n v="5.6377621580000001"/>
    <n v="180.91325079999999"/>
    <n v="242.42377279999999"/>
    <n v="0.74626860522154204"/>
    <n v="0.20947273"/>
    <n v="0.15632293999999999"/>
    <n v="46.03078292"/>
    <x v="78"/>
    <n v="214.36001289999999"/>
    <n v="902286.40449999995"/>
    <n v="1208916"/>
    <n v="53.298264000000003"/>
    <n v="99.329046919999996"/>
  </r>
  <r>
    <n v="81"/>
    <x v="80"/>
    <n v="48.913170000000001"/>
    <n v="-118.73596000000001"/>
    <x v="0"/>
    <x v="0"/>
    <x v="5"/>
    <n v="-8"/>
    <n v="1011.529412"/>
    <n v="3.5471303000000001"/>
    <s v="Moderate"/>
    <n v="0.99187210000000003"/>
    <n v="3.1943158810000001"/>
    <n v="102.5041592"/>
    <n v="137.3555829"/>
    <n v="0.7462686047106426"/>
    <n v="0.20614368999999999"/>
    <n v="0.15383859"/>
    <n v="46.722455080000003"/>
    <x v="79"/>
    <n v="211.00817520000001"/>
    <n v="889019.09649999999"/>
    <n v="1156483.5"/>
    <n v="51.810028000000003"/>
    <n v="98.532483080000006"/>
  </r>
  <r>
    <n v="82"/>
    <x v="81"/>
    <n v="48.936348000000002"/>
    <n v="-118.57437"/>
    <x v="0"/>
    <x v="0"/>
    <x v="5"/>
    <n v="-8"/>
    <n v="936.625"/>
    <n v="3.5452349999999999"/>
    <s v="Moderate"/>
    <n v="0.99083929999999998"/>
    <n v="11.467250679999999"/>
    <n v="367.9789581"/>
    <n v="493.09177940000001"/>
    <n v="0.74626869372626981"/>
    <n v="0.20501494000000001"/>
    <n v="0.15299623000000001"/>
    <n v="46.941211170000003"/>
    <x v="80"/>
    <n v="211.00817520000001"/>
    <n v="889019.09649999999"/>
    <n v="1142255"/>
    <n v="51.454334000000003"/>
    <n v="98.395545170000005"/>
  </r>
  <r>
    <n v="83"/>
    <x v="82"/>
    <n v="48.959361999999999"/>
    <n v="-118.41264"/>
    <x v="0"/>
    <x v="0"/>
    <x v="5"/>
    <n v="-8"/>
    <n v="1107.4285709999999"/>
    <n v="3.5293511999999998"/>
    <s v="Moderate"/>
    <n v="0.99033046000000002"/>
    <n v="1.06515"/>
    <n v="34.180188270000002"/>
    <n v="45.801450000000003"/>
    <n v="0.74626869389506223"/>
    <n v="0.20416787"/>
    <n v="0.1523641"/>
    <n v="50.848021029999998"/>
    <x v="81"/>
    <n v="211.00817520000001"/>
    <n v="889019.09649999999"/>
    <n v="1248889.5"/>
    <n v="56.491225999999997"/>
    <n v="107.33924703"/>
  </r>
  <r>
    <n v="84"/>
    <x v="83"/>
    <n v="48.982216000000001"/>
    <n v="-118.25078000000001"/>
    <x v="0"/>
    <x v="0"/>
    <x v="5"/>
    <n v="-8"/>
    <n v="686"/>
    <n v="3.4565980000000001"/>
    <s v="Moderate"/>
    <n v="0.98911554000000002"/>
    <n v="2.13888598"/>
    <n v="68.635888649999998"/>
    <n v="91.972097149999996"/>
    <n v="0.74626860511900373"/>
    <n v="0.19790128000000001"/>
    <n v="0.14768751999999999"/>
    <n v="48.644912410000003"/>
    <x v="82"/>
    <n v="164.66328559999999"/>
    <n v="625184.16429999995"/>
    <n v="993650.6"/>
    <n v="46.369190000000003"/>
    <n v="95.014102410000007"/>
  </r>
  <r>
    <n v="85"/>
    <x v="84"/>
    <n v="47.879936000000001"/>
    <n v="-124.40971"/>
    <x v="0"/>
    <x v="0"/>
    <x v="1"/>
    <n v="-8"/>
    <n v="153.7222222"/>
    <n v="3.0509453"/>
    <s v="Moderate"/>
    <n v="1.0209906"/>
    <n v="34.454239889999997"/>
    <n v="1105.6211860000001"/>
    <n v="1481.5323149999999"/>
    <n v="0.7462686941121498"/>
    <n v="0.17465542000000001"/>
    <n v="0.13033986"/>
    <n v="56.41957798"/>
    <x v="83"/>
    <n v="406.99887639999997"/>
    <n v="1529207.7609999999"/>
    <n v="1663032.5"/>
    <n v="87.935265000000001"/>
    <n v="144.35484298"/>
  </r>
  <r>
    <n v="86"/>
    <x v="85"/>
    <n v="47.908714000000003"/>
    <n v="-124.25364999999999"/>
    <x v="0"/>
    <x v="0"/>
    <x v="1"/>
    <n v="-8"/>
    <n v="232.2857143"/>
    <n v="3.0202230999999999"/>
    <s v="Moderate"/>
    <n v="1.0208577000000001"/>
    <n v="7.9882196040000002"/>
    <n v="256.33840300000003"/>
    <n v="343.49344300000001"/>
    <n v="0.74626869369381243"/>
    <n v="0.17353336999999999"/>
    <n v="0.12950252000000001"/>
    <n v="56.778526280000001"/>
    <x v="84"/>
    <n v="406.9088764"/>
    <n v="1528753.13"/>
    <n v="1735909.1"/>
    <n v="92.382225000000005"/>
    <n v="149.16075128"/>
  </r>
  <r>
    <n v="87"/>
    <x v="86"/>
    <n v="48.022297000000002"/>
    <n v="-123.62782"/>
    <x v="0"/>
    <x v="0"/>
    <x v="1"/>
    <n v="-8"/>
    <n v="363.5"/>
    <n v="3.3796957000000001"/>
    <s v="Moderate"/>
    <n v="1.0205327"/>
    <n v="1.033074069"/>
    <n v="33.150882019999997"/>
    <n v="44.422184979999997"/>
    <n v="0.74626860508832182"/>
    <n v="0.19507389999999999"/>
    <n v="0.14557751999999999"/>
    <n v="54.701582350000002"/>
    <x v="85"/>
    <n v="330.34892830000001"/>
    <n v="1148140.57"/>
    <n v="1321191.3999999999"/>
    <n v="62.547646"/>
    <n v="117.24922835000001"/>
  </r>
  <r>
    <n v="88"/>
    <x v="87"/>
    <n v="48.050311999999998"/>
    <n v="-123.47098"/>
    <x v="0"/>
    <x v="0"/>
    <x v="1"/>
    <n v="-8"/>
    <n v="373"/>
    <n v="3.3219903"/>
    <s v="Moderate"/>
    <n v="1.0205417999999999"/>
    <n v="4.6881993160000004"/>
    <n v="150.4422065"/>
    <n v="201.59257059999999"/>
    <n v="0.74626860529750105"/>
    <n v="0.19028993"/>
    <n v="0.14200740000000001"/>
    <n v="51.766025939999999"/>
    <x v="86"/>
    <n v="323.61966860000001"/>
    <n v="1107129.5859999999"/>
    <n v="1210082.5"/>
    <n v="58.727780000000003"/>
    <n v="110.49380594"/>
  </r>
  <r>
    <n v="89"/>
    <x v="88"/>
    <n v="48.07817"/>
    <n v="-123.31398"/>
    <x v="0"/>
    <x v="0"/>
    <x v="1"/>
    <n v="-8"/>
    <n v="276.61538460000003"/>
    <n v="3.2591106999999999"/>
    <s v="Moderate"/>
    <n v="1.0205578"/>
    <n v="29.238812840000001"/>
    <n v="938.26034719999996"/>
    <n v="1257.2689519999999"/>
    <n v="0.74626860522361804"/>
    <n v="0.18573333"/>
    <n v="0.13860700000000001"/>
    <n v="53.036657329999997"/>
    <x v="87"/>
    <n v="311.34019460000002"/>
    <n v="1055278.257"/>
    <n v="1094991.8999999999"/>
    <n v="54.445934000000001"/>
    <n v="107.48259132999999"/>
  </r>
  <r>
    <n v="90"/>
    <x v="89"/>
    <n v="48.105873000000003"/>
    <n v="-123.15681499999999"/>
    <x v="0"/>
    <x v="0"/>
    <x v="1"/>
    <n v="-8"/>
    <n v="131.7857143"/>
    <n v="3.3160297999999999"/>
    <s v="Moderate"/>
    <n v="1.0205735"/>
    <n v="18.711484500000001"/>
    <n v="600.44318910000004"/>
    <n v="804.59383339999999"/>
    <n v="0.7462686938112445"/>
    <n v="0.18824597000000001"/>
    <n v="0.14048206999999999"/>
    <n v="52.329399719999998"/>
    <x v="88"/>
    <n v="310.01513619999997"/>
    <n v="1067957.8659999999"/>
    <n v="1105312.8999999999"/>
    <n v="54.225549999999998"/>
    <n v="106.55494972"/>
  </r>
  <r>
    <n v="91"/>
    <x v="90"/>
    <n v="48.188065000000002"/>
    <n v="-122.68443000000001"/>
    <x v="0"/>
    <x v="0"/>
    <x v="4"/>
    <n v="-8"/>
    <n v="35.571428570000002"/>
    <n v="3.2958348000000002"/>
    <s v="Moderate"/>
    <n v="1.0205389"/>
    <n v="11.52800068"/>
    <n v="369.92839850000001"/>
    <n v="495.70402940000002"/>
    <n v="0.74626869373598037"/>
    <n v="0.18682554000000001"/>
    <n v="0.13942203"/>
    <n v="52.725853299999997"/>
    <x v="89"/>
    <n v="202.34853229999999"/>
    <n v="785922.78830000001"/>
    <n v="812025.75"/>
    <n v="40.140053000000002"/>
    <n v="92.865906300000006"/>
  </r>
  <r>
    <n v="92"/>
    <x v="91"/>
    <n v="48.215150000000001"/>
    <n v="-122.52666499999999"/>
    <x v="0"/>
    <x v="0"/>
    <x v="4"/>
    <n v="-8"/>
    <n v="67"/>
    <n v="3.2483382000000001"/>
    <s v="Moderate"/>
    <n v="1.02047"/>
    <n v="9.6057892089999992"/>
    <n v="308.2454899"/>
    <n v="413.04893600000003"/>
    <n v="0.74626869369299131"/>
    <n v="0.18395697"/>
    <n v="0.13728129999999999"/>
    <n v="53.54519234"/>
    <x v="90"/>
    <n v="109.904909"/>
    <n v="379103.71710000001"/>
    <n v="468004.94"/>
    <n v="23.495170000000002"/>
    <n v="77.040362340000001"/>
  </r>
  <r>
    <n v="93"/>
    <x v="92"/>
    <n v="48.242077000000002"/>
    <n v="-122.36874400000001"/>
    <x v="0"/>
    <x v="0"/>
    <x v="6"/>
    <n v="-8"/>
    <n v="38.833333330000002"/>
    <n v="3.1818179999999998"/>
    <s v="Moderate"/>
    <n v="1.020356"/>
    <n v="12.02525881"/>
    <n v="385.88519009999999"/>
    <n v="517.08612900000003"/>
    <n v="0.74626869385622208"/>
    <n v="0.17952904"/>
    <n v="0.13397686"/>
    <n v="54.860987569999999"/>
    <x v="91"/>
    <n v="109.904909"/>
    <n v="379103.71710000001"/>
    <n v="409752.1"/>
    <n v="21.078071999999999"/>
    <n v="75.939059569999998"/>
  </r>
  <r>
    <n v="94"/>
    <x v="93"/>
    <n v="48.268852000000003"/>
    <n v="-122.21068"/>
    <x v="0"/>
    <x v="0"/>
    <x v="6"/>
    <n v="-8"/>
    <n v="118.52631580000001"/>
    <n v="3.0681485999999998"/>
    <s v="Moderate"/>
    <n v="1.0193341"/>
    <n v="38.356252730000001"/>
    <n v="1230.8350370000001"/>
    <n v="1649.3188680000001"/>
    <n v="0.74626869362898718"/>
    <n v="0.17417616999999999"/>
    <n v="0.12998222000000001"/>
    <n v="56.50216236"/>
    <x v="92"/>
    <n v="102.509922"/>
    <n v="391924.34649999999"/>
    <n v="461850.25"/>
    <n v="24.488199999999999"/>
    <n v="80.990362360000006"/>
  </r>
  <r>
    <n v="95"/>
    <x v="94"/>
    <n v="48.295470000000002"/>
    <n v="-122.05246"/>
    <x v="0"/>
    <x v="0"/>
    <x v="6"/>
    <n v="-8"/>
    <n v="302.47368419999998"/>
    <n v="2.9844824999999999"/>
    <s v="Low"/>
    <n v="1.0188991000000001"/>
    <n v="22.520187159999999"/>
    <n v="722.66267219999997"/>
    <n v="968.3680478"/>
    <n v="0.74626860504308346"/>
    <n v="0.16974247000000001"/>
    <n v="0.12667347000000001"/>
    <n v="57.958431900000001"/>
    <x v="93"/>
    <n v="99.582045379999997"/>
    <n v="361199.3431"/>
    <n v="471801.3"/>
    <n v="25.669243000000002"/>
    <n v="83.627674900000002"/>
  </r>
  <r>
    <n v="96"/>
    <x v="95"/>
    <n v="48.321933999999999"/>
    <n v="-121.89409999999999"/>
    <x v="0"/>
    <x v="0"/>
    <x v="2"/>
    <n v="-8"/>
    <n v="492"/>
    <n v="2.9758483999999998"/>
    <s v="Low"/>
    <n v="1.0184143000000001"/>
    <n v="14.040701370000001"/>
    <n v="450.55978879999998"/>
    <n v="603.75015880000001"/>
    <n v="0.74626860503941284"/>
    <n v="0.16847028"/>
    <n v="0.12572407999999999"/>
    <n v="58.374134810000001"/>
    <x v="94"/>
    <n v="102.5429999"/>
    <n v="369780.14360000001"/>
    <n v="480383.62"/>
    <n v="26.333544"/>
    <n v="84.707678810000004"/>
  </r>
  <r>
    <n v="97"/>
    <x v="96"/>
    <n v="48.348239999999997"/>
    <n v="-121.73558"/>
    <x v="0"/>
    <x v="0"/>
    <x v="2"/>
    <n v="-8"/>
    <n v="767"/>
    <n v="3.0179999999999998"/>
    <s v="Moderate"/>
    <n v="1.0173234"/>
    <n v="5.8320000000000004E-3"/>
    <n v="0.18714626300000001"/>
    <n v="0.25077600999999999"/>
    <n v="0.74626860440119458"/>
    <n v="0.17303166"/>
    <n v="0.1291281"/>
    <n v="111.4672108"/>
    <x v="95"/>
    <n v="115.3086558"/>
    <n v="421772.11859999999"/>
    <n v="572850.6"/>
    <n v="30.574560000000002"/>
    <n v="142.04177079999999"/>
  </r>
  <r>
    <n v="98"/>
    <x v="97"/>
    <n v="48.374389999999998"/>
    <n v="-121.57692"/>
    <x v="0"/>
    <x v="0"/>
    <x v="2"/>
    <n v="-8"/>
    <n v="399.41666670000001"/>
    <n v="3.1022983000000002"/>
    <s v="Moderate"/>
    <n v="1.0170269000000001"/>
    <n v="7.721892059"/>
    <n v="247.7920709"/>
    <n v="332.04135860000002"/>
    <n v="0.74626869358918468"/>
    <n v="0.17416735999999999"/>
    <n v="0.12997565"/>
    <n v="56.403824180000001"/>
    <x v="96"/>
    <n v="137.9637142"/>
    <n v="499989.94870000001"/>
    <n v="546752.75"/>
    <n v="28.99136"/>
    <n v="85.395184180000001"/>
  </r>
  <r>
    <n v="99"/>
    <x v="98"/>
    <n v="48.400382999999998"/>
    <n v="-121.41810599999999"/>
    <x v="0"/>
    <x v="0"/>
    <x v="2"/>
    <n v="-8"/>
    <n v="494.5"/>
    <n v="3.1403677000000001"/>
    <s v="Moderate"/>
    <n v="1.0159853000000001"/>
    <n v="5.9940001E-2"/>
    <n v="1.923447653"/>
    <n v="2.5774200330000001"/>
    <n v="0.7462686051839188"/>
    <n v="0.1769657"/>
    <n v="0.13206396000000001"/>
    <n v="82.697338090000002"/>
    <x v="97"/>
    <n v="145.5402531"/>
    <n v="532064.07339999999"/>
    <n v="696785.56"/>
    <n v="36.362560000000002"/>
    <n v="119.05989809"/>
  </r>
  <r>
    <n v="100"/>
    <x v="99"/>
    <n v="48.553040000000003"/>
    <n v="-120.462204"/>
    <x v="0"/>
    <x v="0"/>
    <x v="3"/>
    <n v="-8"/>
    <n v="970.8"/>
    <n v="3.7397706999999998"/>
    <s v="Moderate"/>
    <n v="1.0073472999999999"/>
    <n v="0.38021401999999999"/>
    <n v="12.200898260000001"/>
    <n v="16.349202850000001"/>
    <n v="0.74626869407275109"/>
    <n v="0.21941253999999999"/>
    <n v="0.16374068"/>
    <n v="53.704290200000003"/>
    <x v="98"/>
    <n v="244.4309868"/>
    <n v="791780.65980000002"/>
    <n v="962277.44"/>
    <n v="40.502631999999998"/>
    <n v="94.206922200000008"/>
  </r>
  <r>
    <n v="101"/>
    <x v="100"/>
    <n v="48.577930000000002"/>
    <n v="-120.302376"/>
    <x v="0"/>
    <x v="0"/>
    <x v="3"/>
    <n v="-8"/>
    <n v="931"/>
    <n v="3.7639364999999998"/>
    <s v="Moderate"/>
    <n v="1.0062062000000001"/>
    <n v="1.6614720839999999"/>
    <n v="53.315891550000003"/>
    <n v="71.443299609999997"/>
    <n v="0.7462686051882369"/>
    <n v="0.22296270000000001"/>
    <n v="0.16639006000000001"/>
    <n v="44.95787842"/>
    <x v="99"/>
    <n v="244.4309868"/>
    <n v="791780.65980000002"/>
    <n v="901015.06"/>
    <n v="37.320225000000001"/>
    <n v="82.278103420000008"/>
  </r>
  <r>
    <n v="102"/>
    <x v="101"/>
    <n v="48.60266"/>
    <n v="-120.14241"/>
    <x v="0"/>
    <x v="0"/>
    <x v="3"/>
    <n v="-8"/>
    <n v="976.08333330000005"/>
    <n v="3.7996279999999998"/>
    <s v="Moderate"/>
    <n v="1.0045975"/>
    <n v="1.2274740689999999"/>
    <n v="39.389090539999998"/>
    <n v="52.781384979999999"/>
    <n v="0.74626860501908709"/>
    <n v="0.22786175"/>
    <n v="0.17004609000000001"/>
    <n v="45.386604140000003"/>
    <x v="100"/>
    <n v="244.4309868"/>
    <n v="791780.65980000002"/>
    <n v="905787.94"/>
    <n v="36.711280000000002"/>
    <n v="82.097884140000005"/>
  </r>
  <r>
    <n v="103"/>
    <x v="102"/>
    <n v="48.651646"/>
    <n v="-119.82207"/>
    <x v="0"/>
    <x v="0"/>
    <x v="3"/>
    <n v="-8"/>
    <n v="1355.8"/>
    <n v="3.7134624000000001"/>
    <s v="Moderate"/>
    <n v="1.0010778"/>
    <n v="1.699056079"/>
    <n v="54.521945029999998"/>
    <n v="73.059411400000002"/>
    <n v="0.7462686050328623"/>
    <n v="0.22522078000000001"/>
    <n v="0.16807522999999999"/>
    <n v="44.221015629999997"/>
    <x v="101"/>
    <n v="205.4852856"/>
    <n v="585289.53890000004"/>
    <n v="790649"/>
    <n v="32.420498000000002"/>
    <n v="76.641513629999992"/>
  </r>
  <r>
    <n v="104"/>
    <x v="103"/>
    <n v="48.675899999999999"/>
    <n v="-119.6617"/>
    <x v="0"/>
    <x v="0"/>
    <x v="3"/>
    <n v="-8"/>
    <n v="839.83333330000005"/>
    <n v="3.7463605000000002"/>
    <s v="Moderate"/>
    <n v="0.99923119999999999"/>
    <n v="6.2930523559999996"/>
    <n v="201.9412183"/>
    <n v="270.6012513"/>
    <n v="0.74626860493013547"/>
    <n v="0.22423486000000001"/>
    <n v="0.16733944000000001"/>
    <n v="43.203621439999999"/>
    <x v="102"/>
    <n v="222.68497389999999"/>
    <n v="646338.61620000005"/>
    <n v="759608.7"/>
    <n v="31.284641000000001"/>
    <n v="74.48826244"/>
  </r>
  <r>
    <n v="105"/>
    <x v="104"/>
    <n v="48.699992999999999"/>
    <n v="-119.501175"/>
    <x v="0"/>
    <x v="0"/>
    <x v="3"/>
    <n v="-8"/>
    <n v="529.70588239999995"/>
    <n v="3.7773560000000002"/>
    <s v="Moderate"/>
    <n v="0.99777570000000004"/>
    <n v="28.436104029999999"/>
    <n v="912.50178249999999"/>
    <n v="1222.752473"/>
    <n v="0.74626860517500671"/>
    <n v="0.22398993"/>
    <n v="0.16715664999999999"/>
    <n v="43.201230469999999"/>
    <x v="103"/>
    <n v="222.68497389999999"/>
    <n v="646338.61620000005"/>
    <n v="696610.75"/>
    <n v="28.721430000000002"/>
    <n v="71.922660469999997"/>
  </r>
  <r>
    <n v="106"/>
    <x v="105"/>
    <n v="48.723930000000003"/>
    <n v="-119.340515"/>
    <x v="0"/>
    <x v="0"/>
    <x v="3"/>
    <n v="-8"/>
    <n v="735"/>
    <n v="3.8029427999999998"/>
    <s v="Moderate"/>
    <n v="0.99625056999999995"/>
    <n v="25.334209420000001"/>
    <n v="812.96338049999997"/>
    <n v="1089.371005"/>
    <n v="0.74626860524895278"/>
    <n v="0.22625844000000001"/>
    <n v="0.16884957"/>
    <n v="42.716587930000003"/>
    <x v="104"/>
    <n v="222.68497389999999"/>
    <n v="646338.61620000005"/>
    <n v="727085.5"/>
    <n v="29.677350000000001"/>
    <n v="72.393937930000007"/>
  </r>
  <r>
    <n v="107"/>
    <x v="106"/>
    <n v="48.747703999999999"/>
    <n v="-119.17972"/>
    <x v="0"/>
    <x v="0"/>
    <x v="3"/>
    <n v="-8"/>
    <n v="1283.875"/>
    <n v="3.7829516000000001"/>
    <s v="Moderate"/>
    <n v="0.99486554000000005"/>
    <n v="12.084228039999999"/>
    <n v="387.77744009999998"/>
    <n v="519.62180569999998"/>
    <n v="0.74626860506289183"/>
    <n v="0.22731227000000001"/>
    <n v="0.16963602999999999"/>
    <n v="42.472005000000003"/>
    <x v="105"/>
    <n v="222.68497389999999"/>
    <n v="646338.61620000005"/>
    <n v="796137.9"/>
    <n v="32.345199999999998"/>
    <n v="74.817205000000001"/>
  </r>
  <r>
    <n v="108"/>
    <x v="107"/>
    <n v="48.771320000000003"/>
    <n v="-119.01879"/>
    <x v="0"/>
    <x v="0"/>
    <x v="3"/>
    <n v="-8"/>
    <n v="1295"/>
    <n v="3.6431208000000002"/>
    <s v="Moderate"/>
    <n v="0.99332094000000004"/>
    <n v="22.77331216"/>
    <n v="730.7852527"/>
    <n v="979.25242279999998"/>
    <n v="0.74626851635500491"/>
    <n v="0.21655488000000001"/>
    <n v="0.16160812999999999"/>
    <n v="44.527315110000004"/>
    <x v="106"/>
    <n v="214.36001289999999"/>
    <n v="902286.40449999995"/>
    <n v="1140703.5"/>
    <n v="48.646233000000002"/>
    <n v="93.173548110000013"/>
  </r>
  <r>
    <n v="109"/>
    <x v="108"/>
    <n v="48.794772999999999"/>
    <n v="-118.85773"/>
    <x v="0"/>
    <x v="0"/>
    <x v="3"/>
    <n v="-8"/>
    <n v="1232.6875"/>
    <n v="3.5971641999999999"/>
    <s v="Moderate"/>
    <n v="0.99212544999999996"/>
    <n v="3.5189640199999999"/>
    <n v="112.9219719"/>
    <n v="151.3154529"/>
    <n v="0.74626860466542611"/>
    <n v="0.21261361000000001"/>
    <n v="0.15866685"/>
    <n v="45.309780940000003"/>
    <x v="107"/>
    <n v="214.36001289999999"/>
    <n v="902286.40449999995"/>
    <n v="1113722.1000000001"/>
    <n v="48.376026000000003"/>
    <n v="93.685806940000006"/>
  </r>
  <r>
    <n v="110"/>
    <x v="109"/>
    <n v="48.818069999999999"/>
    <n v="-118.69653"/>
    <x v="0"/>
    <x v="0"/>
    <x v="5"/>
    <n v="-8"/>
    <n v="1001"/>
    <n v="3.5917496999999998"/>
    <s v="Moderate"/>
    <n v="0.99093735000000005"/>
    <n v="13.07728784"/>
    <n v="419.64428229999999"/>
    <n v="562.32337719999998"/>
    <n v="0.74626860506769632"/>
    <n v="0.20994157999999999"/>
    <n v="0.15667281999999999"/>
    <n v="45.843227710000001"/>
    <x v="108"/>
    <n v="214.36001289999999"/>
    <n v="902286.40449999995"/>
    <n v="1066481.5"/>
    <n v="46.913654000000001"/>
    <n v="92.756881710000002"/>
  </r>
  <r>
    <n v="111"/>
    <x v="110"/>
    <n v="48.841200000000001"/>
    <n v="-118.535194"/>
    <x v="0"/>
    <x v="0"/>
    <x v="5"/>
    <n v="-8"/>
    <n v="991.9375"/>
    <n v="3.5762537000000001"/>
    <s v="Moderate"/>
    <n v="0.99011092999999994"/>
    <n v="11.06087432"/>
    <n v="354.9384374"/>
    <n v="475.61759560000002"/>
    <n v="0.74626851631138436"/>
    <n v="0.20717584999999999"/>
    <n v="0.15460884999999999"/>
    <n v="46.424746429999999"/>
    <x v="109"/>
    <n v="214.36001289999999"/>
    <n v="902286.40449999995"/>
    <n v="1091310.3999999999"/>
    <n v="48.646720000000002"/>
    <n v="95.071466430000001"/>
  </r>
  <r>
    <n v="112"/>
    <x v="111"/>
    <n v="48.864173999999998"/>
    <n v="-118.37372000000001"/>
    <x v="0"/>
    <x v="0"/>
    <x v="5"/>
    <n v="-8"/>
    <n v="1347.1875"/>
    <n v="3.5290089"/>
    <s v="Moderate"/>
    <n v="0.98928640000000001"/>
    <n v="5.4759243160000004"/>
    <n v="175.71994720000001"/>
    <n v="235.46474559999999"/>
    <n v="0.74626860489131341"/>
    <n v="0.20664816"/>
    <n v="0.15421502000000001"/>
    <n v="46.512822700000001"/>
    <x v="110"/>
    <n v="211.00817520000001"/>
    <n v="889019.09649999999"/>
    <n v="1210624.6000000001"/>
    <n v="54.10313"/>
    <n v="100.61595270000001"/>
  </r>
  <r>
    <n v="113"/>
    <x v="112"/>
    <n v="48.886982000000003"/>
    <n v="-118.21213"/>
    <x v="0"/>
    <x v="0"/>
    <x v="7"/>
    <n v="-8"/>
    <n v="763.33333330000005"/>
    <n v="3.4598572000000001"/>
    <s v="Moderate"/>
    <n v="0.98826473999999997"/>
    <n v="7.7713013670000004"/>
    <n v="249.37759360000001"/>
    <n v="334.1659588"/>
    <n v="0.74626869384159433"/>
    <n v="0.19840250000000001"/>
    <n v="0.14806156000000001"/>
    <n v="48.4065662"/>
    <x v="111"/>
    <n v="164.66328559999999"/>
    <n v="625184.16429999995"/>
    <n v="891252.1"/>
    <n v="41.485644999999998"/>
    <n v="89.892211199999991"/>
  </r>
  <r>
    <n v="114"/>
    <x v="113"/>
    <n v="48.909633999999997"/>
    <n v="-118.0504"/>
    <x v="0"/>
    <x v="0"/>
    <x v="7"/>
    <n v="-8"/>
    <n v="928.05263160000004"/>
    <n v="3.4974362999999999"/>
    <s v="Moderate"/>
    <n v="0.98781050000000004"/>
    <n v="9.5780878420000004"/>
    <n v="307.3565289"/>
    <n v="411.85777719999999"/>
    <n v="0.74626860512274917"/>
    <n v="0.20259160000000001"/>
    <n v="0.15118777999999999"/>
    <n v="47.388502330000001"/>
    <x v="112"/>
    <n v="179.97187650000001"/>
    <n v="690616.1017"/>
    <n v="1026578.2"/>
    <n v="46.796677000000003"/>
    <n v="94.185179330000011"/>
  </r>
  <r>
    <n v="115"/>
    <x v="114"/>
    <n v="48.932119999999998"/>
    <n v="-117.88853"/>
    <x v="0"/>
    <x v="0"/>
    <x v="7"/>
    <n v="-8"/>
    <n v="802.73333330000003"/>
    <n v="3.4929663999999998"/>
    <s v="Moderate"/>
    <n v="0.98746029999999996"/>
    <n v="9.6955378420000002"/>
    <n v="311.12544650000001"/>
    <n v="416.90812720000002"/>
    <n v="0.74626860500310244"/>
    <n v="0.20123411999999999"/>
    <n v="0.15017469999999999"/>
    <n v="47.694884360000003"/>
    <x v="113"/>
    <n v="180.31643500000001"/>
    <n v="692800.91630000004"/>
    <n v="920888.06"/>
    <n v="42.261960000000002"/>
    <n v="89.956844360000005"/>
  </r>
  <r>
    <n v="116"/>
    <x v="115"/>
    <n v="48.954450000000001"/>
    <n v="-117.72654"/>
    <x v="0"/>
    <x v="0"/>
    <x v="7"/>
    <n v="-8"/>
    <n v="727.53846150000004"/>
    <n v="3.4632239999999999"/>
    <s v="Moderate"/>
    <n v="0.98694813000000003"/>
    <n v="20.972276369999999"/>
    <n v="672.99091150000004"/>
    <n v="901.80788380000001"/>
    <n v="0.74626860508712711"/>
    <n v="0.19757332999999999"/>
    <n v="0.14744280000000001"/>
    <n v="48.558805290000002"/>
    <x v="114"/>
    <n v="180.31643500000001"/>
    <n v="692800.91630000004"/>
    <n v="855003.1"/>
    <n v="39.965363000000004"/>
    <n v="88.524168290000006"/>
  </r>
  <r>
    <n v="117"/>
    <x v="116"/>
    <n v="48.976612000000003"/>
    <n v="-117.56442"/>
    <x v="0"/>
    <x v="0"/>
    <x v="7"/>
    <n v="-8"/>
    <n v="905.5"/>
    <n v="3.4521828000000001"/>
    <s v="Moderate"/>
    <n v="0.98670829999999998"/>
    <n v="4.725620782"/>
    <n v="151.6430445"/>
    <n v="203.2016936"/>
    <n v="0.74626860541087536"/>
    <n v="0.19864064000000001"/>
    <n v="0.14823929999999999"/>
    <n v="48.288666560000003"/>
    <x v="115"/>
    <n v="193.68120769999999"/>
    <n v="775946.27650000004"/>
    <n v="850184.7"/>
    <n v="39.526608000000003"/>
    <n v="87.815274560000006"/>
  </r>
  <r>
    <n v="118"/>
    <x v="117"/>
    <n v="48.998609999999999"/>
    <n v="-117.402176"/>
    <x v="0"/>
    <x v="0"/>
    <x v="8"/>
    <n v="-8"/>
    <n v="1003.6"/>
    <n v="3.3804655000000001"/>
    <s v="Moderate"/>
    <n v="0.98626369999999997"/>
    <n v="1.1223361039999999"/>
    <n v="36.01526054"/>
    <n v="48.260452460000003"/>
    <n v="0.74626860512447002"/>
    <n v="0.19438042999999999"/>
    <n v="0.14506002000000001"/>
    <n v="52.933358679999998"/>
    <x v="116"/>
    <n v="193.68120769999999"/>
    <n v="775946.27650000004"/>
    <n v="819568.2"/>
    <n v="38.938296999999999"/>
    <n v="91.871655680000003"/>
  </r>
  <r>
    <n v="119"/>
    <x v="118"/>
    <n v="47.786552"/>
    <n v="-124.3616"/>
    <x v="0"/>
    <x v="0"/>
    <x v="9"/>
    <n v="-8"/>
    <n v="164.26315790000001"/>
    <n v="3.0803752000000002"/>
    <s v="Moderate"/>
    <n v="1.0209668999999999"/>
    <n v="32.71492705"/>
    <n v="1049.807288"/>
    <n v="1406.741863"/>
    <n v="0.74626860521602323"/>
    <n v="0.17754271999999999"/>
    <n v="0.13249457000000001"/>
    <n v="55.501035909999999"/>
    <x v="117"/>
    <n v="406.99887639999997"/>
    <n v="1529207.7609999999"/>
    <n v="1743091.1"/>
    <n v="90.669585999999995"/>
    <n v="146.17062190999999"/>
  </r>
  <r>
    <n v="120"/>
    <x v="119"/>
    <n v="47.815277000000002"/>
    <n v="-124.205765"/>
    <x v="0"/>
    <x v="0"/>
    <x v="9"/>
    <n v="-8"/>
    <n v="247.3125"/>
    <n v="3.0338733000000002"/>
    <s v="Moderate"/>
    <n v="1.0208448999999999"/>
    <n v="43.736598630000003"/>
    <n v="1403.4877690000001"/>
    <n v="1880.6737410000001"/>
    <n v="0.74626860491694402"/>
    <n v="0.17455955000000001"/>
    <n v="0.13026834000000001"/>
    <n v="56.44418443"/>
    <x v="118"/>
    <n v="406.99887639999997"/>
    <n v="1529207.7609999999"/>
    <n v="1746076.9"/>
    <n v="92.37706"/>
    <n v="148.82124443000001"/>
  </r>
  <r>
    <n v="121"/>
    <x v="120"/>
    <n v="47.843853000000003"/>
    <n v="-124.049774"/>
    <x v="0"/>
    <x v="0"/>
    <x v="9"/>
    <n v="-8"/>
    <n v="352.42857140000001"/>
    <n v="3.0558065999999999"/>
    <s v="Moderate"/>
    <n v="1.0207508999999999"/>
    <n v="8.7921446040000006"/>
    <n v="282.13596410000002"/>
    <n v="378.06221799999997"/>
    <n v="0.7462686051849805"/>
    <n v="0.17607618999999999"/>
    <n v="0.13140014"/>
    <n v="55.953924800000003"/>
    <x v="119"/>
    <n v="406.99887639999997"/>
    <n v="1529207.7609999999"/>
    <n v="1859266.8"/>
    <n v="97.518159999999995"/>
    <n v="153.4720848"/>
  </r>
  <r>
    <n v="122"/>
    <x v="121"/>
    <n v="47.984431999999998"/>
    <n v="-123.2675"/>
    <x v="0"/>
    <x v="0"/>
    <x v="1"/>
    <n v="-8"/>
    <n v="504.75"/>
    <n v="3.1773117000000002"/>
    <s v="Moderate"/>
    <n v="1.0206314000000001"/>
    <n v="9.7097939209999993"/>
    <n v="311.58295470000002"/>
    <n v="417.52113859999997"/>
    <n v="0.74626869371159554"/>
    <n v="0.18320532"/>
    <n v="0.13672037000000001"/>
    <n v="53.771593439999997"/>
    <x v="120"/>
    <n v="306.41998030000002"/>
    <n v="1037615.4179999999"/>
    <n v="1197956.5"/>
    <n v="60.387543000000001"/>
    <n v="114.15913644"/>
  </r>
  <r>
    <n v="123"/>
    <x v="122"/>
    <n v="48.012084999999999"/>
    <n v="-123.11058"/>
    <x v="0"/>
    <x v="0"/>
    <x v="1"/>
    <n v="-8"/>
    <n v="393.53846149999998"/>
    <n v="3.2111513999999999"/>
    <s v="Moderate"/>
    <n v="1.0206732999999999"/>
    <n v="10.975256760000001"/>
    <n v="352.19105089999999"/>
    <n v="471.9360408"/>
    <n v="0.74626860517578841"/>
    <n v="0.18392992"/>
    <n v="0.13726114"/>
    <n v="53.561489829999999"/>
    <x v="121"/>
    <n v="295.34778549999999"/>
    <n v="997746.29700000002"/>
    <n v="1076320.5"/>
    <n v="54.042279999999998"/>
    <n v="107.60376983"/>
  </r>
  <r>
    <n v="124"/>
    <x v="123"/>
    <n v="48.039589999999997"/>
    <n v="-122.953514"/>
    <x v="0"/>
    <x v="0"/>
    <x v="1"/>
    <n v="-8"/>
    <n v="243.53846150000001"/>
    <n v="3.2464379999999999"/>
    <s v="Moderate"/>
    <n v="1.0206907000000001"/>
    <n v="24.324300000000001"/>
    <n v="780.55584150000004"/>
    <n v="1045.9449"/>
    <n v="0.74626860506705472"/>
    <n v="0.1855252"/>
    <n v="0.13845162"/>
    <n v="53.101655659999999"/>
    <x v="122"/>
    <n v="288.03640239999999"/>
    <n v="982757.35019999999"/>
    <n v="1020088.1"/>
    <n v="50.778419999999997"/>
    <n v="103.88007565999999"/>
  </r>
  <r>
    <n v="125"/>
    <x v="124"/>
    <n v="48.066932999999999"/>
    <n v="-122.79629"/>
    <x v="0"/>
    <x v="0"/>
    <x v="9"/>
    <n v="-8"/>
    <n v="61.7"/>
    <n v="3.2764950000000002"/>
    <s v="Moderate"/>
    <n v="1.020732"/>
    <n v="15.89187568"/>
    <n v="509.96313959999998"/>
    <n v="683.35065440000005"/>
    <n v="0.74626860502206016"/>
    <n v="0.18733290999999999"/>
    <n v="0.13980066999999999"/>
    <n v="52.590917990000001"/>
    <x v="123"/>
    <n v="285.73103229999998"/>
    <n v="960736.15330000001"/>
    <n v="1005869.5"/>
    <n v="49.587470000000003"/>
    <n v="102.17838799"/>
  </r>
  <r>
    <n v="126"/>
    <x v="125"/>
    <n v="48.148045000000003"/>
    <n v="-122.32371000000001"/>
    <x v="0"/>
    <x v="0"/>
    <x v="6"/>
    <n v="-8"/>
    <n v="81.083333330000002"/>
    <n v="3.1801279999999998"/>
    <s v="Moderate"/>
    <n v="1.0205398000000001"/>
    <n v="25.771607450000001"/>
    <n v="826.99938450000002"/>
    <n v="1108.17912"/>
    <n v="0.74626869390933837"/>
    <n v="0.17951985000000001"/>
    <n v="0.13397004000000001"/>
    <n v="54.871596480000001"/>
    <x v="124"/>
    <n v="102.7490389"/>
    <n v="371416.93810000003"/>
    <n v="409040.28"/>
    <n v="21.042534"/>
    <n v="75.914130479999997"/>
  </r>
  <r>
    <n v="127"/>
    <x v="126"/>
    <n v="48.174770000000002"/>
    <n v="-122.16588"/>
    <x v="0"/>
    <x v="0"/>
    <x v="6"/>
    <n v="-8"/>
    <n v="70.611111109999996"/>
    <n v="3.0818865"/>
    <s v="Moderate"/>
    <n v="1.0197148"/>
    <n v="29.042549999999999"/>
    <n v="931.96236090000002"/>
    <n v="1248.8296499999999"/>
    <n v="0.74626860508957338"/>
    <n v="0.17373247"/>
    <n v="0.12965111000000001"/>
    <n v="56.663198010000002"/>
    <x v="59"/>
    <n v="91.333383049999995"/>
    <n v="332791.55900000001"/>
    <n v="369732.12"/>
    <n v="19.653984000000001"/>
    <n v="76.31718201000001"/>
  </r>
  <r>
    <n v="128"/>
    <x v="127"/>
    <n v="48.201340000000002"/>
    <n v="-122.007904"/>
    <x v="0"/>
    <x v="0"/>
    <x v="6"/>
    <n v="-8"/>
    <n v="217.88888890000001"/>
    <n v="2.9941499999999999"/>
    <s v="Low"/>
    <n v="1.0193045000000001"/>
    <n v="23.711373630000001"/>
    <n v="760.8873102"/>
    <n v="1019.589066"/>
    <n v="0.74626860523825977"/>
    <n v="0.16903599999999999"/>
    <n v="0.12614627"/>
    <n v="58.218981229999997"/>
    <x v="125"/>
    <n v="90.114409019999997"/>
    <n v="326266.34629999998"/>
    <n v="363519.75"/>
    <n v="19.86064"/>
    <n v="78.079621230000001"/>
  </r>
  <r>
    <n v="129"/>
    <x v="128"/>
    <n v="48.227756999999997"/>
    <n v="-121.84978"/>
    <x v="0"/>
    <x v="0"/>
    <x v="6"/>
    <n v="-8"/>
    <n v="453.64285710000001"/>
    <n v="2.9834993000000001"/>
    <s v="Low"/>
    <n v="1.0187044999999999"/>
    <n v="6.6298500000000002"/>
    <n v="212.7489032"/>
    <n v="285.08355"/>
    <n v="0.74626860511593884"/>
    <n v="0.16943811"/>
    <n v="0.12644635000000001"/>
    <n v="58.053775829999999"/>
    <x v="126"/>
    <n v="98.011019410000003"/>
    <n v="364261.98090000002"/>
    <n v="472449.38"/>
    <n v="25.750672999999999"/>
    <n v="83.804448829999998"/>
  </r>
  <r>
    <n v="130"/>
    <x v="129"/>
    <n v="48.254013"/>
    <n v="-121.69150999999999"/>
    <x v="0"/>
    <x v="0"/>
    <x v="6"/>
    <n v="-8"/>
    <n v="304.33333329999999"/>
    <n v="3.0764768"/>
    <s v="Moderate"/>
    <n v="1.0180446999999999"/>
    <n v="14.53755608"/>
    <n v="466.50363290000001"/>
    <n v="625.11491139999998"/>
    <n v="0.74626860500771608"/>
    <n v="0.17241791000000001"/>
    <n v="0.12867007999999999"/>
    <n v="57.02122524"/>
    <x v="127"/>
    <n v="118.0896103"/>
    <n v="431179.17489999998"/>
    <n v="496162.56"/>
    <n v="26.575780000000002"/>
    <n v="83.597005240000001"/>
  </r>
  <r>
    <n v="131"/>
    <x v="130"/>
    <n v="48.280113"/>
    <n v="-121.5331"/>
    <x v="0"/>
    <x v="0"/>
    <x v="6"/>
    <n v="-8"/>
    <n v="395.72727270000001"/>
    <n v="3.1458075000000001"/>
    <s v="Moderate"/>
    <n v="1.0173581"/>
    <n v="6.451811169"/>
    <n v="207.03574180000001"/>
    <n v="277.42788030000003"/>
    <n v="0.74626869360108794"/>
    <n v="0.17652255"/>
    <n v="0.13173325"/>
    <n v="55.665608450000001"/>
    <x v="128"/>
    <n v="127.494383"/>
    <n v="461741.48460000003"/>
    <n v="535645"/>
    <n v="28.023427999999999"/>
    <n v="83.689036450000003"/>
  </r>
  <r>
    <n v="132"/>
    <x v="131"/>
    <n v="48.306060000000002"/>
    <n v="-121.37452999999999"/>
    <x v="0"/>
    <x v="0"/>
    <x v="2"/>
    <n v="-8"/>
    <n v="532"/>
    <n v="3.1499999000000001"/>
    <s v="Moderate"/>
    <n v="1.0159853999999999"/>
    <n v="7.4843997999999995E-2"/>
    <n v="2.4017102220000002"/>
    <n v="3.21829192"/>
    <n v="0.74626860511771109"/>
    <n v="0.17748958000000001"/>
    <n v="0.13245488999999999"/>
    <n v="80.36761654"/>
    <x v="129"/>
    <n v="130.1981298"/>
    <n v="471091.4644"/>
    <n v="641931.25"/>
    <n v="33.401046999999998"/>
    <n v="113.76866354000001"/>
  </r>
  <r>
    <n v="133"/>
    <x v="132"/>
    <n v="48.458435000000001"/>
    <n v="-120.42010500000001"/>
    <x v="0"/>
    <x v="0"/>
    <x v="3"/>
    <n v="-8"/>
    <n v="1092"/>
    <n v="3.8359999999999999"/>
    <s v="Moderate"/>
    <n v="1.0075521000000001"/>
    <n v="1.0044000000000001E-2"/>
    <n v="0.32230744300000003"/>
    <n v="0.43189200300000002"/>
    <n v="0.74626860595054823"/>
    <n v="0.22951008000000001"/>
    <n v="0.17127621000000001"/>
    <n v="78.072598659999997"/>
    <x v="130"/>
    <n v="244.4309868"/>
    <n v="791780.65980000002"/>
    <n v="954831.7"/>
    <n v="38.42107"/>
    <n v="116.49366866"/>
  </r>
  <r>
    <n v="134"/>
    <x v="133"/>
    <n v="48.483280000000001"/>
    <n v="-120.26053"/>
    <x v="0"/>
    <x v="0"/>
    <x v="3"/>
    <n v="-8"/>
    <n v="737.09090909999998"/>
    <n v="3.7957776000000001"/>
    <s v="Moderate"/>
    <n v="1.0057202999999999"/>
    <n v="7.5730140199999996"/>
    <n v="243.01461219999999"/>
    <n v="325.6396029"/>
    <n v="0.7462686050339733"/>
    <n v="0.22591646000000001"/>
    <n v="0.16859436"/>
    <n v="43.10146975"/>
    <x v="131"/>
    <n v="244.4309868"/>
    <n v="791780.65980000002"/>
    <n v="847947.4"/>
    <n v="34.662939999999999"/>
    <n v="77.764409749999999"/>
  </r>
  <r>
    <n v="135"/>
    <x v="134"/>
    <n v="48.507964999999999"/>
    <n v="-120.10082"/>
    <x v="0"/>
    <x v="0"/>
    <x v="3"/>
    <n v="-8"/>
    <n v="906.90909090000002"/>
    <n v="3.8356338000000001"/>
    <s v="Moderate"/>
    <n v="1.0042515999999999"/>
    <n v="3.2289841190000002"/>
    <n v="103.6166351"/>
    <n v="138.84631709999999"/>
    <n v="0.74626851661735583"/>
    <n v="0.22891808"/>
    <n v="0.17083439"/>
    <n v="42.487296919999999"/>
    <x v="132"/>
    <n v="244.4309868"/>
    <n v="791780.65980000002"/>
    <n v="875426.8"/>
    <n v="35.317030000000003"/>
    <n v="77.804326919999994"/>
  </r>
  <r>
    <n v="136"/>
    <x v="135"/>
    <n v="48.532494"/>
    <n v="-119.94098"/>
    <x v="0"/>
    <x v="0"/>
    <x v="3"/>
    <n v="-8"/>
    <n v="1229.5"/>
    <n v="3.6942153000000002"/>
    <s v="Moderate"/>
    <n v="1.0021485000000001"/>
    <n v="1.3889879650000001"/>
    <n v="44.571998790000002"/>
    <n v="59.726482509999997"/>
    <n v="0.74626860509552562"/>
    <n v="0.22331084000000001"/>
    <n v="0.16664992000000001"/>
    <n v="45.610620920000002"/>
    <x v="133"/>
    <n v="236.189818"/>
    <n v="762033.62650000001"/>
    <n v="936177.44"/>
    <n v="38.716200000000001"/>
    <n v="84.326820920000003"/>
  </r>
  <r>
    <n v="137"/>
    <x v="136"/>
    <n v="48.55686"/>
    <n v="-119.78099"/>
    <x v="0"/>
    <x v="0"/>
    <x v="3"/>
    <n v="-8"/>
    <n v="1030.230769"/>
    <n v="3.7062282999999998"/>
    <s v="Moderate"/>
    <n v="1.0006025000000001"/>
    <n v="7.2203401979999997"/>
    <n v="231.69746789999999"/>
    <n v="310.47462849999999"/>
    <n v="0.74626860500454706"/>
    <n v="0.22271601999999999"/>
    <n v="0.16620599"/>
    <n v="43.545290190000003"/>
    <x v="134"/>
    <n v="202.26337649999999"/>
    <n v="575072.62199999997"/>
    <n v="733222.44"/>
    <n v="30.403858"/>
    <n v="73.949148190000003"/>
  </r>
  <r>
    <n v="138"/>
    <x v="137"/>
    <n v="48.581069999999997"/>
    <n v="-119.62085999999999"/>
    <x v="0"/>
    <x v="0"/>
    <x v="3"/>
    <n v="-8"/>
    <n v="678.26666669999997"/>
    <n v="3.7823981999999998"/>
    <s v="Moderate"/>
    <n v="0.99868584000000005"/>
    <n v="15.20758784"/>
    <n v="488.00470869999998"/>
    <n v="653.92627719999996"/>
    <n v="0.74626869375788407"/>
    <n v="0.2263058"/>
    <n v="0.16888496"/>
    <n v="42.789849050000001"/>
    <x v="135"/>
    <n v="204.06977259999999"/>
    <n v="580791.50450000004"/>
    <n v="675405.2"/>
    <n v="27.562151"/>
    <n v="70.352000050000001"/>
  </r>
  <r>
    <n v="139"/>
    <x v="138"/>
    <n v="48.605117999999997"/>
    <n v="-119.46059"/>
    <x v="0"/>
    <x v="0"/>
    <x v="3"/>
    <n v="-8"/>
    <n v="553.64705879999997"/>
    <n v="3.8263867"/>
    <s v="Moderate"/>
    <n v="0.99718313999999997"/>
    <n v="20.614662160000002"/>
    <n v="661.51523239999995"/>
    <n v="886.43047279999996"/>
    <n v="0.74626860503841652"/>
    <n v="0.22860684000000001"/>
    <n v="0.17060211"/>
    <n v="42.308938089999998"/>
    <x v="136"/>
    <n v="210.59454529999999"/>
    <n v="602922.71759999997"/>
    <n v="665170"/>
    <n v="26.87125"/>
    <n v="69.180188090000001"/>
  </r>
  <r>
    <n v="140"/>
    <x v="139"/>
    <n v="48.629013"/>
    <n v="-119.300186"/>
    <x v="0"/>
    <x v="0"/>
    <x v="3"/>
    <n v="-8"/>
    <n v="1015.833333"/>
    <n v="3.8212837999999998"/>
    <s v="Moderate"/>
    <n v="0.99548199999999998"/>
    <n v="20.683836469999999"/>
    <n v="663.73500509999997"/>
    <n v="889.40496840000003"/>
    <n v="0.74626860505853676"/>
    <n v="0.22955538"/>
    <n v="0.17131001000000001"/>
    <n v="42.077499779999997"/>
    <x v="137"/>
    <n v="222.68497389999999"/>
    <n v="646338.61620000005"/>
    <n v="751583.2"/>
    <n v="30.236671000000001"/>
    <n v="72.314170779999998"/>
  </r>
  <r>
    <n v="141"/>
    <x v="140"/>
    <n v="48.652740000000001"/>
    <n v="-119.139656"/>
    <x v="0"/>
    <x v="0"/>
    <x v="3"/>
    <n v="-8"/>
    <n v="1043.125"/>
    <n v="3.7305899999999999"/>
    <s v="Moderate"/>
    <n v="0.99391025"/>
    <n v="21.181583060000001"/>
    <n v="679.70738819999997"/>
    <n v="910.80807140000002"/>
    <n v="0.74626851643422965"/>
    <n v="0.22317835999999999"/>
    <n v="0.166551"/>
    <n v="43.226007099999997"/>
    <x v="138"/>
    <n v="222.68497389999999"/>
    <n v="646338.61620000005"/>
    <n v="799427.44"/>
    <n v="33.080449999999999"/>
    <n v="76.306457099999989"/>
  </r>
  <r>
    <n v="142"/>
    <x v="141"/>
    <n v="48.676310000000001"/>
    <n v="-118.97898000000001"/>
    <x v="0"/>
    <x v="0"/>
    <x v="3"/>
    <n v="-8"/>
    <n v="1268.1111109999999"/>
    <n v="3.6513051999999999"/>
    <s v="Moderate"/>
    <n v="0.99248004000000001"/>
    <n v="18.659402050000001"/>
    <n v="598.77188660000002"/>
    <n v="802.35428820000004"/>
    <n v="0.74626869377526928"/>
    <n v="0.21792491999999999"/>
    <n v="0.16263053999999999"/>
    <n v="44.217913950000003"/>
    <x v="139"/>
    <n v="214.36001289999999"/>
    <n v="902286.40449999995"/>
    <n v="1096466.5"/>
    <n v="46.465744000000001"/>
    <n v="90.683657949999997"/>
  </r>
  <r>
    <n v="143"/>
    <x v="142"/>
    <n v="48.699722000000001"/>
    <n v="-118.81818"/>
    <x v="0"/>
    <x v="0"/>
    <x v="5"/>
    <n v="-8"/>
    <n v="1158.4705879999999"/>
    <n v="3.5881707999999999"/>
    <s v="Moderate"/>
    <n v="0.99109285999999996"/>
    <n v="15.359868240000001"/>
    <n v="492.8913187"/>
    <n v="660.47433420000004"/>
    <n v="0.74626869384260774"/>
    <n v="0.21225215"/>
    <n v="0.15839712"/>
    <n v="45.349778139999998"/>
    <x v="140"/>
    <n v="214.36001289999999"/>
    <n v="902286.40449999995"/>
    <n v="1010963.7"/>
    <n v="43.987360000000002"/>
    <n v="89.337138140000008"/>
  </r>
  <r>
    <n v="144"/>
    <x v="143"/>
    <n v="48.722973000000003"/>
    <n v="-118.65723"/>
    <x v="0"/>
    <x v="0"/>
    <x v="5"/>
    <n v="-8"/>
    <n v="957"/>
    <n v="3.5947901999999998"/>
    <s v="Moderate"/>
    <n v="0.990089"/>
    <n v="13.95654324"/>
    <n v="447.85919230000002"/>
    <n v="600.13135920000002"/>
    <n v="0.74626860508841741"/>
    <n v="0.209679"/>
    <n v="0.15647686"/>
    <n v="45.869726839999998"/>
    <x v="141"/>
    <n v="214.36001289999999"/>
    <n v="902286.40449999995"/>
    <n v="981043.56"/>
    <n v="43.209353999999998"/>
    <n v="89.079080839999989"/>
  </r>
  <r>
    <n v="145"/>
    <x v="144"/>
    <n v="48.746062999999999"/>
    <n v="-118.496155"/>
    <x v="0"/>
    <x v="0"/>
    <x v="5"/>
    <n v="-8"/>
    <n v="1333.916667"/>
    <n v="3.6002667000000002"/>
    <s v="Moderate"/>
    <n v="0.98942569999999996"/>
    <n v="2.014145906"/>
    <n v="64.633043479999998"/>
    <n v="86.608273960000005"/>
    <n v="0.7462686937953612"/>
    <n v="0.21047898000000001"/>
    <n v="0.15707386000000001"/>
    <n v="46.041349859999997"/>
    <x v="142"/>
    <n v="210.88089600000001"/>
    <n v="888574.15130000003"/>
    <n v="1028752.6"/>
    <n v="45.138449999999999"/>
    <n v="91.179799860000003"/>
  </r>
  <r>
    <n v="146"/>
    <x v="145"/>
    <n v="48.768990000000002"/>
    <n v="-118.334946"/>
    <x v="0"/>
    <x v="0"/>
    <x v="5"/>
    <n v="-8"/>
    <n v="1246.727273"/>
    <n v="3.5304066999999999"/>
    <s v="Moderate"/>
    <n v="0.98814709999999994"/>
    <n v="2.2660560790000002"/>
    <n v="72.716719889999993"/>
    <n v="97.440411400000002"/>
    <n v="0.74626860503998238"/>
    <n v="0.20798878000000001"/>
    <n v="0.15521549000000001"/>
    <n v="46.171166880000001"/>
    <x v="143"/>
    <n v="210.88089600000001"/>
    <n v="888574.15130000003"/>
    <n v="1164203"/>
    <n v="51.693176000000001"/>
    <n v="97.864342880000009"/>
  </r>
  <r>
    <n v="147"/>
    <x v="146"/>
    <n v="48.791763000000003"/>
    <n v="-118.17359999999999"/>
    <x v="0"/>
    <x v="0"/>
    <x v="5"/>
    <n v="-8"/>
    <n v="739.70588239999995"/>
    <n v="3.5095917999999999"/>
    <s v="Moderate"/>
    <n v="0.98739920000000003"/>
    <n v="10.930463530000001"/>
    <n v="350.75365599999998"/>
    <n v="470.00993160000002"/>
    <n v="0.74626860501855818"/>
    <n v="0.20181394"/>
    <n v="0.15060741999999999"/>
    <n v="47.555540479999998"/>
    <x v="144"/>
    <n v="164.66328559999999"/>
    <n v="625184.16429999995"/>
    <n v="811387.4"/>
    <n v="37.129703999999997"/>
    <n v="84.685244479999994"/>
  </r>
  <r>
    <n v="148"/>
    <x v="147"/>
    <n v="48.814365000000002"/>
    <n v="-118.01213"/>
    <x v="0"/>
    <x v="0"/>
    <x v="7"/>
    <n v="-8"/>
    <n v="716.63157890000002"/>
    <n v="3.5545640000000001"/>
    <s v="Moderate"/>
    <n v="0.98675215000000005"/>
    <n v="14.82632029"/>
    <n v="475.77000299999997"/>
    <n v="637.53177240000002"/>
    <n v="0.74626869372949856"/>
    <n v="0.20430810999999999"/>
    <n v="0.15246876000000001"/>
    <n v="46.950789800000003"/>
    <x v="145"/>
    <n v="164.66328559999999"/>
    <n v="625184.16429999995"/>
    <n v="870018.6"/>
    <n v="39.326687"/>
    <n v="86.277476800000002"/>
  </r>
  <r>
    <n v="149"/>
    <x v="148"/>
    <n v="48.83681"/>
    <n v="-117.850525"/>
    <x v="0"/>
    <x v="0"/>
    <x v="7"/>
    <n v="-8"/>
    <n v="759.63157890000002"/>
    <n v="3.5354407000000001"/>
    <s v="Moderate"/>
    <n v="0.98637425999999995"/>
    <n v="18.379872949999999"/>
    <n v="589.80178220000005"/>
    <n v="790.33453680000002"/>
    <n v="0.74626851635265656"/>
    <n v="0.20313154"/>
    <n v="0.15159072000000001"/>
    <n v="47.208519000000003"/>
    <x v="146"/>
    <n v="180.31643500000001"/>
    <n v="692800.91630000004"/>
    <n v="835772.44"/>
    <n v="37.997509999999998"/>
    <n v="85.206029000000001"/>
  </r>
  <r>
    <n v="150"/>
    <x v="149"/>
    <n v="48.859096999999998"/>
    <n v="-117.6888"/>
    <x v="0"/>
    <x v="0"/>
    <x v="7"/>
    <n v="-8"/>
    <n v="902.73684209999999"/>
    <n v="3.4922705000000001"/>
    <s v="Moderate"/>
    <n v="0.98603034000000001"/>
    <n v="12.92290137"/>
    <n v="414.69013910000001"/>
    <n v="555.68475880000005"/>
    <n v="0.74626869377436655"/>
    <n v="0.20119570000000001"/>
    <n v="0.15014604000000001"/>
    <n v="47.649698010000002"/>
    <x v="94"/>
    <n v="180.31643500000001"/>
    <n v="692800.91630000004"/>
    <n v="769095"/>
    <n v="35.302520000000001"/>
    <n v="82.952218009999996"/>
  </r>
  <r>
    <n v="151"/>
    <x v="150"/>
    <n v="48.881217999999997"/>
    <n v="-117.52692999999999"/>
    <x v="0"/>
    <x v="0"/>
    <x v="7"/>
    <n v="-8"/>
    <n v="1006.1111110000001"/>
    <n v="3.4496435999999999"/>
    <s v="Moderate"/>
    <n v="0.98622500000000002"/>
    <n v="2.107620099"/>
    <n v="67.632580579999996"/>
    <n v="90.627664249999995"/>
    <n v="0.74626860506338166"/>
    <n v="0.19869617000000001"/>
    <n v="0.14828071000000001"/>
    <n v="48.414274550000002"/>
    <x v="147"/>
    <n v="180.31643500000001"/>
    <n v="692800.91630000004"/>
    <n v="839766"/>
    <n v="39.031320000000001"/>
    <n v="87.44559455000001"/>
  </r>
  <r>
    <n v="152"/>
    <x v="151"/>
    <n v="48.903179999999999"/>
    <n v="-117.36494999999999"/>
    <x v="0"/>
    <x v="0"/>
    <x v="8"/>
    <n v="-8"/>
    <n v="855.4"/>
    <n v="3.3928091999999999"/>
    <s v="Moderate"/>
    <n v="0.98569859999999998"/>
    <n v="5.5935364749999996"/>
    <n v="179.49404709999999"/>
    <n v="240.52206839999999"/>
    <n v="0.74626851620738843"/>
    <n v="0.19433254999999999"/>
    <n v="0.14502427000000001"/>
    <n v="49.31948062"/>
    <x v="148"/>
    <n v="180.3808506"/>
    <n v="721825.78269999998"/>
    <n v="775748.9"/>
    <n v="36.865490000000001"/>
    <n v="86.184970620000001"/>
  </r>
  <r>
    <n v="153"/>
    <x v="152"/>
    <n v="48.94661"/>
    <n v="-117.04059599999999"/>
    <x v="0"/>
    <x v="0"/>
    <x v="8"/>
    <n v="-8"/>
    <n v="1538.5"/>
    <n v="3.3368570000000002"/>
    <s v="Moderate"/>
    <n v="0.98398390000000002"/>
    <n v="0.18144001200000001"/>
    <n v="5.8223283520000004"/>
    <n v="7.8019205310000004"/>
    <n v="0.74626860512942594"/>
    <n v="0.19399079999999999"/>
    <n v="0.14476924999999999"/>
    <n v="64.70421571"/>
    <x v="149"/>
    <n v="178.06533759999999"/>
    <n v="713194.2929"/>
    <n v="1159912"/>
    <n v="55.218975"/>
    <n v="119.92319071"/>
  </r>
  <r>
    <n v="154"/>
    <x v="153"/>
    <n v="48.968082000000003"/>
    <n v="-116.87823"/>
    <x v="0"/>
    <x v="1"/>
    <x v="10"/>
    <n v="-8"/>
    <n v="1535.5"/>
    <n v="3.3785763000000002"/>
    <s v="Moderate"/>
    <n v="0.98402080000000003"/>
    <n v="0.18176398899999999"/>
    <n v="5.8327246129999999"/>
    <n v="7.815851522"/>
    <n v="0.74626860510106807"/>
    <n v="0.19660775"/>
    <n v="0.14672218000000001"/>
    <n v="63.832179979999999"/>
    <x v="150"/>
    <n v="460.80964260000002"/>
    <n v="1780734.7180000001"/>
    <n v="1910327.2"/>
    <n v="89.732864000000006"/>
    <n v="153.56504398000001"/>
  </r>
  <r>
    <n v="155"/>
    <x v="154"/>
    <n v="48.98939"/>
    <n v="-116.71574"/>
    <x v="0"/>
    <x v="1"/>
    <x v="10"/>
    <n v="-8"/>
    <n v="1584.333333"/>
    <n v="3.4279687000000001"/>
    <s v="Moderate"/>
    <n v="0.98409329999999995"/>
    <n v="0.62143201000000003"/>
    <n v="19.941473559999999"/>
    <n v="26.721576429999999"/>
    <n v="0.7462686047823115"/>
    <n v="0.19943080999999999"/>
    <n v="0.14882893999999999"/>
    <n v="54.91160077"/>
    <x v="151"/>
    <n v="460.80964260000002"/>
    <n v="1780734.7180000001"/>
    <n v="1859235.5"/>
    <n v="86.096710000000002"/>
    <n v="141.00831077000001"/>
  </r>
  <r>
    <n v="156"/>
    <x v="155"/>
    <n v="47.693159999999999"/>
    <n v="-124.31364000000001"/>
    <x v="0"/>
    <x v="0"/>
    <x v="9"/>
    <n v="-8"/>
    <n v="165.93333329999999"/>
    <n v="3.1055236000000002"/>
    <s v="Moderate"/>
    <n v="1.0209611999999999"/>
    <n v="29.750896579999999"/>
    <n v="954.69288400000005"/>
    <n v="1279.2885530000001"/>
    <n v="0.74626860512524262"/>
    <n v="0.17969987000000001"/>
    <n v="0.13410438999999999"/>
    <n v="54.834536559999997"/>
    <x v="152"/>
    <n v="406.99887639999997"/>
    <n v="1529207.7609999999"/>
    <n v="1833532.4"/>
    <n v="94.229129999999998"/>
    <n v="149.06366656"/>
  </r>
  <r>
    <n v="157"/>
    <x v="156"/>
    <n v="47.72184"/>
    <n v="-124.158035"/>
    <x v="0"/>
    <x v="0"/>
    <x v="9"/>
    <n v="-8"/>
    <n v="255.55555559999999"/>
    <n v="3.0643729999999998"/>
    <s v="Moderate"/>
    <n v="1.0208394999999999"/>
    <n v="20.45039392"/>
    <n v="656.24393859999998"/>
    <n v="879.36693860000003"/>
    <n v="0.7462686050544225"/>
    <n v="0.17826117999999999"/>
    <n v="0.13303073000000001"/>
    <n v="55.271887929999998"/>
    <x v="153"/>
    <n v="406.99887639999997"/>
    <n v="1529207.7609999999"/>
    <n v="1851878.5"/>
    <n v="95.940094000000002"/>
    <n v="151.21198193000001"/>
  </r>
  <r>
    <n v="158"/>
    <x v="157"/>
    <n v="47.750362000000003"/>
    <n v="-124.00227"/>
    <x v="0"/>
    <x v="0"/>
    <x v="9"/>
    <n v="-8"/>
    <n v="472.07692309999999"/>
    <n v="3.0543399999999998"/>
    <s v="Moderate"/>
    <n v="1.0207870000000001"/>
    <n v="2.4572161289999999"/>
    <n v="78.850950490000002"/>
    <n v="105.66029349999999"/>
    <n v="0.74626851656436111"/>
    <n v="0.17657880000000001"/>
    <n v="0.13177520000000001"/>
    <n v="55.79622698"/>
    <x v="154"/>
    <n v="406.99887639999997"/>
    <n v="1529207.7609999999"/>
    <n v="1911540.1"/>
    <n v="99.974500000000006"/>
    <n v="155.77072698000001"/>
  </r>
  <r>
    <n v="159"/>
    <x v="158"/>
    <n v="47.945746999999997"/>
    <n v="-122.90765"/>
    <x v="0"/>
    <x v="0"/>
    <x v="9"/>
    <n v="-8"/>
    <n v="287.73333330000003"/>
    <n v="3.1246295000000002"/>
    <s v="Moderate"/>
    <n v="1.0208553"/>
    <n v="29.025863529999999"/>
    <n v="931.42701009999996"/>
    <n v="1248.112132"/>
    <n v="0.74626869350870151"/>
    <n v="0.17805344000000001"/>
    <n v="0.13287570000000001"/>
    <n v="55.337044540000001"/>
    <x v="155"/>
    <n v="276.27618810000001"/>
    <n v="918057.79330000002"/>
    <n v="983969.6"/>
    <n v="51.035891999999997"/>
    <n v="106.37293654"/>
  </r>
  <r>
    <n v="160"/>
    <x v="159"/>
    <n v="47.973044999999999"/>
    <n v="-122.75067"/>
    <x v="0"/>
    <x v="0"/>
    <x v="9"/>
    <n v="-8"/>
    <n v="112.58333330000001"/>
    <n v="3.1890304"/>
    <s v="Moderate"/>
    <n v="1.0208781"/>
    <n v="37.297422949999998"/>
    <n v="1196.8575189999999"/>
    <n v="1603.7891870000001"/>
    <n v="0.74626860481507906"/>
    <n v="0.18119709000000001"/>
    <n v="0.1352217"/>
    <n v="54.377935890000003"/>
    <x v="156"/>
    <n v="297.92580500000003"/>
    <n v="1007130.361"/>
    <n v="1051107.1000000001"/>
    <n v="53.572285000000001"/>
    <n v="107.95022089"/>
  </r>
  <r>
    <n v="161"/>
    <x v="160"/>
    <n v="48.027175999999997"/>
    <n v="-122.43625"/>
    <x v="0"/>
    <x v="0"/>
    <x v="4"/>
    <n v="-8"/>
    <n v="71"/>
    <n v="3.2421787000000002"/>
    <s v="Moderate"/>
    <n v="1.020869"/>
    <n v="22.77217705"/>
    <n v="730.7490014"/>
    <n v="979.20361319999995"/>
    <n v="0.74626869381327154"/>
    <n v="0.18299869999999999"/>
    <n v="0.13656619"/>
    <n v="53.842211659999997"/>
    <x v="157"/>
    <n v="246.5093895"/>
    <n v="980807.25139999995"/>
    <n v="1006299.8"/>
    <n v="50.783638000000003"/>
    <n v="104.62584966"/>
  </r>
  <r>
    <n v="162"/>
    <x v="161"/>
    <n v="48.054009999999998"/>
    <n v="-122.27880999999999"/>
    <x v="0"/>
    <x v="0"/>
    <x v="6"/>
    <n v="-8"/>
    <n v="57.875"/>
    <n v="3.1775372000000002"/>
    <s v="Moderate"/>
    <n v="1.0207417000000001"/>
    <n v="20.44018784"/>
    <n v="655.91643009999996"/>
    <n v="878.92807719999996"/>
    <n v="0.74626860503711756"/>
    <n v="0.17904527000000001"/>
    <n v="0.13361587999999999"/>
    <n v="55.025653579999997"/>
    <x v="158"/>
    <n v="73.079279170000007"/>
    <n v="263117.59019999998"/>
    <n v="293953.7"/>
    <n v="15.162138000000001"/>
    <n v="70.187791579999995"/>
  </r>
  <r>
    <n v="163"/>
    <x v="162"/>
    <n v="48.080689999999997"/>
    <n v="-122.12121999999999"/>
    <x v="0"/>
    <x v="0"/>
    <x v="6"/>
    <n v="-8"/>
    <n v="82"/>
    <n v="3.0693188"/>
    <s v="Moderate"/>
    <n v="1.0201085000000001"/>
    <n v="24.478765580000001"/>
    <n v="785.51266569999996"/>
    <n v="1052.58692"/>
    <n v="0.74626869361059511"/>
    <n v="0.17280804999999999"/>
    <n v="0.12896124"/>
    <n v="56.983728640000002"/>
    <x v="159"/>
    <n v="72.098324629999993"/>
    <n v="271978.26750000002"/>
    <n v="303728.28000000003"/>
    <n v="16.231762"/>
    <n v="73.215490639999999"/>
  </r>
  <r>
    <n v="164"/>
    <x v="163"/>
    <n v="48.107210000000002"/>
    <n v="-121.96348999999999"/>
    <x v="0"/>
    <x v="0"/>
    <x v="6"/>
    <n v="-8"/>
    <n v="275.10526320000002"/>
    <n v="2.9906788"/>
    <s v="Low"/>
    <n v="1.0196403999999999"/>
    <n v="30.038766939999999"/>
    <n v="963.93062889999999"/>
    <n v="1291.6669790000001"/>
    <n v="0.74626869353451197"/>
    <n v="0.16868601999999999"/>
    <n v="0.12588508000000001"/>
    <n v="58.354988290000001"/>
    <x v="41"/>
    <n v="87.706701240000001"/>
    <n v="318105.04729999998"/>
    <n v="365449.03"/>
    <n v="20.007470000000001"/>
    <n v="78.362458290000006"/>
  </r>
  <r>
    <n v="165"/>
    <x v="164"/>
    <n v="48.133575"/>
    <n v="-121.80562"/>
    <x v="0"/>
    <x v="0"/>
    <x v="6"/>
    <n v="-8"/>
    <n v="585.1"/>
    <n v="2.9603510000000002"/>
    <s v="Low"/>
    <n v="1.0190345000000001"/>
    <n v="10.15934392"/>
    <n v="326.00877489999999"/>
    <n v="436.85178860000002"/>
    <n v="0.74626860506803927"/>
    <n v="0.16835226"/>
    <n v="0.125636"/>
    <n v="58.443190610000002"/>
    <x v="160"/>
    <n v="87.706701240000001"/>
    <n v="318105.04729999998"/>
    <n v="464206.6"/>
    <n v="25.464596"/>
    <n v="83.907786610000002"/>
  </r>
  <r>
    <n v="166"/>
    <x v="165"/>
    <n v="48.185844000000003"/>
    <n v="-121.48941000000001"/>
    <x v="0"/>
    <x v="0"/>
    <x v="6"/>
    <n v="-8"/>
    <n v="552"/>
    <n v="3.1128716000000001"/>
    <s v="Moderate"/>
    <n v="1.0175107999999999"/>
    <n v="0.27993597999999997"/>
    <n v="8.9830207069999997"/>
    <n v="12.037247150000001"/>
    <n v="0.7462686937519597"/>
    <n v="0.17575109"/>
    <n v="0.13115756000000001"/>
    <n v="69.955107409999997"/>
    <x v="161"/>
    <n v="123.6360778"/>
    <n v="448426.6568"/>
    <n v="618991.69999999995"/>
    <n v="32.526040000000002"/>
    <n v="102.48114741000001"/>
  </r>
  <r>
    <n v="167"/>
    <x v="166"/>
    <n v="48.363840000000003"/>
    <n v="-120.37815999999999"/>
    <x v="0"/>
    <x v="0"/>
    <x v="3"/>
    <n v="-8"/>
    <n v="1110"/>
    <n v="3.8095870000000001"/>
    <s v="Moderate"/>
    <n v="1.0074719000000001"/>
    <n v="0.90493201000000001"/>
    <n v="29.03886099"/>
    <n v="38.912076429999999"/>
    <n v="0.74626860486971969"/>
    <n v="0.22817071"/>
    <n v="0.17027664000000001"/>
    <n v="46.95367186"/>
    <x v="162"/>
    <n v="224.81144140000001"/>
    <n v="717372.23459999997"/>
    <n v="872383.5"/>
    <n v="35.309531999999997"/>
    <n v="82.263203860000004"/>
  </r>
  <r>
    <n v="168"/>
    <x v="167"/>
    <n v="48.388634000000003"/>
    <n v="-120.21884"/>
    <x v="0"/>
    <x v="0"/>
    <x v="3"/>
    <n v="-8"/>
    <n v="822.33333330000005"/>
    <n v="3.8172252000000002"/>
    <s v="Moderate"/>
    <n v="1.0054727999999999"/>
    <n v="4.3190817629999998"/>
    <n v="138.5973903"/>
    <n v="185.72051579999999"/>
    <n v="0.74626860529104777"/>
    <n v="0.22743672000000001"/>
    <n v="0.16972888999999999"/>
    <n v="42.805058770000002"/>
    <x v="163"/>
    <n v="224.81144140000001"/>
    <n v="717372.23459999997"/>
    <n v="807487.75"/>
    <n v="32.788364000000001"/>
    <n v="75.593422770000004"/>
  </r>
  <r>
    <n v="169"/>
    <x v="168"/>
    <n v="48.413277000000001"/>
    <n v="-120.05937"/>
    <x v="0"/>
    <x v="0"/>
    <x v="3"/>
    <n v="-8"/>
    <n v="828.58333330000005"/>
    <n v="3.8451966999999998"/>
    <s v="Moderate"/>
    <n v="1.0039899000000001"/>
    <n v="4.2043859799999996"/>
    <n v="134.91685419999999"/>
    <n v="180.7885971"/>
    <n v="0.74626860523384186"/>
    <n v="0.22917973999999999"/>
    <n v="0.17102966999999999"/>
    <n v="42.430062290000002"/>
    <x v="164"/>
    <n v="230.9351882"/>
    <n v="739488.86609999998"/>
    <n v="808936.7"/>
    <n v="32.597380000000001"/>
    <n v="75.02744229000001"/>
  </r>
  <r>
    <n v="170"/>
    <x v="169"/>
    <n v="48.437759999999997"/>
    <n v="-119.89978000000001"/>
    <x v="0"/>
    <x v="0"/>
    <x v="3"/>
    <n v="-8"/>
    <n v="1467.142857"/>
    <n v="3.8633690000000001"/>
    <s v="Moderate"/>
    <n v="1.0017450000000001"/>
    <n v="1.288224069"/>
    <n v="41.338525789999998"/>
    <n v="55.393634980000002"/>
    <n v="0.7462685163182623"/>
    <n v="0.23606368999999999"/>
    <n v="0.17616688999999999"/>
    <n v="43.483279289999999"/>
    <x v="165"/>
    <n v="208.2774804"/>
    <n v="632849.00670000003"/>
    <n v="754917.1"/>
    <n v="29.533470000000001"/>
    <n v="73.016749290000007"/>
  </r>
  <r>
    <n v="171"/>
    <x v="170"/>
    <n v="48.462082000000002"/>
    <n v="-119.740036"/>
    <x v="0"/>
    <x v="0"/>
    <x v="3"/>
    <n v="-8"/>
    <n v="1003.235294"/>
    <n v="3.7669169999999998"/>
    <s v="Moderate"/>
    <n v="1.0000252000000001"/>
    <n v="5.2988584349999996"/>
    <n v="170.03796259999999"/>
    <n v="227.85091270000001"/>
    <n v="0.74626851648332226"/>
    <n v="0.22690229000000001"/>
    <n v="0.16933007999999999"/>
    <n v="42.722455940000003"/>
    <x v="166"/>
    <n v="186.63316219999999"/>
    <n v="527671.37029999995"/>
    <n v="663098.1"/>
    <n v="26.988785"/>
    <n v="69.71124094000001"/>
  </r>
  <r>
    <n v="172"/>
    <x v="171"/>
    <n v="48.486243999999999"/>
    <n v="-119.58017"/>
    <x v="0"/>
    <x v="0"/>
    <x v="3"/>
    <n v="-8"/>
    <n v="514.33333330000005"/>
    <n v="3.823744"/>
    <s v="Moderate"/>
    <n v="0.99819267"/>
    <n v="27.713663530000002"/>
    <n v="889.31899190000001"/>
    <n v="1191.6875319999999"/>
    <n v="0.74626860483088453"/>
    <n v="0.22832163"/>
    <n v="0.17038928"/>
    <n v="42.39556262"/>
    <x v="167"/>
    <n v="186.63316219999999"/>
    <n v="527671.37029999995"/>
    <n v="598283.80000000005"/>
    <n v="24.199401999999999"/>
    <n v="66.594964619999999"/>
  </r>
  <r>
    <n v="173"/>
    <x v="172"/>
    <n v="48.510249999999999"/>
    <n v="-119.42015000000001"/>
    <x v="0"/>
    <x v="0"/>
    <x v="3"/>
    <n v="-8"/>
    <n v="708.05555560000005"/>
    <n v="3.8511896000000001"/>
    <s v="Moderate"/>
    <n v="0.9963012"/>
    <n v="22.598189210000001"/>
    <n v="725.16580920000001"/>
    <n v="971.72213599999998"/>
    <n v="0.74626869383162842"/>
    <n v="0.23135533999999999"/>
    <n v="0.17265326"/>
    <n v="41.777185600000003"/>
    <x v="168"/>
    <n v="193.9641882"/>
    <n v="547208.44689999998"/>
    <n v="644653.1"/>
    <n v="25.733034"/>
    <n v="67.510219599999999"/>
  </r>
  <r>
    <n v="174"/>
    <x v="173"/>
    <n v="48.534095999999998"/>
    <n v="-119.26"/>
    <x v="0"/>
    <x v="0"/>
    <x v="3"/>
    <n v="-8"/>
    <n v="1209.117647"/>
    <n v="3.8312463999999999"/>
    <s v="Moderate"/>
    <n v="0.99475029999999998"/>
    <n v="32.588568240000001"/>
    <n v="1045.7524900000001"/>
    <n v="1401.308434"/>
    <n v="0.74626860484591939"/>
    <n v="0.23137126999999999"/>
    <n v="0.17266512000000001"/>
    <n v="41.723105740000001"/>
    <x v="169"/>
    <n v="208.51175309999999"/>
    <n v="595717.60900000005"/>
    <n v="750941"/>
    <n v="29.97373"/>
    <n v="71.696835739999997"/>
  </r>
  <r>
    <n v="175"/>
    <x v="174"/>
    <n v="48.557785000000003"/>
    <n v="-119.09972"/>
    <x v="0"/>
    <x v="0"/>
    <x v="3"/>
    <n v="-8"/>
    <n v="1101.333333"/>
    <n v="3.7099761999999998"/>
    <s v="Moderate"/>
    <n v="0.99317200000000005"/>
    <n v="16.180964209999999"/>
    <n v="519.23992209999994"/>
    <n v="695.78146100000004"/>
    <n v="0.74626869384207395"/>
    <n v="0.22272719999999999"/>
    <n v="0.16621432999999999"/>
    <n v="43.288249010000001"/>
    <x v="170"/>
    <n v="217.58211019999999"/>
    <n v="629496.50529999996"/>
    <n v="868961.8"/>
    <n v="36.030630000000002"/>
    <n v="79.318879010000003"/>
  </r>
  <r>
    <n v="176"/>
    <x v="175"/>
    <n v="48.581310000000002"/>
    <n v="-118.9393"/>
    <x v="0"/>
    <x v="0"/>
    <x v="3"/>
    <n v="-8"/>
    <n v="1153"/>
    <n v="3.6668452999999999"/>
    <s v="Moderate"/>
    <n v="0.99166065000000003"/>
    <n v="17.56371489"/>
    <n v="563.61177459999999"/>
    <n v="755.23974039999996"/>
    <n v="0.74626869383421557"/>
    <n v="0.21775015"/>
    <n v="0.16250010000000001"/>
    <n v="44.224655030000001"/>
    <x v="171"/>
    <n v="214.36001289999999"/>
    <n v="902286.40449999995"/>
    <n v="1092907.5"/>
    <n v="46.352093000000004"/>
    <n v="90.576748030000005"/>
  </r>
  <r>
    <n v="177"/>
    <x v="176"/>
    <n v="48.604680000000002"/>
    <n v="-118.77875"/>
    <x v="0"/>
    <x v="0"/>
    <x v="5"/>
    <n v="-8"/>
    <n v="1063.4117650000001"/>
    <n v="3.6013853999999998"/>
    <s v="Moderate"/>
    <n v="0.99037759999999997"/>
    <n v="18.856313530000001"/>
    <n v="605.09061599999995"/>
    <n v="810.82148159999997"/>
    <n v="0.74626860502754588"/>
    <n v="0.21209744"/>
    <n v="0.15828167000000001"/>
    <n v="45.357094859999997"/>
    <x v="172"/>
    <n v="214.36001289999999"/>
    <n v="902286.40449999995"/>
    <n v="989481.94"/>
    <n v="43.084083999999997"/>
    <n v="88.441178859999994"/>
  </r>
  <r>
    <n v="178"/>
    <x v="177"/>
    <n v="48.627884000000002"/>
    <n v="-118.618065"/>
    <x v="0"/>
    <x v="0"/>
    <x v="5"/>
    <n v="-8"/>
    <n v="1144.25"/>
    <n v="3.6360215999999999"/>
    <s v="Moderate"/>
    <n v="0.98913633999999995"/>
    <n v="10.193202360000001"/>
    <n v="327.09527680000002"/>
    <n v="438.30770130000002"/>
    <n v="0.74626860497739556"/>
    <n v="0.21315788999999999"/>
    <n v="0.15907304999999999"/>
    <n v="45.08695642"/>
    <x v="173"/>
    <n v="214.36001289999999"/>
    <n v="902286.40449999995"/>
    <n v="982583.25"/>
    <n v="42.57085"/>
    <n v="87.65780642"/>
  </r>
  <r>
    <n v="179"/>
    <x v="178"/>
    <n v="48.650931999999997"/>
    <n v="-118.457245"/>
    <x v="0"/>
    <x v="0"/>
    <x v="5"/>
    <n v="-8"/>
    <n v="1508.2"/>
    <n v="3.5812550000000001"/>
    <s v="Moderate"/>
    <n v="0.98760139999999996"/>
    <n v="0.83268002500000005"/>
    <n v="26.720327300000001"/>
    <n v="35.80524106"/>
    <n v="0.74626860506884685"/>
    <n v="0.21219681000000001"/>
    <n v="0.15835584999999999"/>
    <n v="50.133637729999997"/>
    <x v="174"/>
    <n v="193.3558376"/>
    <n v="784966.10019999999"/>
    <n v="888028.94"/>
    <n v="38.648502000000001"/>
    <n v="88.782139729999997"/>
  </r>
  <r>
    <n v="180"/>
    <x v="179"/>
    <n v="48.673817"/>
    <n v="-118.296295"/>
    <x v="0"/>
    <x v="0"/>
    <x v="5"/>
    <n v="-8"/>
    <n v="1175.818182"/>
    <n v="3.5596104"/>
    <s v="Moderate"/>
    <n v="0.98710209999999998"/>
    <n v="2.0642039699999999"/>
    <n v="66.239376550000003"/>
    <n v="88.760770719999996"/>
    <n v="0.74626860506828196"/>
    <n v="0.20912337"/>
    <n v="0.15606223"/>
    <n v="46.133947859999999"/>
    <x v="175"/>
    <n v="187.60113630000001"/>
    <n v="744020.59649999999"/>
    <n v="925951.3"/>
    <n v="40.891212000000003"/>
    <n v="87.025159860000002"/>
  </r>
  <r>
    <n v="181"/>
    <x v="180"/>
    <n v="48.696539999999999"/>
    <n v="-118.13521"/>
    <x v="0"/>
    <x v="0"/>
    <x v="5"/>
    <n v="-8"/>
    <n v="782.94117649999998"/>
    <n v="3.5677037"/>
    <s v="Moderate"/>
    <n v="0.98641676"/>
    <n v="13.47046216"/>
    <n v="432.26106920000001"/>
    <n v="579.22987279999995"/>
    <n v="0.74626860508842185"/>
    <n v="0.20566654000000001"/>
    <n v="0.15348249999999999"/>
    <n v="46.628222010000002"/>
    <x v="176"/>
    <n v="164.66328559999999"/>
    <n v="625184.16429999995"/>
    <n v="729367.25"/>
    <n v="32.751185999999997"/>
    <n v="79.379408009999992"/>
  </r>
  <r>
    <n v="182"/>
    <x v="181"/>
    <n v="48.719110000000001"/>
    <n v="-117.974"/>
    <x v="0"/>
    <x v="0"/>
    <x v="7"/>
    <n v="-8"/>
    <n v="733.5"/>
    <n v="3.6002822000000001"/>
    <s v="Moderate"/>
    <n v="0.98590520000000004"/>
    <n v="21.098556080000002"/>
    <n v="677.04317060000005"/>
    <n v="907.23791140000003"/>
    <n v="0.74626860506217596"/>
    <n v="0.2072446"/>
    <n v="0.15466017000000001"/>
    <n v="46.254309599999999"/>
    <x v="177"/>
    <n v="148.3082272"/>
    <n v="532574.30720000004"/>
    <n v="659245.4"/>
    <n v="29.377054000000001"/>
    <n v="75.6313636"/>
  </r>
  <r>
    <n v="183"/>
    <x v="182"/>
    <n v="48.741509999999998"/>
    <n v="-117.81265"/>
    <x v="0"/>
    <x v="0"/>
    <x v="7"/>
    <n v="-8"/>
    <n v="1030.666667"/>
    <n v="3.5614924000000001"/>
    <s v="Moderate"/>
    <n v="0.98544586000000001"/>
    <n v="11.05066824"/>
    <n v="354.61097109999997"/>
    <n v="475.17873420000001"/>
    <n v="0.74626860500610337"/>
    <n v="0.20634055000000001"/>
    <n v="0.15398549"/>
    <n v="46.439960300000003"/>
    <x v="178"/>
    <n v="170.97077909999999"/>
    <n v="649925.46849999996"/>
    <n v="782920.25"/>
    <n v="35.041069999999998"/>
    <n v="81.4810303"/>
  </r>
  <r>
    <n v="184"/>
    <x v="183"/>
    <n v="48.763751999999997"/>
    <n v="-117.651184"/>
    <x v="0"/>
    <x v="0"/>
    <x v="7"/>
    <n v="-8"/>
    <n v="986.1875"/>
    <n v="3.4866744999999999"/>
    <s v="Moderate"/>
    <n v="0.98517719999999998"/>
    <n v="12.35784529"/>
    <n v="396.55774159999999"/>
    <n v="531.38734739999995"/>
    <n v="0.74626869371334981"/>
    <n v="0.20181076000000001"/>
    <n v="0.15060501000000001"/>
    <n v="47.472193169999997"/>
    <x v="179"/>
    <n v="173.72724669999999"/>
    <n v="665671.19140000001"/>
    <n v="715089.2"/>
    <n v="32.72354"/>
    <n v="80.195733169999997"/>
  </r>
  <r>
    <n v="185"/>
    <x v="184"/>
    <n v="48.785834999999999"/>
    <n v="-117.48959000000001"/>
    <x v="0"/>
    <x v="0"/>
    <x v="8"/>
    <n v="-8"/>
    <n v="1114.058824"/>
    <n v="3.4259157"/>
    <s v="Moderate"/>
    <n v="0.98492866999999995"/>
    <n v="10.16971216"/>
    <n v="326.34148699999997"/>
    <n v="437.2976228"/>
    <n v="0.74626860514458748"/>
    <n v="0.19826826"/>
    <n v="0.14796139999999999"/>
    <n v="48.310798349999999"/>
    <x v="125"/>
    <n v="170.14953890000001"/>
    <n v="694339.41020000004"/>
    <n v="731606.4"/>
    <n v="34.077576000000001"/>
    <n v="82.388374349999992"/>
  </r>
  <r>
    <n v="186"/>
    <x v="185"/>
    <n v="48.807755"/>
    <n v="-117.32786"/>
    <x v="0"/>
    <x v="0"/>
    <x v="8"/>
    <n v="-8"/>
    <n v="956.72727269999996"/>
    <n v="3.3993878"/>
    <s v="Moderate"/>
    <n v="0.98514000000000002"/>
    <n v="2.5027378420000002"/>
    <n v="80.311740700000001"/>
    <n v="107.6177272"/>
    <n v="0.74626869373245786"/>
    <n v="0.19535073999999999"/>
    <n v="0.14578414000000001"/>
    <n v="49.040577480000003"/>
    <x v="180"/>
    <n v="176.6061493"/>
    <n v="710044.14049999998"/>
    <n v="852479.5"/>
    <n v="40.300766000000003"/>
    <n v="89.341343480000006"/>
  </r>
  <r>
    <n v="187"/>
    <x v="186"/>
    <n v="48.829509999999999"/>
    <n v="-117.16601"/>
    <x v="0"/>
    <x v="0"/>
    <x v="8"/>
    <n v="-8"/>
    <n v="1352.666667"/>
    <n v="3.3861563000000001"/>
    <s v="Moderate"/>
    <n v="0.98498993999999995"/>
    <n v="0.13316398900000001"/>
    <n v="4.2731724819999997"/>
    <n v="5.7260515219999997"/>
    <n v="0.74626860509062665"/>
    <n v="0.19624043999999999"/>
    <n v="0.14644809"/>
    <n v="66.292143139999993"/>
    <x v="181"/>
    <n v="176.6061493"/>
    <n v="710044.14049999998"/>
    <n v="930142"/>
    <n v="43.772880000000001"/>
    <n v="110.06502313999999"/>
  </r>
  <r>
    <n v="188"/>
    <x v="187"/>
    <n v="48.851100000000002"/>
    <n v="-117.00403"/>
    <x v="0"/>
    <x v="1"/>
    <x v="10"/>
    <n v="-8"/>
    <n v="1076.363636"/>
    <n v="3.2367742000000002"/>
    <s v="Moderate"/>
    <n v="0.98336020000000002"/>
    <n v="4.1659915649999997"/>
    <n v="133.68481059999999"/>
    <n v="179.13763729999999"/>
    <n v="0.74626869380955041"/>
    <n v="0.18580131"/>
    <n v="0.13865769"/>
    <n v="51.487887970000003"/>
    <x v="182"/>
    <n v="461.47692180000001"/>
    <n v="1782526.706"/>
    <n v="2142698.2000000002"/>
    <n v="106.501724"/>
    <n v="157.98961197"/>
  </r>
  <r>
    <n v="189"/>
    <x v="188"/>
    <n v="48.872535999999997"/>
    <n v="-116.84193399999999"/>
    <x v="0"/>
    <x v="1"/>
    <x v="10"/>
    <n v="-8"/>
    <n v="1409.636364"/>
    <n v="3.2917128"/>
    <s v="Moderate"/>
    <n v="0.98348000000000002"/>
    <n v="4.0969799010000001"/>
    <n v="131.47024149999999"/>
    <n v="176.1701357"/>
    <n v="0.74626860550235696"/>
    <n v="0.19015304999999999"/>
    <n v="0.14190526000000001"/>
    <n v="50.314373269999997"/>
    <x v="183"/>
    <n v="460.80964260000002"/>
    <n v="1780734.7180000001"/>
    <n v="2034840.8"/>
    <n v="98.826070000000001"/>
    <n v="149.14044326999999"/>
  </r>
  <r>
    <n v="190"/>
    <x v="189"/>
    <n v="48.893805999999998"/>
    <n v="-116.6797"/>
    <x v="0"/>
    <x v="1"/>
    <x v="10"/>
    <n v="-8"/>
    <n v="1485.5"/>
    <n v="3.4171109999999998"/>
    <s v="Moderate"/>
    <n v="0.98383147000000004"/>
    <n v="2.8686962770000002"/>
    <n v="92.055150780000005"/>
    <n v="123.3539399"/>
    <n v="0.74626842770183788"/>
    <n v="0.19798689"/>
    <n v="0.14775139000000001"/>
    <n v="48.337119610000002"/>
    <x v="184"/>
    <n v="462.00148030000003"/>
    <n v="1785491.86"/>
    <n v="1989368.9"/>
    <n v="92.794719999999998"/>
    <n v="141.13183960999999"/>
  </r>
  <r>
    <n v="191"/>
    <x v="190"/>
    <n v="48.914912999999999"/>
    <n v="-116.51734999999999"/>
    <x v="0"/>
    <x v="1"/>
    <x v="10"/>
    <n v="-8"/>
    <n v="628.57142859999999"/>
    <n v="3.4490322999999998"/>
    <s v="Moderate"/>
    <n v="0.98381174000000005"/>
    <n v="3.95782196"/>
    <n v="127.0047258"/>
    <n v="170.1863443"/>
    <n v="0.74626860528903205"/>
    <n v="0.19645905"/>
    <n v="0.14661123000000001"/>
    <n v="48.712266079999999"/>
    <x v="185"/>
    <n v="458.34501269999998"/>
    <n v="1760563.2309999999"/>
    <n v="1851872.5"/>
    <n v="87.052940000000007"/>
    <n v="135.76520608000001"/>
  </r>
  <r>
    <n v="192"/>
    <x v="191"/>
    <n v="48.935856000000001"/>
    <n v="-116.35487999999999"/>
    <x v="0"/>
    <x v="1"/>
    <x v="10"/>
    <n v="-8"/>
    <n v="871.1333333"/>
    <n v="3.4505672000000001"/>
    <s v="Moderate"/>
    <n v="0.98393730000000001"/>
    <n v="14.88164392"/>
    <n v="477.54525699999999"/>
    <n v="639.91068859999996"/>
    <n v="0.74626860514672144"/>
    <n v="0.19803624"/>
    <n v="0.14778826"/>
    <n v="48.329151850000002"/>
    <x v="186"/>
    <n v="445.02016859999998"/>
    <n v="1707800.0249999999"/>
    <n v="1775338.4"/>
    <n v="82.790570000000002"/>
    <n v="131.11972185000002"/>
  </r>
  <r>
    <n v="193"/>
    <x v="192"/>
    <n v="48.956634999999999"/>
    <n v="-116.19228"/>
    <x v="0"/>
    <x v="1"/>
    <x v="10"/>
    <n v="-8"/>
    <n v="1181.5714290000001"/>
    <n v="3.4327624000000001"/>
    <s v="Moderate"/>
    <n v="0.9840795"/>
    <n v="5.5790371580000002"/>
    <n v="179.02879189999999"/>
    <n v="239.8985978"/>
    <n v="0.74626860490970315"/>
    <n v="0.19856218"/>
    <n v="0.14818071999999999"/>
    <n v="48.206614879999997"/>
    <x v="187"/>
    <n v="455.45222050000001"/>
    <n v="1744002.97"/>
    <n v="1852102.8"/>
    <n v="86.141599999999997"/>
    <n v="134.34821488"/>
  </r>
  <r>
    <n v="194"/>
    <x v="193"/>
    <n v="47.599772999999999"/>
    <n v="-124.26582000000001"/>
    <x v="0"/>
    <x v="0"/>
    <x v="9"/>
    <n v="-8"/>
    <n v="123.0526316"/>
    <n v="3.1222759999999998"/>
    <s v="Moderate"/>
    <n v="1.0209336"/>
    <n v="31.915862839999999"/>
    <n v="1024.165677"/>
    <n v="1372.382102"/>
    <n v="0.74626860515556326"/>
    <n v="0.18254828000000001"/>
    <n v="0.13623008"/>
    <n v="53.977763330000002"/>
    <x v="188"/>
    <n v="264.2096037"/>
    <n v="913839.36369999999"/>
    <n v="1245241"/>
    <n v="62.997030000000002"/>
    <n v="116.97479333000001"/>
  </r>
  <r>
    <n v="195"/>
    <x v="194"/>
    <n v="47.628399999999999"/>
    <n v="-124.11046"/>
    <x v="0"/>
    <x v="0"/>
    <x v="9"/>
    <n v="-8"/>
    <n v="226.8823529"/>
    <n v="3.0719816999999998"/>
    <s v="Moderate"/>
    <n v="1.0208225"/>
    <n v="20.103310109999999"/>
    <n v="645.10617520000005"/>
    <n v="864.44233459999998"/>
    <n v="0.7462686050637577"/>
    <n v="0.17950292000000001"/>
    <n v="0.1339574"/>
    <n v="54.88881344"/>
    <x v="189"/>
    <n v="271.5044479"/>
    <n v="949583.45409999997"/>
    <n v="1407344.9"/>
    <n v="72.405810000000002"/>
    <n v="127.29462344000001"/>
  </r>
  <r>
    <n v="196"/>
    <x v="195"/>
    <n v="47.656869999999998"/>
    <n v="-123.95493999999999"/>
    <x v="0"/>
    <x v="0"/>
    <x v="9"/>
    <n v="-8"/>
    <n v="437.77777780000002"/>
    <n v="3.0723009999999999"/>
    <s v="Moderate"/>
    <n v="1.0207436000000001"/>
    <n v="1.0708200990000001"/>
    <n v="34.362135119999998"/>
    <n v="46.045264250000002"/>
    <n v="0.74626860502814896"/>
    <n v="0.17786885999999999"/>
    <n v="0.13273794999999999"/>
    <n v="59.76951553"/>
    <x v="190"/>
    <n v="271.5044479"/>
    <n v="949583.45409999997"/>
    <n v="1597426"/>
    <n v="82.940219999999997"/>
    <n v="142.70973552999999"/>
  </r>
  <r>
    <n v="197"/>
    <x v="196"/>
    <n v="47.851906"/>
    <n v="-122.86196"/>
    <x v="0"/>
    <x v="0"/>
    <x v="9"/>
    <n v="-8"/>
    <n v="219.30769230000001"/>
    <n v="3.1370062999999999"/>
    <s v="Moderate"/>
    <n v="1.0209657999999999"/>
    <n v="27.642060789999999"/>
    <n v="887.02129239999999"/>
    <n v="1188.608614"/>
    <n v="0.74626860511714244"/>
    <n v="0.17839774"/>
    <n v="0.13313264"/>
    <n v="55.234976000000003"/>
    <x v="191"/>
    <n v="259.5776687"/>
    <n v="862702.61089999997"/>
    <n v="907589.6"/>
    <n v="46.983414000000003"/>
    <n v="102.21839"/>
  </r>
  <r>
    <n v="198"/>
    <x v="197"/>
    <n v="47.879157999999997"/>
    <n v="-122.705215"/>
    <x v="0"/>
    <x v="0"/>
    <x v="9"/>
    <n v="-8"/>
    <n v="109.7333333"/>
    <n v="3.1952372000000002"/>
    <s v="Moderate"/>
    <n v="1.0210066"/>
    <n v="45.179529789999997"/>
    <n v="1449.7909529999999"/>
    <n v="1942.719781"/>
    <n v="0.74626869360115911"/>
    <n v="0.18107570000000001"/>
    <n v="0.13513114000000001"/>
    <n v="54.419821409999997"/>
    <x v="192"/>
    <n v="302.78315559999999"/>
    <n v="1033069.655"/>
    <n v="1116991.8"/>
    <n v="56.968426000000001"/>
    <n v="111.38824740999999"/>
  </r>
  <r>
    <n v="199"/>
    <x v="198"/>
    <n v="47.906253999999997"/>
    <n v="-122.54831"/>
    <x v="0"/>
    <x v="0"/>
    <x v="11"/>
    <n v="-8"/>
    <n v="35.666666669999998"/>
    <n v="3.2759046999999999"/>
    <s v="Moderate"/>
    <n v="1.0210718999999999"/>
    <n v="8.783154712"/>
    <n v="281.84748239999999"/>
    <n v="377.67565259999998"/>
    <n v="0.74626860497811187"/>
    <n v="0.18457520999999999"/>
    <n v="0.13774270999999999"/>
    <n v="53.390718450000001"/>
    <x v="193"/>
    <n v="266.88466219999998"/>
    <n v="928459.65139999997"/>
    <n v="1012873.25"/>
    <n v="50.678775999999999"/>
    <n v="104.06949445000001"/>
  </r>
  <r>
    <n v="200"/>
    <x v="199"/>
    <n v="47.933193000000003"/>
    <n v="-122.391266"/>
    <x v="0"/>
    <x v="0"/>
    <x v="4"/>
    <n v="-8"/>
    <n v="83.833333330000002"/>
    <n v="3.26953"/>
    <s v="Moderate"/>
    <n v="1.0210277999999999"/>
    <n v="10.14225205"/>
    <n v="325.46034320000001"/>
    <n v="436.11683820000002"/>
    <n v="0.7462686938282036"/>
    <n v="0.18471870000000001"/>
    <n v="0.13784978000000001"/>
    <n v="53.347444119999999"/>
    <x v="194"/>
    <n v="246.38850629999999"/>
    <n v="981662.51260000002"/>
    <n v="1033417.8"/>
    <n v="51.666556999999997"/>
    <n v="105.01400111999999"/>
  </r>
  <r>
    <n v="201"/>
    <x v="200"/>
    <n v="47.959975999999997"/>
    <n v="-122.23407"/>
    <x v="0"/>
    <x v="0"/>
    <x v="6"/>
    <n v="-8"/>
    <n v="74"/>
    <n v="3.2258740000000001"/>
    <s v="Moderate"/>
    <n v="1.0209505999999999"/>
    <n v="7.9904878420000003"/>
    <n v="256.41115930000001"/>
    <n v="343.5909772"/>
    <n v="0.74626860515823812"/>
    <n v="0.18209877999999999"/>
    <n v="0.13589461"/>
    <n v="54.111717970000001"/>
    <x v="195"/>
    <n v="57.003266199999999"/>
    <n v="218399.91680000001"/>
    <n v="252927.34"/>
    <n v="12.827237999999999"/>
    <n v="66.938955969999995"/>
  </r>
  <r>
    <n v="202"/>
    <x v="201"/>
    <n v="47.986606999999999"/>
    <n v="-122.07671999999999"/>
    <x v="0"/>
    <x v="0"/>
    <x v="6"/>
    <n v="-8"/>
    <n v="90.944444439999998"/>
    <n v="3.0700417"/>
    <s v="Moderate"/>
    <n v="1.0206436999999999"/>
    <n v="16.145567249999999"/>
    <n v="518.10404940000001"/>
    <n v="694.25939170000004"/>
    <n v="0.74626869379662719"/>
    <n v="0.17235771"/>
    <n v="0.12862517000000001"/>
    <n v="57.156332290000002"/>
    <x v="196"/>
    <n v="60.555389570000003"/>
    <n v="224944.39439999999"/>
    <n v="265126.06"/>
    <n v="14.205812999999999"/>
    <n v="71.362145290000001"/>
  </r>
  <r>
    <n v="203"/>
    <x v="202"/>
    <n v="48.013080000000002"/>
    <n v="-121.919235"/>
    <x v="0"/>
    <x v="0"/>
    <x v="6"/>
    <n v="-8"/>
    <n v="252.52941179999999"/>
    <n v="2.9982506999999998"/>
    <s v="Low"/>
    <n v="1.0199429"/>
    <n v="38.527650000000001"/>
    <n v="1236.3349519999999"/>
    <n v="1656.68895"/>
    <n v="0.74626860522006855"/>
    <n v="0.16898762000000001"/>
    <n v="0.12611016999999999"/>
    <n v="58.26450329"/>
    <x v="197"/>
    <n v="87.706701240000001"/>
    <n v="318105.04729999998"/>
    <n v="426695.16"/>
    <n v="23.318854999999999"/>
    <n v="81.583358290000007"/>
  </r>
  <r>
    <n v="204"/>
    <x v="203"/>
    <n v="48.039402000000003"/>
    <n v="-121.7616"/>
    <x v="0"/>
    <x v="0"/>
    <x v="6"/>
    <n v="-8"/>
    <n v="506.25"/>
    <n v="2.9104085"/>
    <s v="Low"/>
    <n v="1.0194692999999999"/>
    <n v="8.0737560790000007"/>
    <n v="259.08319949999998"/>
    <n v="347.17151139999999"/>
    <n v="0.74626860497632408"/>
    <n v="0.16500422000000001"/>
    <n v="0.12313747999999999"/>
    <n v="59.649151580000002"/>
    <x v="198"/>
    <n v="87.706701240000001"/>
    <n v="318105.04729999998"/>
    <n v="505337.22"/>
    <n v="28.283337"/>
    <n v="87.932488579999998"/>
  </r>
  <r>
    <n v="205"/>
    <x v="204"/>
    <n v="48.065562999999997"/>
    <n v="-121.60381"/>
    <x v="0"/>
    <x v="0"/>
    <x v="6"/>
    <n v="-8"/>
    <n v="882"/>
    <n v="2.9612498"/>
    <s v="Low"/>
    <n v="1.0191376999999999"/>
    <n v="0.16977599299999999"/>
    <n v="5.4480352060000001"/>
    <n v="7.300367681"/>
    <n v="0.74626860509767245"/>
    <n v="0.16943921000000001"/>
    <n v="0.12644717"/>
    <n v="76.869252779999997"/>
    <x v="199"/>
    <n v="85.974409019999996"/>
    <n v="318616.24699999997"/>
    <n v="638561.75"/>
    <n v="34.804340000000003"/>
    <n v="111.67359278000001"/>
  </r>
  <r>
    <n v="206"/>
    <x v="205"/>
    <n v="48.219265"/>
    <n v="-120.65407"/>
    <x v="0"/>
    <x v="0"/>
    <x v="12"/>
    <n v="-8"/>
    <n v="651"/>
    <n v="3.7040000000000002"/>
    <s v="Moderate"/>
    <n v="1.0109162"/>
    <n v="7.4520000000000003E-3"/>
    <n v="0.23913135999999999"/>
    <n v="0.320436006"/>
    <n v="0.74626869491064618"/>
    <n v="0.21613899"/>
    <n v="0.16129772000000001"/>
    <n v="86.164248889999996"/>
    <x v="200"/>
    <n v="225.56872060000001"/>
    <n v="719988.08360000001"/>
    <n v="1730479.1"/>
    <n v="73.939700000000002"/>
    <n v="160.10394889"/>
  </r>
  <r>
    <n v="207"/>
    <x v="206"/>
    <n v="48.269240000000003"/>
    <n v="-120.33635"/>
    <x v="0"/>
    <x v="0"/>
    <x v="3"/>
    <n v="-8"/>
    <n v="1232.666667"/>
    <n v="3.8108719999999998"/>
    <s v="Moderate"/>
    <n v="1.0073265"/>
    <n v="0.24138000900000001"/>
    <n v="7.7457758810000001"/>
    <n v="10.3793404"/>
    <n v="0.74626860498765413"/>
    <n v="0.22969484000000001"/>
    <n v="0.17141408"/>
    <n v="53.968468860000002"/>
    <x v="201"/>
    <n v="224.81144140000001"/>
    <n v="717372.23459999997"/>
    <n v="929879.2"/>
    <n v="37.386920000000003"/>
    <n v="91.355388860000005"/>
  </r>
  <r>
    <n v="208"/>
    <x v="207"/>
    <n v="48.293995000000002"/>
    <n v="-120.17728"/>
    <x v="0"/>
    <x v="0"/>
    <x v="3"/>
    <n v="-8"/>
    <n v="923.125"/>
    <n v="3.8270970000000002"/>
    <s v="Moderate"/>
    <n v="1.0052949"/>
    <n v="1.8660780400000001"/>
    <n v="59.881604590000002"/>
    <n v="80.2413557"/>
    <n v="0.74626860510533477"/>
    <n v="0.22939356999999999"/>
    <n v="0.17118923"/>
    <n v="43.128089369999998"/>
    <x v="202"/>
    <n v="224.81144140000001"/>
    <n v="717372.23459999997"/>
    <n v="825902.75"/>
    <n v="33.250033999999999"/>
    <n v="76.378123369999997"/>
  </r>
  <r>
    <n v="209"/>
    <x v="208"/>
    <n v="48.318592000000002"/>
    <n v="-120.01806999999999"/>
    <x v="0"/>
    <x v="0"/>
    <x v="3"/>
    <n v="-8"/>
    <n v="782.5625"/>
    <n v="3.8431004999999998"/>
    <s v="Moderate"/>
    <n v="1.0035080999999999"/>
    <n v="6.3520196039999997"/>
    <n v="203.83345080000001"/>
    <n v="273.136843"/>
    <n v="0.74626860500104708"/>
    <n v="0.2287729"/>
    <n v="0.17072603"/>
    <n v="42.489443280000003"/>
    <x v="203"/>
    <n v="224.81144140000001"/>
    <n v="717372.23459999997"/>
    <n v="788998.44"/>
    <n v="31.850480999999998"/>
    <n v="74.339924280000005"/>
  </r>
  <r>
    <n v="210"/>
    <x v="209"/>
    <n v="48.343024999999997"/>
    <n v="-119.85872000000001"/>
    <x v="0"/>
    <x v="0"/>
    <x v="3"/>
    <n v="-8"/>
    <n v="1046.882353"/>
    <n v="3.8586597"/>
    <s v="Moderate"/>
    <n v="1.0013947000000001"/>
    <n v="23.507010789999999"/>
    <n v="754.3293089"/>
    <n v="1010.801464"/>
    <n v="0.74626851638592406"/>
    <n v="0.23351948"/>
    <n v="0.17426826000000001"/>
    <n v="41.55664968"/>
    <x v="204"/>
    <n v="200.7035908"/>
    <n v="589909.75809999998"/>
    <n v="707180.94"/>
    <n v="27.967383999999999"/>
    <n v="69.524033680000002"/>
  </r>
  <r>
    <n v="211"/>
    <x v="210"/>
    <n v="48.367305999999999"/>
    <n v="-119.699234"/>
    <x v="0"/>
    <x v="0"/>
    <x v="3"/>
    <n v="-8"/>
    <n v="714.1875"/>
    <n v="3.848678"/>
    <s v="Moderate"/>
    <n v="0.99941444000000002"/>
    <n v="12.11573617"/>
    <n v="388.788568"/>
    <n v="520.97665529999995"/>
    <n v="0.74626869370206128"/>
    <n v="0.23088040000000001"/>
    <n v="0.1722988"/>
    <n v="41.966141530000002"/>
    <x v="205"/>
    <n v="193.7751427"/>
    <n v="561470.04390000005"/>
    <n v="607579.43999999994"/>
    <n v="24.30303"/>
    <n v="66.269171529999994"/>
  </r>
  <r>
    <n v="212"/>
    <x v="211"/>
    <n v="48.391426000000003"/>
    <n v="-119.53961"/>
    <x v="0"/>
    <x v="0"/>
    <x v="3"/>
    <n v="-8"/>
    <n v="470.55555559999999"/>
    <n v="3.8521828999999999"/>
    <s v="Moderate"/>
    <n v="0.99752395999999999"/>
    <n v="29.13691421"/>
    <n v="934.99057700000003"/>
    <n v="1252.887311"/>
    <n v="0.74626869375325655"/>
    <n v="0.23010876999999999"/>
    <n v="0.17172295000000001"/>
    <n v="42.044105289999997"/>
    <x v="206"/>
    <n v="180.099344"/>
    <n v="510042.10330000002"/>
    <n v="555229.1"/>
    <n v="22.283504000000001"/>
    <n v="64.327609289999998"/>
  </r>
  <r>
    <n v="213"/>
    <x v="212"/>
    <n v="48.415385999999998"/>
    <n v="-119.37985"/>
    <x v="0"/>
    <x v="0"/>
    <x v="3"/>
    <n v="-8"/>
    <n v="808.25"/>
    <n v="3.8712"/>
    <s v="Moderate"/>
    <n v="0.99570084000000003"/>
    <n v="24.997329709999999"/>
    <n v="802.15306210000006"/>
    <n v="1074.885178"/>
    <n v="0.74626860479417645"/>
    <n v="0.23248659999999999"/>
    <n v="0.17349745"/>
    <n v="41.554180090000003"/>
    <x v="207"/>
    <n v="186.63316219999999"/>
    <n v="527671.37029999995"/>
    <n v="610250.19999999995"/>
    <n v="24.241215"/>
    <n v="65.79539509"/>
  </r>
  <r>
    <n v="214"/>
    <x v="213"/>
    <n v="48.439190000000004"/>
    <n v="-119.219955"/>
    <x v="0"/>
    <x v="0"/>
    <x v="3"/>
    <n v="-8"/>
    <n v="1222.3888890000001"/>
    <n v="3.8115950000000001"/>
    <s v="Moderate"/>
    <n v="0.99392647000000001"/>
    <n v="17.601299999999998"/>
    <n v="564.81779670000003"/>
    <n v="756.85590000000002"/>
    <n v="0.74626860502772063"/>
    <n v="0.23172609999999999"/>
    <n v="0.17292993000000001"/>
    <n v="41.632053900000002"/>
    <x v="208"/>
    <n v="186.63316219999999"/>
    <n v="527671.37029999995"/>
    <n v="698859.06"/>
    <n v="27.852170000000001"/>
    <n v="69.484223900000003"/>
  </r>
  <r>
    <n v="215"/>
    <x v="214"/>
    <n v="48.462829999999997"/>
    <n v="-119.05992000000001"/>
    <x v="0"/>
    <x v="0"/>
    <x v="3"/>
    <n v="-8"/>
    <n v="1237.1875"/>
    <n v="3.7116470000000001"/>
    <s v="Moderate"/>
    <n v="0.99229339999999999"/>
    <n v="23.691042549999999"/>
    <n v="760.23489500000005"/>
    <n v="1018.71483"/>
    <n v="0.74626860492450087"/>
    <n v="0.22271642"/>
    <n v="0.1662063"/>
    <n v="43.260205120000002"/>
    <x v="209"/>
    <n v="186.63316219999999"/>
    <n v="527671.37029999995"/>
    <n v="791804.1"/>
    <n v="32.832949999999997"/>
    <n v="76.093155120000006"/>
  </r>
  <r>
    <n v="216"/>
    <x v="215"/>
    <n v="48.486313000000003"/>
    <n v="-118.89976"/>
    <x v="0"/>
    <x v="0"/>
    <x v="3"/>
    <n v="-8"/>
    <n v="1122.4117650000001"/>
    <n v="3.6566198000000001"/>
    <s v="Moderate"/>
    <n v="0.99061816999999996"/>
    <n v="7.0265878419999996"/>
    <n v="225.480042"/>
    <n v="302.1432772"/>
    <n v="0.74626860504576531"/>
    <n v="0.21623063000000001"/>
    <n v="0.16136615000000001"/>
    <n v="44.498606700000003"/>
    <x v="210"/>
    <n v="214.36001289999999"/>
    <n v="902286.40449999995"/>
    <n v="1146712.6000000001"/>
    <n v="48.975825999999998"/>
    <n v="93.474432699999994"/>
  </r>
  <r>
    <n v="217"/>
    <x v="216"/>
    <n v="48.509636"/>
    <n v="-118.739456"/>
    <x v="0"/>
    <x v="0"/>
    <x v="5"/>
    <n v="-8"/>
    <n v="1015.6111110000001"/>
    <n v="3.6400898000000002"/>
    <s v="Moderate"/>
    <n v="0.98926749999999997"/>
    <n v="7.7298303959999997"/>
    <n v="248.04677910000001"/>
    <n v="332.38270699999998"/>
    <n v="0.74626860506313897"/>
    <n v="0.21418566999999999"/>
    <n v="0.15984005000000001"/>
    <n v="44.875289870000003"/>
    <x v="211"/>
    <n v="214.36001289999999"/>
    <n v="902286.40449999995"/>
    <n v="1036351.7"/>
    <n v="44.684936999999998"/>
    <n v="89.560226870000008"/>
  </r>
  <r>
    <n v="218"/>
    <x v="217"/>
    <n v="48.532803000000001"/>
    <n v="-118.579025"/>
    <x v="0"/>
    <x v="0"/>
    <x v="5"/>
    <n v="-8"/>
    <n v="1338.916667"/>
    <n v="3.6686296"/>
    <s v="Moderate"/>
    <n v="0.98805200000000004"/>
    <n v="3.3874200989999999"/>
    <n v="108.70078669999999"/>
    <n v="145.65906430000001"/>
    <n v="0.74626860485743207"/>
    <n v="0.21735578999999999"/>
    <n v="0.16220582"/>
    <n v="44.178058450000002"/>
    <x v="212"/>
    <n v="199.44870119999999"/>
    <n v="829289.40049999999"/>
    <n v="978641.6"/>
    <n v="41.581189999999999"/>
    <n v="85.759248450000001"/>
  </r>
  <r>
    <n v="219"/>
    <x v="218"/>
    <n v="48.555804999999999"/>
    <n v="-118.41847"/>
    <x v="0"/>
    <x v="0"/>
    <x v="5"/>
    <n v="-8"/>
    <n v="1204.4285709999999"/>
    <n v="3.5723093000000001"/>
    <s v="Moderate"/>
    <n v="0.98641294000000002"/>
    <n v="1.1524679900000001"/>
    <n v="36.982179209999998"/>
    <n v="49.556123569999997"/>
    <n v="0.74626860508492354"/>
    <n v="0.21073742000000001"/>
    <n v="0.15726673999999999"/>
    <n v="48.691693149999999"/>
    <x v="213"/>
    <n v="196.21135050000001"/>
    <n v="806904.47889999999"/>
    <n v="960150.94"/>
    <n v="42.076756000000003"/>
    <n v="90.768449150000009"/>
  </r>
  <r>
    <n v="220"/>
    <x v="219"/>
    <n v="48.578650000000003"/>
    <n v="-118.257774"/>
    <x v="0"/>
    <x v="0"/>
    <x v="5"/>
    <n v="-8"/>
    <n v="982.76470589999997"/>
    <n v="3.5916929999999998"/>
    <s v="Moderate"/>
    <n v="0.98594444999999997"/>
    <n v="4.2738841189999999"/>
    <n v="137.14701819999999"/>
    <n v="183.77701709999999"/>
    <n v="0.74626860509643123"/>
    <n v="0.20990238"/>
    <n v="0.15664354999999999"/>
    <n v="45.670081289999999"/>
    <x v="214"/>
    <n v="177.7644545"/>
    <n v="686263.81590000005"/>
    <n v="729799.44"/>
    <n v="32.109279999999998"/>
    <n v="77.779361289999997"/>
  </r>
  <r>
    <n v="221"/>
    <x v="220"/>
    <n v="48.601334000000001"/>
    <n v="-118.096954"/>
    <x v="0"/>
    <x v="0"/>
    <x v="7"/>
    <n v="-8"/>
    <n v="655.17647060000002"/>
    <n v="3.6072438"/>
    <s v="Moderate"/>
    <n v="0.98535059999999997"/>
    <n v="11.114495290000001"/>
    <n v="356.65919489999999"/>
    <n v="477.92329740000002"/>
    <n v="0.74626869382660055"/>
    <n v="0.20747262"/>
    <n v="0.1548303"/>
    <n v="46.18306492"/>
    <x v="156"/>
    <n v="160.00137649999999"/>
    <n v="590956.39020000002"/>
    <n v="632347"/>
    <n v="28.147451"/>
    <n v="74.330515919999996"/>
  </r>
  <r>
    <n v="222"/>
    <x v="221"/>
    <n v="48.623856000000004"/>
    <n v="-117.93599"/>
    <x v="0"/>
    <x v="0"/>
    <x v="7"/>
    <n v="-8"/>
    <n v="698.63157890000002"/>
    <n v="3.6117430000000001"/>
    <s v="Moderate"/>
    <n v="0.98490535999999995"/>
    <n v="10.25516558"/>
    <n v="329.08368780000001"/>
    <n v="440.97211979999997"/>
    <n v="0.74626869369712934"/>
    <n v="0.20843296"/>
    <n v="0.15554701000000001"/>
    <n v="45.953952209999997"/>
    <x v="215"/>
    <n v="137.8415454"/>
    <n v="493211.57860000001"/>
    <n v="567672.6"/>
    <n v="25.152200000000001"/>
    <n v="71.106152210000005"/>
  </r>
  <r>
    <n v="223"/>
    <x v="222"/>
    <n v="48.646217"/>
    <n v="-117.77491999999999"/>
    <x v="0"/>
    <x v="0"/>
    <x v="7"/>
    <n v="-8"/>
    <n v="1043.0666670000001"/>
    <n v="3.5438838000000001"/>
    <s v="Moderate"/>
    <n v="0.98431473999999997"/>
    <n v="3.5043838709999999"/>
    <n v="112.45411489999999"/>
    <n v="150.68850649999999"/>
    <n v="0.7462686936909817"/>
    <n v="0.20569338000000001"/>
    <n v="0.15350252"/>
    <n v="46.544076179999998"/>
    <x v="216"/>
    <n v="155.7021168"/>
    <n v="578599.79570000002"/>
    <n v="622174.06000000006"/>
    <n v="27.934183000000001"/>
    <n v="74.478259179999995"/>
  </r>
  <r>
    <n v="224"/>
    <x v="223"/>
    <n v="48.668419999999998"/>
    <n v="-117.61371"/>
    <x v="0"/>
    <x v="0"/>
    <x v="7"/>
    <n v="-8"/>
    <n v="1152.7894739999999"/>
    <n v="3.507403"/>
    <s v="Moderate"/>
    <n v="0.98424959999999995"/>
    <n v="6.6700261779999996"/>
    <n v="214.03813869999999"/>
    <n v="286.81112569999999"/>
    <n v="0.74626860508849502"/>
    <n v="0.20464493"/>
    <n v="0.1527201"/>
    <n v="46.780102990000003"/>
    <x v="217"/>
    <n v="170.97077909999999"/>
    <n v="649925.46849999996"/>
    <n v="805251.2"/>
    <n v="36.339153000000003"/>
    <n v="83.119255989999999"/>
  </r>
  <r>
    <n v="225"/>
    <x v="224"/>
    <n v="48.690455999999998"/>
    <n v="-117.45236"/>
    <x v="0"/>
    <x v="0"/>
    <x v="8"/>
    <n v="-8"/>
    <n v="967"/>
    <n v="3.4323108000000002"/>
    <s v="Moderate"/>
    <n v="0.98420430000000003"/>
    <n v="22.58433853"/>
    <n v="724.72126070000002"/>
    <n v="971.12655659999996"/>
    <n v="0.74626860502848702"/>
    <n v="0.19803026000000001"/>
    <n v="0.14778379"/>
    <n v="48.340906429999997"/>
    <x v="218"/>
    <n v="153.4702077"/>
    <n v="603106.10699999996"/>
    <n v="661951.93999999994"/>
    <n v="30.870190000000001"/>
    <n v="79.211096429999998"/>
  </r>
  <r>
    <n v="226"/>
    <x v="225"/>
    <n v="48.712336999999998"/>
    <n v="-117.29089"/>
    <x v="0"/>
    <x v="0"/>
    <x v="8"/>
    <n v="-8"/>
    <n v="1198.7857140000001"/>
    <n v="3.4411619"/>
    <s v="Moderate"/>
    <n v="0.98401939999999999"/>
    <n v="1.3165739460000001"/>
    <n v="42.248270499999997"/>
    <n v="56.612679659999998"/>
    <n v="0.74626869375785343"/>
    <n v="0.19930711000000001"/>
    <n v="0.14873666999999999"/>
    <n v="50.655288220000003"/>
    <x v="219"/>
    <n v="154.31374020000001"/>
    <n v="604299.69209999999"/>
    <n v="777231.6"/>
    <n v="36.014060000000001"/>
    <n v="86.669348220000003"/>
  </r>
  <r>
    <n v="227"/>
    <x v="226"/>
    <n v="48.734046999999997"/>
    <n v="-117.1293"/>
    <x v="0"/>
    <x v="0"/>
    <x v="8"/>
    <n v="-8"/>
    <n v="1291.875"/>
    <n v="3.3596944999999998"/>
    <s v="Moderate"/>
    <n v="0.98405414999999996"/>
    <n v="1.113911911"/>
    <n v="35.74493623"/>
    <n v="47.898212170000001"/>
    <n v="0.74626869376949445"/>
    <n v="0.19506688"/>
    <n v="0.14557232000000001"/>
    <n v="52.695217509999999"/>
    <x v="220"/>
    <n v="156.65374019999999"/>
    <n v="614606.76489999995"/>
    <n v="898883.1"/>
    <n v="42.556319999999999"/>
    <n v="95.251537509999991"/>
  </r>
  <r>
    <n v="228"/>
    <x v="227"/>
    <n v="48.755608000000002"/>
    <n v="-116.96759"/>
    <x v="0"/>
    <x v="1"/>
    <x v="13"/>
    <n v="-8"/>
    <n v="1166"/>
    <n v="3.2959228"/>
    <s v="Moderate"/>
    <n v="0.98301640000000001"/>
    <n v="2.8042200990000001"/>
    <n v="89.986161129999999"/>
    <n v="120.58146429999999"/>
    <n v="0.74626860481739898"/>
    <n v="0.19069622"/>
    <n v="0.14231062"/>
    <n v="50.152481119999997"/>
    <x v="221"/>
    <n v="461.56692179999999"/>
    <n v="1783085.1629999999"/>
    <n v="2221959"/>
    <n v="107.60647"/>
    <n v="157.75895112000001"/>
  </r>
  <r>
    <n v="229"/>
    <x v="228"/>
    <n v="48.776997000000001"/>
    <n v="-116.805756"/>
    <x v="0"/>
    <x v="1"/>
    <x v="13"/>
    <n v="-8"/>
    <n v="1045.375"/>
    <n v="3.3081304999999999"/>
    <s v="Moderate"/>
    <n v="0.9830352"/>
    <n v="7.918640881"/>
    <n v="254.1056528"/>
    <n v="340.50155790000002"/>
    <n v="0.74626869365052029"/>
    <n v="0.19002168"/>
    <n v="0.14180723000000001"/>
    <n v="50.331269149999997"/>
    <x v="222"/>
    <n v="460.28508419999997"/>
    <n v="1779335.5249999999"/>
    <n v="2154277"/>
    <n v="104.69906"/>
    <n v="155.03032915"/>
  </r>
  <r>
    <n v="230"/>
    <x v="229"/>
    <n v="48.798225000000002"/>
    <n v="-116.64378000000001"/>
    <x v="0"/>
    <x v="1"/>
    <x v="10"/>
    <n v="-8"/>
    <n v="1762.5"/>
    <n v="3.4142725"/>
    <s v="Moderate"/>
    <n v="0.98302920000000005"/>
    <n v="8.9099999999999999E-2"/>
    <n v="2.8591785669999998"/>
    <n v="3.8313000000000001"/>
    <n v="0.74626851643045433"/>
    <n v="0.19930238"/>
    <n v="0.14873312"/>
    <n v="68.210557010000002"/>
    <x v="223"/>
    <n v="429.90172050000001"/>
    <n v="1649134.379"/>
    <n v="1903539"/>
    <n v="88.205100000000002"/>
    <n v="156.41565701000002"/>
  </r>
  <r>
    <n v="231"/>
    <x v="230"/>
    <n v="48.819293999999999"/>
    <n v="-116.48170500000001"/>
    <x v="0"/>
    <x v="1"/>
    <x v="10"/>
    <n v="-8"/>
    <n v="587.5"/>
    <n v="3.5075397000000001"/>
    <s v="Moderate"/>
    <n v="0.98293286999999996"/>
    <n v="0.13672800900000001"/>
    <n v="4.3875402729999999"/>
    <n v="5.879304372"/>
    <n v="0.74626860515939963"/>
    <n v="0.20085114000000001"/>
    <n v="0.14988892000000001"/>
    <n v="64.463418399999995"/>
    <x v="224"/>
    <n v="431.88811670000001"/>
    <n v="1654794.2279999999"/>
    <n v="1794893.5"/>
    <n v="82.529409999999999"/>
    <n v="146.99282840000001"/>
  </r>
  <r>
    <n v="232"/>
    <x v="231"/>
    <n v="48.840200000000003"/>
    <n v="-116.31950000000001"/>
    <x v="0"/>
    <x v="1"/>
    <x v="10"/>
    <n v="-8"/>
    <n v="794.6875"/>
    <n v="3.4933573999999998"/>
    <s v="Moderate"/>
    <n v="0.98355912999999995"/>
    <n v="27.405539210000001"/>
    <n v="879.43142120000005"/>
    <n v="1178.4381860000001"/>
    <n v="0.74626860504671388"/>
    <n v="0.20074876999999999"/>
    <n v="0.14981252"/>
    <n v="47.661738190000001"/>
    <x v="225"/>
    <n v="434.5854673"/>
    <n v="1665741.304"/>
    <n v="1721858.4"/>
    <n v="79.21163"/>
    <n v="126.87336819000001"/>
  </r>
  <r>
    <n v="233"/>
    <x v="232"/>
    <n v="48.860939999999999"/>
    <n v="-116.157166"/>
    <x v="0"/>
    <x v="1"/>
    <x v="10"/>
    <n v="-8"/>
    <n v="1262.3"/>
    <n v="3.4450414"/>
    <s v="Moderate"/>
    <n v="0.98361814000000003"/>
    <n v="5.983631763"/>
    <n v="192.0120507"/>
    <n v="257.29616579999998"/>
    <n v="0.74626860490899716"/>
    <n v="0.19934799"/>
    <n v="0.14876717"/>
    <n v="47.998909830000002"/>
    <x v="226"/>
    <n v="425.64613609999998"/>
    <n v="1633683.787"/>
    <n v="1797780.1"/>
    <n v="83.285445999999993"/>
    <n v="131.28435582999998"/>
  </r>
  <r>
    <n v="234"/>
    <x v="233"/>
    <n v="48.90193"/>
    <n v="-115.83215"/>
    <x v="0"/>
    <x v="2"/>
    <x v="14"/>
    <n v="-7"/>
    <n v="1282.125"/>
    <n v="3.4544703999999999"/>
    <s v="Moderate"/>
    <n v="0.98403459999999998"/>
    <n v="4.5534957819999997"/>
    <n v="146.11963069999999"/>
    <n v="195.8003186"/>
    <n v="0.7462686054076727"/>
    <n v="0.19983128"/>
    <n v="0.1491278"/>
    <n v="47.898755620000003"/>
    <x v="227"/>
    <n v="363.42442190000003"/>
    <n v="1624341.7120000001"/>
    <n v="2060951.5"/>
    <n v="95.246430000000004"/>
    <n v="143.14518562000001"/>
  </r>
  <r>
    <n v="235"/>
    <x v="234"/>
    <n v="48.922184000000001"/>
    <n v="-115.669464"/>
    <x v="0"/>
    <x v="2"/>
    <x v="14"/>
    <n v="-7"/>
    <n v="1119.2"/>
    <n v="3.4206831000000002"/>
    <s v="Moderate"/>
    <n v="0.98428093999999999"/>
    <n v="11.48061687"/>
    <n v="368.40778549999999"/>
    <n v="493.66652540000001"/>
    <n v="0.74626851638662872"/>
    <n v="0.1963165"/>
    <n v="0.14650482000000001"/>
    <n v="48.765906020000003"/>
    <x v="228"/>
    <n v="362.84714270000001"/>
    <n v="1621424.642"/>
    <n v="2106063.2000000002"/>
    <n v="99.073845000000006"/>
    <n v="147.83975101999999"/>
  </r>
  <r>
    <n v="236"/>
    <x v="235"/>
    <n v="48.942270000000001"/>
    <n v="-115.50667"/>
    <x v="0"/>
    <x v="2"/>
    <x v="14"/>
    <n v="-7"/>
    <n v="1272.555556"/>
    <n v="3.4087448"/>
    <s v="Moderate"/>
    <n v="0.98442364000000004"/>
    <n v="7.5715560789999996"/>
    <n v="242.9678275"/>
    <n v="325.57691139999997"/>
    <n v="0.74626860502860592"/>
    <n v="0.19675123999999999"/>
    <n v="0.14682929"/>
    <n v="48.663677159999999"/>
    <x v="229"/>
    <n v="362.84714270000001"/>
    <n v="1621424.642"/>
    <n v="2233348"/>
    <n v="104.82944999999999"/>
    <n v="153.49312716"/>
  </r>
  <r>
    <n v="237"/>
    <x v="236"/>
    <n v="48.962192999999999"/>
    <n v="-115.34374"/>
    <x v="0"/>
    <x v="2"/>
    <x v="14"/>
    <n v="-7"/>
    <n v="1320"/>
    <n v="3.5136926000000002"/>
    <s v="Moderate"/>
    <n v="0.98457795000000004"/>
    <n v="1.978344044"/>
    <n v="63.484170169999999"/>
    <n v="85.068793909999997"/>
    <n v="0.74626860511463433"/>
    <n v="0.20435086999999999"/>
    <n v="0.15250067"/>
    <n v="47.328741620000002"/>
    <x v="230"/>
    <n v="277.9694609"/>
    <n v="1119163.2320000001"/>
    <n v="1589206"/>
    <n v="71.820449999999994"/>
    <n v="119.14919162"/>
  </r>
  <r>
    <n v="238"/>
    <x v="237"/>
    <n v="48.981952999999997"/>
    <n v="-115.18071"/>
    <x v="0"/>
    <x v="2"/>
    <x v="14"/>
    <n v="-7"/>
    <n v="884.7"/>
    <n v="3.4827373000000001"/>
    <s v="Moderate"/>
    <n v="0.98464686000000001"/>
    <n v="27.692118239999999"/>
    <n v="888.62761330000001"/>
    <n v="1190.761084"/>
    <n v="0.74626860521417582"/>
    <n v="0.20081782000000001"/>
    <n v="0.14986403000000001"/>
    <n v="47.686733160000003"/>
    <x v="231"/>
    <n v="277.9694609"/>
    <n v="1119163.2320000001"/>
    <n v="1489046.4"/>
    <n v="68.477890000000002"/>
    <n v="116.16462316"/>
  </r>
  <r>
    <n v="239"/>
    <x v="238"/>
    <n v="47.506382000000002"/>
    <n v="-124.21818500000001"/>
    <x v="0"/>
    <x v="0"/>
    <x v="15"/>
    <n v="-8"/>
    <n v="103.36842110000001"/>
    <n v="3.137397"/>
    <s v="Moderate"/>
    <n v="1.0209222"/>
    <n v="86.021683589999995"/>
    <n v="2760.3967899999998"/>
    <n v="3698.9323949999998"/>
    <n v="0.74626851621601475"/>
    <n v="0.18311964999999999"/>
    <n v="0.13665646000000001"/>
    <n v="53.808869319999999"/>
    <x v="232"/>
    <n v="264.2096037"/>
    <n v="913839.36369999999"/>
    <n v="1193913.8"/>
    <n v="60.211905999999999"/>
    <n v="114.02077532"/>
  </r>
  <r>
    <n v="240"/>
    <x v="239"/>
    <n v="47.534953999999999"/>
    <n v="-124.06305"/>
    <x v="0"/>
    <x v="0"/>
    <x v="15"/>
    <n v="-8"/>
    <n v="259.2307692"/>
    <n v="3.0965995999999998"/>
    <s v="Moderate"/>
    <n v="1.0208117999999999"/>
    <n v="40.606597270000002"/>
    <n v="1303.0474340000001"/>
    <n v="1746.083682"/>
    <n v="0.7462686052408799"/>
    <n v="0.18070074999999999"/>
    <n v="0.13485132"/>
    <n v="54.524500510000003"/>
    <x v="233"/>
    <n v="271.5044479"/>
    <n v="949583.45409999997"/>
    <n v="1224909.8"/>
    <n v="62.602046999999999"/>
    <n v="117.12654750999999"/>
  </r>
  <r>
    <n v="241"/>
    <x v="240"/>
    <n v="47.563380000000002"/>
    <n v="-123.90774500000001"/>
    <x v="0"/>
    <x v="0"/>
    <x v="9"/>
    <n v="-8"/>
    <n v="543"/>
    <n v="3.0775046000000001"/>
    <s v="Moderate"/>
    <n v="1.0207288000000001"/>
    <n v="0.19277999400000001"/>
    <n v="6.1862225190000002"/>
    <n v="8.2895397339999999"/>
    <n v="0.74626851640832004"/>
    <n v="0.17751581999999999"/>
    <n v="0.1324745"/>
    <n v="72.419477290000003"/>
    <x v="234"/>
    <n v="271.5044479"/>
    <n v="949583.45409999997"/>
    <n v="1284885.8"/>
    <n v="66.84545"/>
    <n v="139.26492729"/>
  </r>
  <r>
    <n v="242"/>
    <x v="241"/>
    <n v="47.730716999999999"/>
    <n v="-122.97278"/>
    <x v="0"/>
    <x v="0"/>
    <x v="9"/>
    <n v="-8"/>
    <n v="258.5"/>
    <n v="3.2652192000000002"/>
    <s v="Moderate"/>
    <n v="1.0209999999999999"/>
    <n v="0.49167000599999999"/>
    <n v="15.77746926"/>
    <n v="21.141810270000001"/>
    <n v="0.74626860512451287"/>
    <n v="0.18735282"/>
    <n v="0.13981557"/>
    <n v="61.809166470000001"/>
    <x v="235"/>
    <n v="233.38327910000001"/>
    <n v="757057.31660000002"/>
    <n v="868757.8"/>
    <n v="42.823574000000001"/>
    <n v="104.63274047"/>
  </r>
  <r>
    <n v="243"/>
    <x v="242"/>
    <n v="47.785269999999997"/>
    <n v="-122.659904"/>
    <x v="0"/>
    <x v="0"/>
    <x v="11"/>
    <n v="-8"/>
    <n v="72.75"/>
    <n v="3.2487911999999999"/>
    <s v="Moderate"/>
    <n v="1.0211307999999999"/>
    <n v="21.9105791"/>
    <n v="703.10070759999996"/>
    <n v="942.15490139999997"/>
    <n v="0.74626869377341642"/>
    <n v="0.18371195000000001"/>
    <n v="0.13709847999999999"/>
    <n v="53.644070560000003"/>
    <x v="236"/>
    <n v="258.47893490000001"/>
    <n v="896033.33840000001"/>
    <n v="965831.7"/>
    <n v="48.552146999999998"/>
    <n v="102.19621756000001"/>
  </r>
  <r>
    <n v="244"/>
    <x v="243"/>
    <n v="47.812317"/>
    <n v="-122.50324000000001"/>
    <x v="0"/>
    <x v="0"/>
    <x v="11"/>
    <n v="-8"/>
    <n v="58.571428570000002"/>
    <n v="3.2643094000000001"/>
    <s v="Moderate"/>
    <n v="1.0211684000000001"/>
    <n v="16.871894600000001"/>
    <n v="541.41157020000003"/>
    <n v="725.49146800000005"/>
    <n v="0.74626869381736127"/>
    <n v="0.18417639"/>
    <n v="0.13744506000000001"/>
    <n v="53.510345999999998"/>
    <x v="237"/>
    <n v="261.50275310000001"/>
    <n v="907824.79379999998"/>
    <n v="956753.5"/>
    <n v="47.974510000000002"/>
    <n v="101.48485600000001"/>
  </r>
  <r>
    <n v="245"/>
    <x v="244"/>
    <n v="47.839207000000002"/>
    <n v="-122.346436"/>
    <x v="0"/>
    <x v="0"/>
    <x v="6"/>
    <n v="-8"/>
    <n v="112"/>
    <n v="3.2646964000000001"/>
    <s v="Moderate"/>
    <n v="1.0211579"/>
    <n v="2.3547509309999999"/>
    <n v="75.562906760000004"/>
    <n v="101.25429"/>
    <n v="0.74626869399805185"/>
    <n v="0.18466389"/>
    <n v="0.13780887"/>
    <n v="53.36865032"/>
    <x v="195"/>
    <n v="42.842837639999999"/>
    <n v="164685.70439999999"/>
    <n v="200417.89"/>
    <n v="10.023027000000001"/>
    <n v="63.391677319999999"/>
  </r>
  <r>
    <n v="246"/>
    <x v="245"/>
    <n v="47.865943999999999"/>
    <n v="-122.189476"/>
    <x v="0"/>
    <x v="0"/>
    <x v="6"/>
    <n v="-8"/>
    <n v="101.31578949999999"/>
    <n v="3.1395757"/>
    <s v="Moderate"/>
    <n v="1.0210508"/>
    <n v="10.33576216"/>
    <n v="331.66995680000002"/>
    <n v="444.4377728"/>
    <n v="0.74626860518728622"/>
    <n v="0.17665668000000001"/>
    <n v="0.13183333999999999"/>
    <n v="55.783027519999997"/>
    <x v="238"/>
    <n v="43.11658439"/>
    <n v="165188.87849999999"/>
    <n v="195999.6"/>
    <n v="10.246358000000001"/>
    <n v="66.029385520000005"/>
  </r>
  <r>
    <n v="247"/>
    <x v="246"/>
    <n v="47.892524999999999"/>
    <n v="-122.03237"/>
    <x v="0"/>
    <x v="0"/>
    <x v="6"/>
    <n v="-8"/>
    <n v="72.833333330000002"/>
    <n v="3.0837843"/>
    <s v="Moderate"/>
    <n v="1.0208695999999999"/>
    <n v="16.328464889999999"/>
    <n v="523.97315319999996"/>
    <n v="702.12399040000003"/>
    <n v="0.74626869379793226"/>
    <n v="0.17229758000000001"/>
    <n v="0.12858029000000001"/>
    <n v="57.186308050000001"/>
    <x v="239"/>
    <n v="56.600688269999999"/>
    <n v="209499.76759999999"/>
    <n v="255987.73"/>
    <n v="13.720957"/>
    <n v="70.907265050000007"/>
  </r>
  <r>
    <n v="248"/>
    <x v="247"/>
    <n v="47.918953000000002"/>
    <n v="-121.87512"/>
    <x v="0"/>
    <x v="0"/>
    <x v="6"/>
    <n v="-8"/>
    <n v="179.1052632"/>
    <n v="3.0043085"/>
    <s v="Moderate"/>
    <n v="1.0201775"/>
    <n v="35.04432568"/>
    <n v="1124.556642"/>
    <n v="1506.9060039999999"/>
    <n v="0.74626860535091477"/>
    <n v="0.1689174"/>
    <n v="0.12605777000000001"/>
    <n v="58.299331600000002"/>
    <x v="240"/>
    <n v="73.381259679999999"/>
    <n v="268374.27710000001"/>
    <n v="315888.56"/>
    <n v="17.27046"/>
    <n v="75.569791600000002"/>
  </r>
  <r>
    <n v="249"/>
    <x v="248"/>
    <n v="47.945230000000002"/>
    <n v="-121.71773"/>
    <x v="0"/>
    <x v="0"/>
    <x v="6"/>
    <n v="-8"/>
    <n v="445.06666669999998"/>
    <n v="2.9290853000000001"/>
    <s v="Low"/>
    <n v="1.0196517"/>
    <n v="17.176536469999999"/>
    <n v="551.18726079999999"/>
    <n v="738.59106840000004"/>
    <n v="0.74626851634427371"/>
    <n v="0.16557546000000001"/>
    <n v="0.12356378"/>
    <n v="59.451782600000001"/>
    <x v="241"/>
    <n v="102.43865580000001"/>
    <n v="380717.73609999998"/>
    <n v="500460.06"/>
    <n v="27.913729"/>
    <n v="87.365511600000005"/>
  </r>
  <r>
    <n v="250"/>
    <x v="249"/>
    <n v="47.971339999999998"/>
    <n v="-121.56018"/>
    <x v="0"/>
    <x v="0"/>
    <x v="6"/>
    <n v="-8"/>
    <n v="676"/>
    <n v="2.9312157999999999"/>
    <s v="Low"/>
    <n v="1.0188075000000001"/>
    <n v="4.5036E-2"/>
    <n v="1.445185132"/>
    <n v="1.9365479800000001"/>
    <n v="0.74626869405012108"/>
    <n v="0.16660456000000001"/>
    <n v="0.12433176999999999"/>
    <n v="91.018246719999993"/>
    <x v="242"/>
    <n v="102.655935"/>
    <n v="381328.73129999998"/>
    <n v="585719.80000000005"/>
    <n v="32.467391999999997"/>
    <n v="123.48563872"/>
  </r>
  <r>
    <n v="251"/>
    <x v="250"/>
    <n v="48.199359999999999"/>
    <n v="-120.13585999999999"/>
    <x v="0"/>
    <x v="0"/>
    <x v="3"/>
    <n v="-8"/>
    <n v="735.41666669999995"/>
    <n v="3.8261229999999999"/>
    <s v="Moderate"/>
    <n v="1.0050056999999999"/>
    <n v="2.732129901"/>
    <n v="87.67281912"/>
    <n v="117.4815857"/>
    <n v="0.74626860539557738"/>
    <n v="0.22852428"/>
    <n v="0.17054050000000001"/>
    <n v="42.585728889999999"/>
    <x v="243"/>
    <n v="224.81144140000001"/>
    <n v="717372.23459999997"/>
    <n v="842894.25"/>
    <n v="34.063175000000001"/>
    <n v="76.64890389"/>
  </r>
  <r>
    <n v="252"/>
    <x v="251"/>
    <n v="48.223906999999997"/>
    <n v="-119.97689"/>
    <x v="0"/>
    <x v="0"/>
    <x v="3"/>
    <n v="-8"/>
    <n v="933.94736839999996"/>
    <n v="3.9335450000000001"/>
    <s v="Moderate"/>
    <n v="1.003012"/>
    <n v="14.361381079999999"/>
    <n v="460.8502565"/>
    <n v="617.53938640000001"/>
    <n v="0.74626860512746718"/>
    <n v="0.23903986999999999"/>
    <n v="0.17838794999999999"/>
    <n v="40.648620870000002"/>
    <x v="244"/>
    <n v="224.81144140000001"/>
    <n v="717372.23459999997"/>
    <n v="860277.4"/>
    <n v="33.236289999999997"/>
    <n v="73.884910869999999"/>
  </r>
  <r>
    <n v="253"/>
    <x v="252"/>
    <n v="48.2483"/>
    <n v="-119.817795"/>
    <x v="0"/>
    <x v="0"/>
    <x v="3"/>
    <n v="-8"/>
    <n v="767.1875"/>
    <n v="3.8850737"/>
    <s v="Moderate"/>
    <n v="1.0011823"/>
    <n v="29.270645290000001"/>
    <n v="939.281836"/>
    <n v="1258.637747"/>
    <n v="0.74626860527487426"/>
    <n v="0.23446914999999999"/>
    <n v="0.17497699"/>
    <n v="41.381404500000002"/>
    <x v="245"/>
    <n v="194.0142596"/>
    <n v="566113.16949999996"/>
    <n v="655484.93999999994"/>
    <n v="25.81793"/>
    <n v="67.199334500000006"/>
  </r>
  <r>
    <n v="254"/>
    <x v="253"/>
    <n v="48.272533000000003"/>
    <n v="-119.658554"/>
    <x v="0"/>
    <x v="0"/>
    <x v="3"/>
    <n v="-8"/>
    <n v="530.70000000000005"/>
    <n v="3.8914008"/>
    <s v="Moderate"/>
    <n v="0.99896810000000003"/>
    <n v="25.587737839999999"/>
    <n v="821.09899329999996"/>
    <n v="1100.272727"/>
    <n v="0.74626860518373994"/>
    <n v="0.23399102999999999"/>
    <n v="0.17462015"/>
    <n v="41.39368005"/>
    <x v="23"/>
    <n v="192.89698039999999"/>
    <n v="557336.40749999997"/>
    <n v="616871"/>
    <n v="24.346668000000001"/>
    <n v="65.740348049999994"/>
  </r>
  <r>
    <n v="255"/>
    <x v="254"/>
    <n v="48.296607999999999"/>
    <n v="-119.49919"/>
    <x v="0"/>
    <x v="0"/>
    <x v="3"/>
    <n v="-8"/>
    <n v="730.25"/>
    <n v="3.9143238"/>
    <s v="Moderate"/>
    <n v="0.997035"/>
    <n v="37.484937160000001"/>
    <n v="1202.8747659999999"/>
    <n v="1611.852298"/>
    <n v="0.7462686050654499"/>
    <n v="0.23726612"/>
    <n v="0.17706427"/>
    <n v="40.760060230000001"/>
    <x v="246"/>
    <n v="168.40729210000001"/>
    <n v="471124.74160000001"/>
    <n v="515778"/>
    <n v="20.075737"/>
    <n v="60.835797229999997"/>
  </r>
  <r>
    <n v="256"/>
    <x v="255"/>
    <n v="48.320526000000001"/>
    <n v="-119.339676"/>
    <x v="0"/>
    <x v="0"/>
    <x v="3"/>
    <n v="-8"/>
    <n v="749.375"/>
    <n v="3.8551017999999999"/>
    <s v="Moderate"/>
    <n v="0.99492420000000004"/>
    <n v="19.883231760000001"/>
    <n v="638.04388429999995"/>
    <n v="854.97896579999997"/>
    <n v="0.74626851632891944"/>
    <n v="0.23215807999999999"/>
    <n v="0.17325227000000001"/>
    <n v="41.587434739999999"/>
    <x v="247"/>
    <n v="168.71457129999999"/>
    <n v="471766.49190000002"/>
    <n v="601425.06000000006"/>
    <n v="23.924458000000001"/>
    <n v="65.511892740000008"/>
  </r>
  <r>
    <n v="257"/>
    <x v="256"/>
    <n v="48.344284000000002"/>
    <n v="-119.18004000000001"/>
    <x v="0"/>
    <x v="0"/>
    <x v="3"/>
    <n v="-8"/>
    <n v="1053.055556"/>
    <n v="3.7957535"/>
    <s v="Moderate"/>
    <n v="0.99324614"/>
    <n v="31.626042630000001"/>
    <n v="1014.865597"/>
    <n v="1359.9198329999999"/>
    <n v="0.74626869347231595"/>
    <n v="0.22918218000000001"/>
    <n v="0.17103148000000001"/>
    <n v="42.071499780000003"/>
    <x v="248"/>
    <n v="186.63316219999999"/>
    <n v="527671.37029999995"/>
    <n v="694828.06"/>
    <n v="27.998895999999998"/>
    <n v="70.070395779999998"/>
  </r>
  <r>
    <n v="258"/>
    <x v="257"/>
    <n v="48.36788"/>
    <n v="-119.02025999999999"/>
    <x v="0"/>
    <x v="0"/>
    <x v="3"/>
    <n v="-8"/>
    <n v="1154.25"/>
    <n v="3.6917224000000002"/>
    <s v="Moderate"/>
    <n v="0.99145925000000001"/>
    <n v="10.918313530000001"/>
    <n v="350.36380960000002"/>
    <n v="469.48748160000002"/>
    <n v="0.74626869369545301"/>
    <n v="0.22125347000000001"/>
    <n v="0.16511454"/>
    <n v="43.517445729999999"/>
    <x v="249"/>
    <n v="138.28488300000001"/>
    <n v="390752.50829999999"/>
    <n v="613840.43999999994"/>
    <n v="25.62181"/>
    <n v="69.139255730000002"/>
  </r>
  <r>
    <n v="259"/>
    <x v="258"/>
    <n v="48.391323"/>
    <n v="-118.86035"/>
    <x v="0"/>
    <x v="0"/>
    <x v="3"/>
    <n v="-8"/>
    <n v="1054.1578950000001"/>
    <n v="3.6672099"/>
    <s v="Moderate"/>
    <n v="0.9896952"/>
    <n v="15.76616353"/>
    <n v="505.92909300000002"/>
    <n v="677.94503159999999"/>
    <n v="0.74626860500175107"/>
    <n v="0.21710446"/>
    <n v="0.16201826999999999"/>
    <n v="44.287024600000002"/>
    <x v="250"/>
    <n v="138.28488300000001"/>
    <n v="390752.50829999999"/>
    <n v="620238.1"/>
    <n v="26.383602"/>
    <n v="70.670626600000006"/>
  </r>
  <r>
    <n v="260"/>
    <x v="259"/>
    <n v="48.414603999999997"/>
    <n v="-118.70031"/>
    <x v="0"/>
    <x v="0"/>
    <x v="5"/>
    <n v="-8"/>
    <n v="1041.75"/>
    <n v="3.6814103"/>
    <s v="Moderate"/>
    <n v="0.98818773000000004"/>
    <n v="12.904110790000001"/>
    <n v="414.08705939999999"/>
    <n v="554.87676399999998"/>
    <n v="0.74626851630067537"/>
    <n v="0.21717885000000001"/>
    <n v="0.16207374999999999"/>
    <n v="44.218837720000003"/>
    <x v="251"/>
    <n v="202.58700640000001"/>
    <n v="848622.83259999997"/>
    <n v="1141578.1000000001"/>
    <n v="48.543663000000002"/>
    <n v="92.762500720000006"/>
  </r>
  <r>
    <n v="261"/>
    <x v="260"/>
    <n v="48.437730000000002"/>
    <n v="-118.54013"/>
    <x v="0"/>
    <x v="0"/>
    <x v="5"/>
    <n v="-8"/>
    <n v="1351.666667"/>
    <n v="3.6899145"/>
    <s v="Moderate"/>
    <n v="0.98722390000000004"/>
    <n v="7.5683158810000002"/>
    <n v="242.86385100000001"/>
    <n v="325.4375829"/>
    <n v="0.74626860498354575"/>
    <n v="0.21931954000000001"/>
    <n v="0.16367128"/>
    <n v="43.75365858"/>
    <x v="252"/>
    <n v="196.21135050000001"/>
    <n v="806904.47889999999"/>
    <n v="1046515.6"/>
    <n v="44.066929999999999"/>
    <n v="87.820588579999992"/>
  </r>
  <r>
    <n v="262"/>
    <x v="261"/>
    <n v="48.460686000000003"/>
    <n v="-118.37982"/>
    <x v="0"/>
    <x v="0"/>
    <x v="5"/>
    <n v="-8"/>
    <n v="1089.3125"/>
    <n v="3.5966523000000001"/>
    <s v="Moderate"/>
    <n v="0.98583489999999996"/>
    <n v="3.7593719600000002"/>
    <n v="120.6365546"/>
    <n v="161.65299429999999"/>
    <n v="0.74626860530723871"/>
    <n v="0.21116608000000001"/>
    <n v="0.15758662000000001"/>
    <n v="45.39280411"/>
    <x v="253"/>
    <n v="169.93710379999999"/>
    <n v="648913.40150000004"/>
    <n v="877750.56"/>
    <n v="38.387630000000001"/>
    <n v="83.780434110000002"/>
  </r>
  <r>
    <n v="263"/>
    <x v="262"/>
    <n v="48.483490000000003"/>
    <n v="-118.21938"/>
    <x v="0"/>
    <x v="0"/>
    <x v="5"/>
    <n v="-8"/>
    <n v="691.33333330000005"/>
    <n v="3.6156678000000002"/>
    <s v="Moderate"/>
    <n v="0.98503333000000004"/>
    <n v="10.82483921"/>
    <n v="347.3642605"/>
    <n v="465.46808600000003"/>
    <n v="0.74626869370373972"/>
    <n v="0.20929737000000001"/>
    <n v="0.1561921"/>
    <n v="45.768836919999998"/>
    <x v="254"/>
    <n v="169.93710379999999"/>
    <n v="648913.40150000004"/>
    <n v="780206.75"/>
    <n v="34.426299999999998"/>
    <n v="80.195136919999996"/>
  </r>
  <r>
    <n v="264"/>
    <x v="263"/>
    <n v="48.506129999999999"/>
    <n v="-118.058815"/>
    <x v="0"/>
    <x v="0"/>
    <x v="7"/>
    <n v="-8"/>
    <n v="828.17647060000002"/>
    <n v="3.6414637999999999"/>
    <s v="Moderate"/>
    <n v="0.98433599999999999"/>
    <n v="7.476947644"/>
    <n v="239.93191390000001"/>
    <n v="321.50874870000001"/>
    <n v="0.74626869368298465"/>
    <n v="0.21206504000000001"/>
    <n v="0.15825744999999999"/>
    <n v="45.146396469999999"/>
    <x v="255"/>
    <n v="154.87932459999999"/>
    <n v="569639.41350000002"/>
    <n v="692604.6"/>
    <n v="30.162040000000001"/>
    <n v="75.308436470000004"/>
  </r>
  <r>
    <n v="265"/>
    <x v="264"/>
    <n v="48.52861"/>
    <n v="-117.89812000000001"/>
    <x v="0"/>
    <x v="0"/>
    <x v="7"/>
    <n v="-8"/>
    <n v="654.75"/>
    <n v="3.6006231"/>
    <s v="Moderate"/>
    <n v="0.9838112"/>
    <n v="15.989236849999999"/>
    <n v="513.08747670000002"/>
    <n v="687.53718470000001"/>
    <n v="0.74626869370546212"/>
    <n v="0.20717114"/>
    <n v="0.15460531"/>
    <n v="46.193501570000002"/>
    <x v="256"/>
    <n v="137.8415454"/>
    <n v="493211.57860000001"/>
    <n v="521803.56"/>
    <n v="23.260667999999999"/>
    <n v="69.454169570000005"/>
  </r>
  <r>
    <n v="266"/>
    <x v="265"/>
    <n v="48.550933999999998"/>
    <n v="-117.73729"/>
    <x v="0"/>
    <x v="0"/>
    <x v="7"/>
    <n v="-8"/>
    <n v="897.47058819999995"/>
    <n v="3.5821575999999999"/>
    <s v="Moderate"/>
    <n v="0.98346800000000001"/>
    <n v="16.224785489999999"/>
    <n v="520.64612729999999"/>
    <n v="697.66577589999997"/>
    <n v="0.7462686938145392"/>
    <n v="0.20754425000000001"/>
    <n v="0.15488378999999999"/>
    <n v="46.097829730000001"/>
    <x v="257"/>
    <n v="141.8425714"/>
    <n v="509021.87650000001"/>
    <n v="617347.1"/>
    <n v="27.470283999999999"/>
    <n v="73.568113729999993"/>
  </r>
  <r>
    <n v="267"/>
    <x v="266"/>
    <n v="48.573090000000001"/>
    <n v="-117.57634"/>
    <x v="0"/>
    <x v="0"/>
    <x v="7"/>
    <n v="-8"/>
    <n v="1133.083333"/>
    <n v="3.5261705000000001"/>
    <s v="Moderate"/>
    <n v="0.98341392999999999"/>
    <n v="7.1278378419999999"/>
    <n v="228.7291089"/>
    <n v="306.49702719999999"/>
    <n v="0.74626860491780977"/>
    <n v="0.20512148999999999"/>
    <n v="0.15307575000000001"/>
    <n v="46.640290700000001"/>
    <x v="258"/>
    <n v="151.9929285"/>
    <n v="560823.73640000005"/>
    <n v="776880.6"/>
    <n v="34.977400000000003"/>
    <n v="81.617690699999997"/>
  </r>
  <r>
    <n v="268"/>
    <x v="267"/>
    <n v="48.595089999999999"/>
    <n v="-117.41527000000001"/>
    <x v="0"/>
    <x v="0"/>
    <x v="8"/>
    <n v="-8"/>
    <n v="1001.294118"/>
    <n v="3.435908"/>
    <s v="Moderate"/>
    <n v="0.98323923000000002"/>
    <n v="6.8307303959999999"/>
    <n v="219.1950386"/>
    <n v="293.721407"/>
    <n v="0.74626851627467528"/>
    <n v="0.1980497"/>
    <n v="0.14779828"/>
    <n v="48.298939869999998"/>
    <x v="259"/>
    <n v="138.40183110000001"/>
    <n v="539385.06559999997"/>
    <n v="657453.80000000005"/>
    <n v="30.657412000000001"/>
    <n v="78.956351869999992"/>
  </r>
  <r>
    <n v="269"/>
    <x v="268"/>
    <n v="48.616923999999997"/>
    <n v="-117.25406"/>
    <x v="0"/>
    <x v="0"/>
    <x v="8"/>
    <n v="-8"/>
    <n v="1005.875"/>
    <n v="3.4420297"/>
    <s v="Moderate"/>
    <n v="0.98327774000000001"/>
    <n v="17.496241260000001"/>
    <n v="561.44657580000001"/>
    <n v="752.33837419999998"/>
    <n v="0.74626869378690808"/>
    <n v="0.19822632000000001"/>
    <n v="0.14793012"/>
    <n v="48.257398709999997"/>
    <x v="260"/>
    <n v="157.87865579999999"/>
    <n v="613296.04399999999"/>
    <n v="759820.4"/>
    <n v="35.399250000000002"/>
    <n v="83.656648709999999"/>
  </r>
  <r>
    <n v="270"/>
    <x v="269"/>
    <n v="48.638599999999997"/>
    <n v="-117.09273"/>
    <x v="0"/>
    <x v="0"/>
    <x v="8"/>
    <n v="-8"/>
    <n v="1120.5714290000001"/>
    <n v="3.3634498000000002"/>
    <s v="Moderate"/>
    <n v="0.98322030000000005"/>
    <n v="10.681956080000001"/>
    <n v="342.77916390000001"/>
    <n v="459.32411139999999"/>
    <n v="0.74626860509286996"/>
    <n v="0.19406126000000001"/>
    <n v="0.14482184000000001"/>
    <n v="49.29085997"/>
    <x v="261"/>
    <n v="157.87865579999999"/>
    <n v="613296.04399999999"/>
    <n v="858525.6"/>
    <n v="40.856276999999999"/>
    <n v="90.147136969999991"/>
  </r>
  <r>
    <n v="271"/>
    <x v="270"/>
    <n v="48.660114"/>
    <n v="-116.931274"/>
    <x v="0"/>
    <x v="1"/>
    <x v="13"/>
    <n v="-8"/>
    <n v="916.88888889999998"/>
    <n v="3.3384311000000002"/>
    <s v="Moderate"/>
    <n v="0.98232399999999997"/>
    <n v="17.253486469999999"/>
    <n v="553.65661720000003"/>
    <n v="741.89991840000005"/>
    <n v="0.74626860506202741"/>
    <n v="0.19182030999999999"/>
    <n v="0.14314948"/>
    <n v="49.831018819999997"/>
    <x v="262"/>
    <n v="369.06088940000001"/>
    <n v="1404253.102"/>
    <n v="1928386.9"/>
    <n v="92.841896000000006"/>
    <n v="142.67291482000002"/>
  </r>
  <r>
    <n v="272"/>
    <x v="271"/>
    <n v="48.681465000000003"/>
    <n v="-116.7697"/>
    <x v="0"/>
    <x v="1"/>
    <x v="13"/>
    <n v="-8"/>
    <n v="1212.75"/>
    <n v="3.3991516000000002"/>
    <s v="Moderate"/>
    <n v="0.98251080000000002"/>
    <n v="4.2724256839999999"/>
    <n v="137.1002177"/>
    <n v="183.7143044"/>
    <n v="0.74626860520067373"/>
    <n v="0.19565088999999999"/>
    <n v="0.1460081"/>
    <n v="48.862695950000003"/>
    <x v="263"/>
    <n v="381.86227250000002"/>
    <n v="1456689.61"/>
    <n v="1787034.6"/>
    <n v="84.352029999999999"/>
    <n v="133.21472595"/>
  </r>
  <r>
    <n v="273"/>
    <x v="272"/>
    <n v="48.702655999999998"/>
    <n v="-116.608"/>
    <x v="0"/>
    <x v="1"/>
    <x v="10"/>
    <n v="-8"/>
    <n v="1717.166667"/>
    <n v="3.4440005"/>
    <s v="Moderate"/>
    <n v="0.98268246999999997"/>
    <n v="2.8813320099999999"/>
    <n v="92.460647649999999"/>
    <n v="123.8972764"/>
    <n v="0.74626860522335103"/>
    <n v="0.20113929999999999"/>
    <n v="0.15010396000000001"/>
    <n v="47.535906619999999"/>
    <x v="264"/>
    <n v="396.70012320000001"/>
    <n v="1520048.6880000001"/>
    <n v="1762440.9"/>
    <n v="80.921149999999997"/>
    <n v="128.45705662"/>
  </r>
  <r>
    <n v="274"/>
    <x v="273"/>
    <n v="48.723680000000002"/>
    <n v="-116.44618"/>
    <x v="0"/>
    <x v="1"/>
    <x v="10"/>
    <n v="-8"/>
    <n v="716.5"/>
    <n v="3.530341"/>
    <s v="Moderate"/>
    <n v="0.98281099999999999"/>
    <n v="3.0243782870000002"/>
    <n v="97.050938310000006"/>
    <n v="130.04826629999999"/>
    <n v="0.74626860527397909"/>
    <n v="0.20196710000000001"/>
    <n v="0.15072173"/>
    <n v="47.34592507"/>
    <x v="265"/>
    <n v="396.70012320000001"/>
    <n v="1520048.6880000001"/>
    <n v="1640894.5"/>
    <n v="75.031639999999996"/>
    <n v="122.37756507"/>
  </r>
  <r>
    <n v="275"/>
    <x v="274"/>
    <n v="48.744545000000002"/>
    <n v="-116.28422999999999"/>
    <x v="0"/>
    <x v="1"/>
    <x v="10"/>
    <n v="-8"/>
    <n v="770.68421049999995"/>
    <n v="3.5675929000000002"/>
    <s v="Moderate"/>
    <n v="0.98318094"/>
    <n v="29.345081839999999"/>
    <n v="941.67058329999998"/>
    <n v="1261.8385189999999"/>
    <n v="0.74626869375193006"/>
    <n v="0.20588650999999999"/>
    <n v="0.15364665"/>
    <n v="46.458348530000002"/>
    <x v="266"/>
    <n v="420.30150630000003"/>
    <n v="1615418.8859999999"/>
    <n v="1655057.8"/>
    <n v="74.238590000000002"/>
    <n v="120.69693853000001"/>
  </r>
  <r>
    <n v="276"/>
    <x v="275"/>
    <n v="48.765247000000002"/>
    <n v="-116.12217"/>
    <x v="0"/>
    <x v="1"/>
    <x v="10"/>
    <n v="-8"/>
    <n v="1028.0769230000001"/>
    <n v="3.5063917999999998"/>
    <s v="Moderate"/>
    <n v="0.98341714999999996"/>
    <n v="13.131396280000001"/>
    <n v="421.38059759999999"/>
    <n v="564.65003990000002"/>
    <n v="0.74626860501883052"/>
    <n v="0.20221781999999999"/>
    <n v="0.15090882999999999"/>
    <n v="47.310122409999998"/>
    <x v="267"/>
    <n v="411.35577899999998"/>
    <n v="1587885.17"/>
    <n v="1699752"/>
    <n v="77.626594999999995"/>
    <n v="124.93671741"/>
  </r>
  <r>
    <n v="277"/>
    <x v="276"/>
    <n v="48.785789999999999"/>
    <n v="-115.95998400000001"/>
    <x v="0"/>
    <x v="2"/>
    <x v="14"/>
    <n v="-7"/>
    <n v="1235.5"/>
    <n v="3.4158460000000002"/>
    <s v="Moderate"/>
    <n v="0.98362433999999999"/>
    <n v="1.2159719600000001"/>
    <n v="39.019993049999997"/>
    <n v="52.286794299999997"/>
    <n v="0.74626860514950333"/>
    <n v="0.19759919000000001"/>
    <n v="0.14746208"/>
    <n v="51.514053769999997"/>
    <x v="268"/>
    <n v="362.84714270000001"/>
    <n v="1621424.642"/>
    <n v="1870790.9"/>
    <n v="87.434839999999994"/>
    <n v="138.94889376999998"/>
  </r>
  <r>
    <n v="278"/>
    <x v="277"/>
    <n v="48.806164000000003"/>
    <n v="-115.79768"/>
    <x v="0"/>
    <x v="2"/>
    <x v="14"/>
    <n v="-7"/>
    <n v="1137.2"/>
    <n v="3.4454129999999998"/>
    <s v="Moderate"/>
    <n v="0.98385739999999999"/>
    <n v="7.8242761779999999"/>
    <n v="251.07750179999999"/>
    <n v="336.44387569999998"/>
    <n v="0.74626860506113235"/>
    <n v="0.19852275"/>
    <n v="0.14815128"/>
    <n v="48.207654089999998"/>
    <x v="269"/>
    <n v="362.84714270000001"/>
    <n v="1621424.642"/>
    <n v="1963277.2"/>
    <n v="91.330489999999998"/>
    <n v="139.53814409"/>
  </r>
  <r>
    <n v="279"/>
    <x v="278"/>
    <n v="48.826377999999998"/>
    <n v="-115.63527000000001"/>
    <x v="0"/>
    <x v="2"/>
    <x v="14"/>
    <n v="-7"/>
    <n v="1134.6153850000001"/>
    <n v="3.446053"/>
    <s v="Moderate"/>
    <n v="0.98403954999999999"/>
    <n v="20.011212159999999"/>
    <n v="642.15079349999996"/>
    <n v="860.48212279999996"/>
    <n v="0.74626860510529602"/>
    <n v="0.19777819999999999"/>
    <n v="0.14759567000000001"/>
    <n v="48.396159300000001"/>
    <x v="270"/>
    <n v="362.84714270000001"/>
    <n v="1621424.642"/>
    <n v="2061815.8"/>
    <n v="96.275509999999997"/>
    <n v="144.67166929999999"/>
  </r>
  <r>
    <n v="280"/>
    <x v="279"/>
    <n v="48.866314000000003"/>
    <n v="-115.310074"/>
    <x v="0"/>
    <x v="2"/>
    <x v="14"/>
    <n v="-7"/>
    <n v="1105.142857"/>
    <n v="3.5295253"/>
    <s v="Moderate"/>
    <n v="0.98442525000000003"/>
    <n v="1.4418"/>
    <n v="46.26671872"/>
    <n v="61.997399999999999"/>
    <n v="0.74626869384845174"/>
    <n v="0.20501019000000001"/>
    <n v="0.15299267999999999"/>
    <n v="48.785677380000003"/>
    <x v="271"/>
    <n v="277.9694609"/>
    <n v="1119163.2320000001"/>
    <n v="1516628.2"/>
    <n v="68.320040000000006"/>
    <n v="117.10571738000002"/>
  </r>
  <r>
    <n v="281"/>
    <x v="280"/>
    <n v="48.886035999999997"/>
    <n v="-115.14731"/>
    <x v="0"/>
    <x v="2"/>
    <x v="14"/>
    <n v="-7"/>
    <n v="900.125"/>
    <n v="3.4964602"/>
    <s v="Moderate"/>
    <n v="0.98450612999999998"/>
    <n v="35.028287839999997"/>
    <n v="1124.042128"/>
    <n v="1506.216377"/>
    <n v="0.74626869363803239"/>
    <n v="0.20114388999999999"/>
    <n v="0.15010738000000001"/>
    <n v="47.60408073"/>
    <x v="272"/>
    <n v="277.9694609"/>
    <n v="1119163.2320000001"/>
    <n v="1364227.1"/>
    <n v="62.636029999999998"/>
    <n v="110.24011073"/>
  </r>
  <r>
    <n v="282"/>
    <x v="281"/>
    <n v="48.905594000000001"/>
    <n v="-114.98442"/>
    <x v="0"/>
    <x v="2"/>
    <x v="14"/>
    <n v="-7"/>
    <n v="957.61538459999997"/>
    <n v="3.4009309999999999"/>
    <s v="Moderate"/>
    <n v="0.98458754999999998"/>
    <n v="31.55687227"/>
    <n v="1012.645831"/>
    <n v="1356.9455069999999"/>
    <n v="0.74626860531695627"/>
    <n v="0.19430184"/>
    <n v="0.1450014"/>
    <n v="49.283576029999999"/>
    <x v="273"/>
    <n v="277.9694609"/>
    <n v="1119163.2320000001"/>
    <n v="1341051"/>
    <n v="63.740110000000001"/>
    <n v="113.02368602999999"/>
  </r>
  <r>
    <n v="283"/>
    <x v="282"/>
    <n v="48.963284000000002"/>
    <n v="-114.49509399999999"/>
    <x v="0"/>
    <x v="2"/>
    <x v="16"/>
    <n v="-7"/>
    <n v="1303.7142859999999"/>
    <n v="3.4184348999999998"/>
    <s v="Moderate"/>
    <n v="0.98147989999999996"/>
    <n v="9.3234243160000005"/>
    <n v="299.18449090000001"/>
    <n v="400.90724560000001"/>
    <n v="0.74626860497928604"/>
    <n v="0.19772582999999999"/>
    <n v="0.14755662"/>
    <n v="48.310074610000001"/>
    <x v="274"/>
    <n v="271.89468820000002"/>
    <n v="1084734.3330000001"/>
    <n v="1547393.1"/>
    <n v="72.273929999999993"/>
    <n v="120.58400460999999"/>
  </r>
  <r>
    <n v="284"/>
    <x v="283"/>
    <n v="48.98218"/>
    <n v="-114.33176"/>
    <x v="0"/>
    <x v="2"/>
    <x v="16"/>
    <n v="-7"/>
    <n v="1214"/>
    <n v="3.4290001000000001"/>
    <s v="Moderate"/>
    <n v="0.98149746999999998"/>
    <n v="0.198935996"/>
    <n v="6.383766584"/>
    <n v="8.554247814"/>
    <n v="0.74626860511946347"/>
    <n v="0.19817673"/>
    <n v="0.14789304"/>
    <n v="62.553515769999997"/>
    <x v="275"/>
    <n v="277.75218169999999"/>
    <n v="1118451.9709999999"/>
    <n v="1578995"/>
    <n v="73.582160000000002"/>
    <n v="136.13567577000001"/>
  </r>
  <r>
    <n v="285"/>
    <x v="284"/>
    <n v="47.384307999999997"/>
    <n v="-124.32545"/>
    <x v="0"/>
    <x v="0"/>
    <x v="15"/>
    <n v="-8"/>
    <n v="65.222222220000006"/>
    <n v="3.1430972000000001"/>
    <s v="Moderate"/>
    <n v="1.0210241"/>
    <n v="24.425389819999999"/>
    <n v="783.79967509999994"/>
    <n v="1050.2917620000001"/>
    <n v="0.7462685164810422"/>
    <n v="0.18156320000000001"/>
    <n v="0.13549493000000001"/>
    <n v="54.274426900000002"/>
    <x v="276"/>
    <n v="264.2096037"/>
    <n v="913839.36369999999"/>
    <n v="1055638.8"/>
    <n v="53.694760000000002"/>
    <n v="107.96918690000001"/>
  </r>
  <r>
    <n v="286"/>
    <x v="285"/>
    <n v="47.412982999999997"/>
    <n v="-124.1707"/>
    <x v="0"/>
    <x v="0"/>
    <x v="15"/>
    <n v="-8"/>
    <n v="101.8421053"/>
    <n v="3.1355754999999998"/>
    <s v="Moderate"/>
    <n v="1.0208934999999999"/>
    <n v="83.306878420000004"/>
    <n v="2673.2802419999998"/>
    <n v="3582.195772"/>
    <n v="0.74626860510961479"/>
    <n v="0.18301075999999999"/>
    <n v="0.13657519000000001"/>
    <n v="53.839690150000003"/>
    <x v="277"/>
    <n v="264.2096037"/>
    <n v="913839.36369999999"/>
    <n v="1105731.2"/>
    <n v="55.797840000000001"/>
    <n v="109.63753015"/>
  </r>
  <r>
    <n v="287"/>
    <x v="286"/>
    <n v="47.441510000000001"/>
    <n v="-124.01578499999999"/>
    <x v="0"/>
    <x v="0"/>
    <x v="15"/>
    <n v="-8"/>
    <n v="185.94444440000001"/>
    <n v="3.0915678"/>
    <s v="Moderate"/>
    <n v="1.0207915999999999"/>
    <n v="80.915519529999997"/>
    <n v="2596.5423030000002"/>
    <n v="3479.3673399999998"/>
    <n v="0.74626851644816561"/>
    <n v="0.17797325999999999"/>
    <n v="0.13281583999999999"/>
    <n v="55.359243030000002"/>
    <x v="278"/>
    <n v="271.5044479"/>
    <n v="949583.45409999997"/>
    <n v="1122525.8999999999"/>
    <n v="58.248669999999997"/>
    <n v="113.60791302999999"/>
  </r>
  <r>
    <n v="288"/>
    <x v="287"/>
    <n v="47.469883000000003"/>
    <n v="-123.86072"/>
    <x v="0"/>
    <x v="0"/>
    <x v="15"/>
    <n v="-8"/>
    <n v="249.8"/>
    <n v="3.0587382000000001"/>
    <s v="Moderate"/>
    <n v="1.0207337000000001"/>
    <n v="11.05504255"/>
    <n v="354.75134100000002"/>
    <n v="475.3668298"/>
    <n v="0.74626860513017645"/>
    <n v="0.17333038000000001"/>
    <n v="0.12935102000000001"/>
    <n v="56.839546370000001"/>
    <x v="279"/>
    <n v="271.5044479"/>
    <n v="949583.45409999997"/>
    <n v="1194252.1000000001"/>
    <n v="63.630558000000001"/>
    <n v="120.47010437"/>
  </r>
  <r>
    <n v="289"/>
    <x v="288"/>
    <n v="47.498108000000002"/>
    <n v="-123.705505"/>
    <x v="0"/>
    <x v="0"/>
    <x v="9"/>
    <n v="-8"/>
    <n v="231.5"/>
    <n v="3.0580728000000001"/>
    <s v="Moderate"/>
    <n v="1.0206887"/>
    <n v="3.5963996999999998E-2"/>
    <n v="1.154068605"/>
    <n v="1.5464518540000001"/>
    <n v="0.74626869372940718"/>
    <n v="0.17280729"/>
    <n v="0.12896067999999999"/>
    <n v="90.225908200000006"/>
    <x v="280"/>
    <n v="271.5044479"/>
    <n v="949583.45409999997"/>
    <n v="1302018.2"/>
    <n v="69.582404999999994"/>
    <n v="159.80831319999999"/>
  </r>
  <r>
    <n v="290"/>
    <x v="289"/>
    <n v="47.609467000000002"/>
    <n v="-123.08311500000001"/>
    <x v="0"/>
    <x v="0"/>
    <x v="17"/>
    <n v="-8"/>
    <n v="389.4"/>
    <n v="3.2340466999999999"/>
    <s v="Moderate"/>
    <n v="1.0208994"/>
    <n v="4.709664514"/>
    <n v="151.13099700000001"/>
    <n v="202.51557410000001"/>
    <n v="0.74626851624445012"/>
    <n v="0.18503627"/>
    <n v="0.13808677"/>
    <n v="53.250570930000002"/>
    <x v="281"/>
    <n v="233.38327910000001"/>
    <n v="757057.31660000002"/>
    <n v="861722.44"/>
    <n v="43.008564"/>
    <n v="96.259134930000002"/>
  </r>
  <r>
    <n v="291"/>
    <x v="290"/>
    <n v="47.636924999999998"/>
    <n v="-122.92715"/>
    <x v="0"/>
    <x v="0"/>
    <x v="11"/>
    <n v="-8"/>
    <n v="177.66666670000001"/>
    <n v="3.3196970000000001"/>
    <s v="Moderate"/>
    <n v="1.0210250000000001"/>
    <n v="6.5516037230000004"/>
    <n v="210.23804039999999"/>
    <n v="281.7189601"/>
    <n v="0.74626869389753925"/>
    <n v="0.18901760000000001"/>
    <n v="0.14105791000000001"/>
    <n v="52.134020579999998"/>
    <x v="282"/>
    <n v="233.38327910000001"/>
    <n v="757057.31660000002"/>
    <n v="796744.9"/>
    <n v="38.927943999999997"/>
    <n v="91.061964579999994"/>
  </r>
  <r>
    <n v="292"/>
    <x v="291"/>
    <n v="47.664230000000003"/>
    <n v="-122.77101999999999"/>
    <x v="0"/>
    <x v="0"/>
    <x v="11"/>
    <n v="-8"/>
    <n v="82.928571430000005"/>
    <n v="3.3189560999999999"/>
    <s v="Moderate"/>
    <n v="1.021118"/>
    <n v="19.305377050000001"/>
    <n v="619.50093609999999"/>
    <n v="830.13121320000005"/>
    <n v="0.74626869373088645"/>
    <n v="0.19009566"/>
    <n v="0.14186241999999999"/>
    <n v="51.842109149999999"/>
    <x v="283"/>
    <n v="253.35158430000001"/>
    <n v="882012.81880000001"/>
    <n v="930423.8"/>
    <n v="45.201515000000001"/>
    <n v="97.043624149999999"/>
  </r>
  <r>
    <n v="293"/>
    <x v="292"/>
    <n v="47.691383000000002"/>
    <n v="-122.614746"/>
    <x v="0"/>
    <x v="0"/>
    <x v="11"/>
    <n v="-8"/>
    <n v="67.222222220000006"/>
    <n v="3.2750762"/>
    <s v="Moderate"/>
    <n v="1.0211843"/>
    <n v="13.19190304"/>
    <n v="423.32228270000002"/>
    <n v="567.25183070000003"/>
    <n v="0.74626869370806947"/>
    <n v="0.18711660999999999"/>
    <n v="0.13963924"/>
    <n v="52.670175219999997"/>
    <x v="284"/>
    <n v="272.71017519999998"/>
    <n v="948930.1727"/>
    <n v="978026.8"/>
    <n v="48.270614999999999"/>
    <n v="100.94079022"/>
  </r>
  <r>
    <n v="294"/>
    <x v="293"/>
    <n v="47.745224"/>
    <n v="-122.30175"/>
    <x v="0"/>
    <x v="0"/>
    <x v="18"/>
    <n v="-8"/>
    <n v="85.352941180000002"/>
    <n v="3.2587804999999999"/>
    <s v="Moderate"/>
    <n v="1.0212456999999999"/>
    <n v="3.8336488219999998"/>
    <n v="123.0200803"/>
    <n v="164.84689929999999"/>
    <n v="0.74626869429991161"/>
    <n v="0.18508816"/>
    <n v="0.13812550000000001"/>
    <n v="53.249934670000002"/>
    <x v="285"/>
    <n v="24.777779209999998"/>
    <n v="97427.689029999994"/>
    <n v="140362.70000000001"/>
    <n v="7.0035379999999998"/>
    <n v="60.253472670000001"/>
  </r>
  <r>
    <n v="295"/>
    <x v="294"/>
    <n v="47.771909999999998"/>
    <n v="-122.14503499999999"/>
    <x v="0"/>
    <x v="0"/>
    <x v="18"/>
    <n v="-8"/>
    <n v="94"/>
    <n v="3.1147816000000002"/>
    <s v="Moderate"/>
    <n v="1.0211536000000001"/>
    <n v="10.94415205"/>
    <n v="351.19295640000001"/>
    <n v="470.59853820000001"/>
    <n v="0.74626869378575555"/>
    <n v="0.17546708999999999"/>
    <n v="0.1309456"/>
    <n v="56.165687290000001"/>
    <x v="286"/>
    <n v="50.412980490000002"/>
    <n v="199373.08420000001"/>
    <n v="239398.28"/>
    <n v="12.5999775"/>
    <n v="68.765664790000002"/>
  </r>
  <r>
    <n v="296"/>
    <x v="295"/>
    <n v="47.798447000000003"/>
    <n v="-121.988174"/>
    <x v="0"/>
    <x v="0"/>
    <x v="6"/>
    <n v="-8"/>
    <n v="107.85"/>
    <n v="3.0735060000000001"/>
    <s v="Moderate"/>
    <n v="1.0209599"/>
    <n v="21.308102049999999"/>
    <n v="683.76748780000003"/>
    <n v="916.24838820000002"/>
    <n v="0.74626869373629534"/>
    <n v="0.17193306999999999"/>
    <n v="0.12830828"/>
    <n v="57.311537600000001"/>
    <x v="287"/>
    <n v="55.478564900000002"/>
    <n v="224705.32180000001"/>
    <n v="262638.44"/>
    <n v="14.107279999999999"/>
    <n v="71.418817599999997"/>
  </r>
  <r>
    <n v="297"/>
    <x v="296"/>
    <n v="47.824824999999997"/>
    <n v="-121.831154"/>
    <x v="0"/>
    <x v="0"/>
    <x v="6"/>
    <n v="-8"/>
    <n v="252"/>
    <n v="3.0133238000000002"/>
    <s v="Moderate"/>
    <n v="1.0203507999999999"/>
    <n v="27.731318989999998"/>
    <n v="889.88565370000003"/>
    <n v="1192.446717"/>
    <n v="0.74626869361408965"/>
    <n v="0.16835263"/>
    <n v="0.12563630000000001"/>
    <n v="58.502779779999997"/>
    <x v="288"/>
    <n v="67.571642819999994"/>
    <n v="290313.3187"/>
    <n v="369739.2"/>
    <n v="20.282430000000002"/>
    <n v="78.785209780000002"/>
  </r>
  <r>
    <n v="298"/>
    <x v="297"/>
    <n v="47.851050000000001"/>
    <n v="-121.673996"/>
    <x v="0"/>
    <x v="0"/>
    <x v="6"/>
    <n v="-8"/>
    <n v="304.2857143"/>
    <n v="2.9274247"/>
    <s v="Low"/>
    <n v="1.0196978999999999"/>
    <n v="13.46851725"/>
    <n v="432.19870930000002"/>
    <n v="579.14624170000002"/>
    <n v="0.74626869377817806"/>
    <n v="0.16318145000000001"/>
    <n v="0.12177721399999999"/>
    <n v="60.326161069999998"/>
    <x v="289"/>
    <n v="102.43865580000001"/>
    <n v="380717.73609999998"/>
    <n v="410672.97"/>
    <n v="23.241797999999999"/>
    <n v="83.567959070000001"/>
  </r>
  <r>
    <n v="299"/>
    <x v="298"/>
    <n v="48.104725000000002"/>
    <n v="-120.09457399999999"/>
    <x v="0"/>
    <x v="0"/>
    <x v="3"/>
    <n v="-8"/>
    <n v="757.61538459999997"/>
    <n v="3.8718433000000001"/>
    <s v="Moderate"/>
    <n v="1.0047029999999999"/>
    <n v="2.7484918120000001"/>
    <n v="88.197875969999998"/>
    <n v="118.1851479"/>
    <n v="0.74626869397013296"/>
    <n v="0.23304722"/>
    <n v="0.17391585000000001"/>
    <n v="41.749303910000002"/>
    <x v="290"/>
    <n v="195.53411679999999"/>
    <n v="577044.15890000004"/>
    <n v="714389.6"/>
    <n v="28.309723000000002"/>
    <n v="70.05902691"/>
  </r>
  <r>
    <n v="300"/>
    <x v="299"/>
    <n v="48.12923"/>
    <n v="-119.93585"/>
    <x v="0"/>
    <x v="0"/>
    <x v="3"/>
    <n v="-8"/>
    <n v="733.66666669999995"/>
    <n v="3.9407093999999998"/>
    <s v="Moderate"/>
    <n v="1.0025729999999999"/>
    <n v="11.7798304"/>
    <n v="378.00945669999999"/>
    <n v="506.53270700000002"/>
    <n v="0.74626860511891879"/>
    <n v="0.23803884"/>
    <n v="0.17764091000000001"/>
    <n v="40.805473859999999"/>
    <x v="291"/>
    <n v="191.23485700000001"/>
    <n v="560226.47039999999"/>
    <n v="653322.19999999995"/>
    <n v="25.346851000000001"/>
    <n v="66.152324859999993"/>
  </r>
  <r>
    <n v="301"/>
    <x v="300"/>
    <n v="48.153576000000001"/>
    <n v="-119.77701"/>
    <x v="0"/>
    <x v="0"/>
    <x v="3"/>
    <n v="-8"/>
    <n v="567.63157890000002"/>
    <n v="3.9230209999999999"/>
    <s v="Moderate"/>
    <n v="1.0004280999999999"/>
    <n v="21.508660110000001"/>
    <n v="690.20322429999999"/>
    <n v="924.87238460000003"/>
    <n v="0.74626860504490833"/>
    <n v="0.23605385000000001"/>
    <n v="0.1761596"/>
    <n v="41.07919425"/>
    <x v="292"/>
    <n v="186.70397389999999"/>
    <n v="543984.37280000001"/>
    <n v="599223.19999999995"/>
    <n v="23.443472"/>
    <n v="64.52266625"/>
  </r>
  <r>
    <n v="302"/>
    <x v="301"/>
    <n v="48.177765000000001"/>
    <n v="-119.61803"/>
    <x v="0"/>
    <x v="0"/>
    <x v="3"/>
    <n v="-8"/>
    <n v="602.31578950000005"/>
    <n v="3.929907"/>
    <s v="Moderate"/>
    <n v="0.99824729999999995"/>
    <n v="44.608317630000002"/>
    <n v="1431.46084"/>
    <n v="1918.1576580000001"/>
    <n v="0.74626860520554761"/>
    <n v="0.23814448999999999"/>
    <n v="0.17771976"/>
    <n v="40.648615370000002"/>
    <x v="293"/>
    <n v="185.65266220000001"/>
    <n v="524066.47230000002"/>
    <n v="579264.06000000006"/>
    <n v="22.463654999999999"/>
    <n v="63.112270370000005"/>
  </r>
  <r>
    <n v="303"/>
    <x v="302"/>
    <n v="48.201796999999999"/>
    <n v="-119.45891"/>
    <x v="0"/>
    <x v="0"/>
    <x v="3"/>
    <n v="-8"/>
    <n v="764.94444439999995"/>
    <n v="3.9093955"/>
    <s v="Moderate"/>
    <n v="0.99630390000000002"/>
    <n v="57.233065430000003"/>
    <n v="1836.583097"/>
    <n v="2461.0218129999998"/>
    <n v="0.7462685163124152"/>
    <n v="0.23773174999999999"/>
    <n v="0.17741175000000001"/>
    <n v="40.656732179999999"/>
    <x v="294"/>
    <n v="156.04796089999999"/>
    <n v="438322.56630000001"/>
    <n v="506244.3"/>
    <n v="19.666060000000002"/>
    <n v="60.32279218"/>
  </r>
  <r>
    <n v="304"/>
    <x v="303"/>
    <n v="48.225670000000001"/>
    <n v="-119.299644"/>
    <x v="0"/>
    <x v="0"/>
    <x v="3"/>
    <n v="-8"/>
    <n v="710.33333330000005"/>
    <n v="3.8456073000000002"/>
    <s v="Moderate"/>
    <n v="0.99428079999999996"/>
    <n v="29.261412159999999"/>
    <n v="938.98554909999996"/>
    <n v="1258.2407229999999"/>
    <n v="0.74626860499411773"/>
    <n v="0.23194031000000001"/>
    <n v="0.17308982000000001"/>
    <n v="41.605275399999996"/>
    <x v="295"/>
    <n v="145.1877466"/>
    <n v="407296.6703"/>
    <n v="483094.53"/>
    <n v="19.23536"/>
    <n v="60.840635399999996"/>
  </r>
  <r>
    <n v="305"/>
    <x v="304"/>
    <n v="48.249386000000001"/>
    <n v="-119.14026"/>
    <x v="0"/>
    <x v="0"/>
    <x v="3"/>
    <n v="-8"/>
    <n v="934.2"/>
    <n v="3.8073098999999999"/>
    <s v="Moderate"/>
    <n v="0.99234860000000003"/>
    <n v="29.49436626"/>
    <n v="946.46094140000002"/>
    <n v="1268.2577490000001"/>
    <n v="0.74626860521551597"/>
    <n v="0.23067133000000001"/>
    <n v="0.17214277"/>
    <n v="41.770168169999998"/>
    <x v="296"/>
    <n v="145.1877466"/>
    <n v="407296.6703"/>
    <n v="548118.56000000006"/>
    <n v="21.944479000000001"/>
    <n v="63.714647169999999"/>
  </r>
  <r>
    <n v="306"/>
    <x v="305"/>
    <n v="48.272939999999998"/>
    <n v="-118.98072999999999"/>
    <x v="0"/>
    <x v="0"/>
    <x v="3"/>
    <n v="-8"/>
    <n v="850.52631580000002"/>
    <n v="3.7380477999999999"/>
    <s v="Moderate"/>
    <n v="0.99032900000000001"/>
    <n v="16.49289529"/>
    <n v="529.24965120000002"/>
    <n v="709.19449740000005"/>
    <n v="0.74626869376496663"/>
    <n v="0.22464629999999999"/>
    <n v="0.1676465"/>
    <n v="42.821774959999999"/>
    <x v="297"/>
    <n v="138.28488300000001"/>
    <n v="390752.50829999999"/>
    <n v="490256.22"/>
    <n v="20.154323999999999"/>
    <n v="62.976098960000002"/>
  </r>
  <r>
    <n v="307"/>
    <x v="306"/>
    <n v="48.296337000000001"/>
    <n v="-118.82107000000001"/>
    <x v="0"/>
    <x v="0"/>
    <x v="5"/>
    <n v="-8"/>
    <n v="951.8125"/>
    <n v="3.7274215000000002"/>
    <s v="Moderate"/>
    <n v="0.98878560000000004"/>
    <n v="13.261643919999999"/>
    <n v="425.56018590000002"/>
    <n v="570.25068859999999"/>
    <n v="0.74626860503189585"/>
    <n v="0.22339313"/>
    <n v="0.16671130000000001"/>
    <n v="43.009208530000002"/>
    <x v="298"/>
    <n v="138.28488300000001"/>
    <n v="390752.50829999999"/>
    <n v="555972.75"/>
    <n v="22.984133"/>
    <n v="65.993341530000009"/>
  </r>
  <r>
    <n v="308"/>
    <x v="307"/>
    <n v="48.319580000000002"/>
    <n v="-118.66128500000001"/>
    <x v="0"/>
    <x v="0"/>
    <x v="5"/>
    <n v="-8"/>
    <n v="971.17647060000002"/>
    <n v="3.6896615000000001"/>
    <s v="Moderate"/>
    <n v="0.98729014000000004"/>
    <n v="12.830886469999999"/>
    <n v="411.7373733"/>
    <n v="551.72811839999997"/>
    <n v="0.74626860507677184"/>
    <n v="0.21856286999999999"/>
    <n v="0.16310659999999999"/>
    <n v="43.90745235"/>
    <x v="299"/>
    <n v="145.19304539999999"/>
    <n v="450701.7818"/>
    <n v="679646.1"/>
    <n v="28.717780999999999"/>
    <n v="72.625233350000002"/>
  </r>
  <r>
    <n v="309"/>
    <x v="308"/>
    <n v="48.342655000000001"/>
    <n v="-118.50136000000001"/>
    <x v="0"/>
    <x v="0"/>
    <x v="5"/>
    <n v="-8"/>
    <n v="1297.5882349999999"/>
    <n v="3.6924538999999998"/>
    <s v="Moderate"/>
    <n v="0.98622829999999995"/>
    <n v="9.2702878420000001"/>
    <n v="297.47936540000001"/>
    <n v="398.62237720000002"/>
    <n v="0.74626860511332072"/>
    <n v="0.22034210000000001"/>
    <n v="0.16443439000000001"/>
    <n v="43.51609526"/>
    <x v="300"/>
    <n v="134.9008766"/>
    <n v="483202.20209999999"/>
    <n v="955373.6"/>
    <n v="40.042408000000002"/>
    <n v="83.558503260000009"/>
  </r>
  <r>
    <n v="310"/>
    <x v="309"/>
    <n v="48.365574000000002"/>
    <n v="-118.34130999999999"/>
    <x v="0"/>
    <x v="0"/>
    <x v="5"/>
    <n v="-8"/>
    <n v="904.375"/>
    <n v="3.6262276"/>
    <s v="Moderate"/>
    <n v="0.98471326000000003"/>
    <n v="9.5756584349999994"/>
    <n v="307.27857030000001"/>
    <n v="411.75331269999998"/>
    <n v="0.74626860506616155"/>
    <n v="0.21153707999999999"/>
    <n v="0.15786349999999999"/>
    <n v="45.272686020000002"/>
    <x v="301"/>
    <n v="134.9008766"/>
    <n v="483202.20209999999"/>
    <n v="697888.4"/>
    <n v="30.467994999999998"/>
    <n v="75.740681019999997"/>
  </r>
  <r>
    <n v="311"/>
    <x v="310"/>
    <n v="48.388331999999998"/>
    <n v="-118.18112000000001"/>
    <x v="0"/>
    <x v="0"/>
    <x v="7"/>
    <n v="-8"/>
    <n v="611.57894739999995"/>
    <n v="3.649435"/>
    <s v="Moderate"/>
    <n v="0.98402506000000001"/>
    <n v="17.32266079"/>
    <n v="555.87638990000005"/>
    <n v="744.874414"/>
    <n v="0.74626860508595749"/>
    <n v="0.21086050000000001"/>
    <n v="0.15735857"/>
    <n v="45.393024050000001"/>
    <x v="302"/>
    <n v="134.9008766"/>
    <n v="483202.20209999999"/>
    <n v="605946.9"/>
    <n v="26.538948000000001"/>
    <n v="71.931972049999999"/>
  </r>
  <r>
    <n v="312"/>
    <x v="311"/>
    <n v="48.410933999999997"/>
    <n v="-118.02081"/>
    <x v="0"/>
    <x v="0"/>
    <x v="7"/>
    <n v="-8"/>
    <n v="920.46666670000002"/>
    <n v="3.6585502999999999"/>
    <s v="Moderate"/>
    <n v="0.98330439999999997"/>
    <n v="11.70377029"/>
    <n v="375.56876670000003"/>
    <n v="503.26212240000001"/>
    <n v="0.74626869375536387"/>
    <n v="0.21327397000000001"/>
    <n v="0.15915968999999999"/>
    <n v="44.853525589999997"/>
    <x v="303"/>
    <n v="115.389422"/>
    <n v="416170.24969999999"/>
    <n v="529485.1"/>
    <n v="22.927689999999998"/>
    <n v="67.781215589999988"/>
  </r>
  <r>
    <n v="313"/>
    <x v="312"/>
    <n v="48.433371999999999"/>
    <n v="-117.86038000000001"/>
    <x v="0"/>
    <x v="0"/>
    <x v="7"/>
    <n v="-8"/>
    <n v="664"/>
    <n v="3.6167026"/>
    <s v="Moderate"/>
    <n v="0.98293319999999995"/>
    <n v="12.6036"/>
    <n v="404.44385260000001"/>
    <n v="541.95479999999998"/>
    <n v="0.7462686050571008"/>
    <n v="0.20843255999999999"/>
    <n v="0.15554667999999999"/>
    <n v="45.881763509999999"/>
    <x v="195"/>
    <n v="126.50044800000001"/>
    <n v="449189.90330000001"/>
    <n v="475548.47"/>
    <n v="21.070442"/>
    <n v="66.952205509999999"/>
  </r>
  <r>
    <n v="314"/>
    <x v="313"/>
    <n v="48.455649999999999"/>
    <n v="-117.699814"/>
    <x v="0"/>
    <x v="0"/>
    <x v="7"/>
    <n v="-8"/>
    <n v="849.2"/>
    <n v="3.5951270000000002"/>
    <s v="Moderate"/>
    <n v="0.98287517000000002"/>
    <n v="3.2294698519999998"/>
    <n v="103.63223429999999"/>
    <n v="138.86720360000001"/>
    <n v="0.74626860492206226"/>
    <n v="0.20720395"/>
    <n v="0.15462981000000001"/>
    <n v="46.151687709999997"/>
    <x v="304"/>
    <n v="135.7587532"/>
    <n v="487336.57169999997"/>
    <n v="618601"/>
    <n v="27.571283000000001"/>
    <n v="73.722970709999998"/>
  </r>
  <r>
    <n v="315"/>
    <x v="314"/>
    <n v="48.477767999999998"/>
    <n v="-117.53910999999999"/>
    <x v="0"/>
    <x v="0"/>
    <x v="8"/>
    <n v="-8"/>
    <n v="1327.1"/>
    <n v="3.5495896"/>
    <s v="Moderate"/>
    <n v="0.98245716000000005"/>
    <n v="1.69241402"/>
    <n v="54.308804340000002"/>
    <n v="72.773802849999996"/>
    <n v="0.74626860509049242"/>
    <n v="0.20770632"/>
    <n v="0.1550047"/>
    <n v="47.261640409999998"/>
    <x v="305"/>
    <n v="120.09345450000001"/>
    <n v="491772.13050000003"/>
    <n v="664782.75"/>
    <n v="29.557959"/>
    <n v="76.819599409999995"/>
  </r>
  <r>
    <n v="316"/>
    <x v="315"/>
    <n v="48.499724999999998"/>
    <n v="-117.37829600000001"/>
    <x v="0"/>
    <x v="0"/>
    <x v="8"/>
    <n v="-8"/>
    <n v="890.8"/>
    <n v="3.445138"/>
    <s v="Moderate"/>
    <n v="0.98237056"/>
    <n v="7.1456574460000004"/>
    <n v="229.30095929999999"/>
    <n v="307.26327020000002"/>
    <n v="0.74626869378414884"/>
    <n v="0.19829689"/>
    <n v="0.14798275999999999"/>
    <n v="48.205268709999999"/>
    <x v="306"/>
    <n v="128.00440900000001"/>
    <n v="499255.511"/>
    <n v="570474.06000000006"/>
    <n v="26.568338000000001"/>
    <n v="74.773606709999996"/>
  </r>
  <r>
    <n v="317"/>
    <x v="316"/>
    <n v="48.521520000000002"/>
    <n v="-117.21735"/>
    <x v="0"/>
    <x v="0"/>
    <x v="8"/>
    <n v="-8"/>
    <n v="1000.4117649999999"/>
    <n v="3.4947661999999999"/>
    <s v="Moderate"/>
    <n v="0.98249920000000002"/>
    <n v="15.02339392"/>
    <n v="482.09395069999999"/>
    <n v="646.00593860000004"/>
    <n v="0.74626860512269599"/>
    <n v="0.20169482999999999"/>
    <n v="0.15051851999999999"/>
    <n v="47.398037500000001"/>
    <x v="307"/>
    <n v="143.4455778"/>
    <n v="530178.27350000001"/>
    <n v="632984.93999999994"/>
    <n v="28.982979"/>
    <n v="76.381016500000001"/>
  </r>
  <r>
    <n v="318"/>
    <x v="317"/>
    <n v="48.54316"/>
    <n v="-117.056274"/>
    <x v="0"/>
    <x v="1"/>
    <x v="13"/>
    <n v="-8"/>
    <n v="962.07692310000004"/>
    <n v="3.3800626"/>
    <s v="Moderate"/>
    <n v="0.98269419999999996"/>
    <n v="3.7869119109999998"/>
    <n v="121.52031359999999"/>
    <n v="162.83721220000001"/>
    <n v="0.74626869348970581"/>
    <n v="0.19441336000000001"/>
    <n v="0.14508459000000001"/>
    <n v="49.180927709999999"/>
    <x v="308"/>
    <n v="143.4455778"/>
    <n v="530178.27350000001"/>
    <n v="746084.7"/>
    <n v="35.441035999999997"/>
    <n v="84.621963709999989"/>
  </r>
  <r>
    <n v="319"/>
    <x v="318"/>
    <n v="48.564630000000001"/>
    <n v="-116.89507999999999"/>
    <x v="0"/>
    <x v="1"/>
    <x v="13"/>
    <n v="-8"/>
    <n v="818.46666670000002"/>
    <n v="3.3862429000000001"/>
    <s v="Moderate"/>
    <n v="0.98201685999999999"/>
    <n v="15.457149319999999"/>
    <n v="496.01296610000003"/>
    <n v="664.65742060000002"/>
    <n v="0.74626860503902726"/>
    <n v="0.19408560999999999"/>
    <n v="0.14484"/>
    <n v="49.237316280000002"/>
    <x v="309"/>
    <n v="368.57361020000002"/>
    <n v="1403156.943"/>
    <n v="1887866.2"/>
    <n v="89.830185"/>
    <n v="139.06750127999999"/>
  </r>
  <r>
    <n v="320"/>
    <x v="319"/>
    <n v="48.585940000000001"/>
    <n v="-116.73376500000001"/>
    <x v="0"/>
    <x v="1"/>
    <x v="10"/>
    <n v="-8"/>
    <n v="1492.416667"/>
    <n v="3.4642773"/>
    <s v="Moderate"/>
    <n v="0.98208969999999995"/>
    <n v="1.911276054"/>
    <n v="61.331981249999998"/>
    <n v="82.184870340000003"/>
    <n v="0.74626851628856627"/>
    <n v="0.20152695000000001"/>
    <n v="0.15039322999999999"/>
    <n v="48.071740810000001"/>
    <x v="310"/>
    <n v="368.57361020000002"/>
    <n v="1403156.943"/>
    <n v="1684292.1"/>
    <n v="77.184250000000006"/>
    <n v="125.25599081000001"/>
  </r>
  <r>
    <n v="321"/>
    <x v="320"/>
    <n v="48.607093999999996"/>
    <n v="-116.57232999999999"/>
    <x v="0"/>
    <x v="1"/>
    <x v="10"/>
    <n v="-8"/>
    <n v="1396.375"/>
    <n v="3.4392008999999999"/>
    <s v="Moderate"/>
    <n v="0.98220589999999997"/>
    <n v="3.130488089"/>
    <n v="100.4559541"/>
    <n v="134.6109878"/>
    <n v="0.7462686051249674"/>
    <n v="0.20008567999999999"/>
    <n v="0.1493177"/>
    <n v="47.76802035"/>
    <x v="311"/>
    <n v="377.87029200000001"/>
    <n v="1440230.074"/>
    <n v="1610223.8"/>
    <n v="74.321526000000006"/>
    <n v="122.08954635000001"/>
  </r>
  <r>
    <n v="322"/>
    <x v="321"/>
    <n v="48.628079999999997"/>
    <n v="-116.41077"/>
    <x v="0"/>
    <x v="1"/>
    <x v="10"/>
    <n v="-8"/>
    <n v="831.73684209999999"/>
    <n v="3.517077"/>
    <s v="Moderate"/>
    <n v="0.98252916000000001"/>
    <n v="21.067289209999998"/>
    <n v="676.0398308"/>
    <n v="905.89343599999995"/>
    <n v="0.7462686050415317"/>
    <n v="0.20221917"/>
    <n v="0.15090983999999999"/>
    <n v="47.276256580000002"/>
    <x v="312"/>
    <n v="387.50248679999999"/>
    <n v="1482382.004"/>
    <n v="1552303.4"/>
    <n v="70.892240000000001"/>
    <n v="118.16849658000001"/>
  </r>
  <r>
    <n v="323"/>
    <x v="322"/>
    <n v="48.648907000000001"/>
    <n v="-116.249084"/>
    <x v="0"/>
    <x v="1"/>
    <x v="10"/>
    <n v="-8"/>
    <n v="809.25"/>
    <n v="3.5758622"/>
    <s v="Moderate"/>
    <n v="0.98282944999999999"/>
    <n v="17.22845676"/>
    <n v="552.85342500000002"/>
    <n v="740.82364080000002"/>
    <n v="0.74626860503936554"/>
    <n v="0.20591404999999999"/>
    <n v="0.15366721"/>
    <n v="46.439090200000003"/>
    <x v="313"/>
    <n v="396.70012320000001"/>
    <n v="1520048.6880000001"/>
    <n v="1586959.5"/>
    <n v="71.174480000000003"/>
    <n v="117.6135702"/>
  </r>
  <r>
    <n v="324"/>
    <x v="323"/>
    <n v="48.66957"/>
    <n v="-116.08729"/>
    <x v="0"/>
    <x v="1"/>
    <x v="10"/>
    <n v="-8"/>
    <n v="878.125"/>
    <n v="3.4515444999999998"/>
    <s v="Moderate"/>
    <n v="0.98309857"/>
    <n v="20.687724320000001"/>
    <n v="663.85976419999997"/>
    <n v="889.5721456"/>
    <n v="0.74626860506321135"/>
    <n v="0.19834636"/>
    <n v="0.14801966999999999"/>
    <n v="48.221288049999998"/>
    <x v="314"/>
    <n v="414.78592190000001"/>
    <n v="1604597.399"/>
    <n v="1645658.2"/>
    <n v="76.623115999999996"/>
    <n v="124.84440404999999"/>
  </r>
  <r>
    <n v="325"/>
    <x v="324"/>
    <n v="48.690066999999999"/>
    <n v="-115.92537"/>
    <x v="0"/>
    <x v="2"/>
    <x v="14"/>
    <n v="-7"/>
    <n v="1027"/>
    <n v="3.4090997999999999"/>
    <s v="Moderate"/>
    <n v="0.9833383"/>
    <n v="2.1390478910000001"/>
    <n v="68.641092459999996"/>
    <n v="91.979059320000005"/>
    <n v="0.746268693846868"/>
    <n v="0.19592655"/>
    <n v="0.14621386"/>
    <n v="48.909064800000003"/>
    <x v="315"/>
    <n v="362.84714270000001"/>
    <n v="1621424.642"/>
    <n v="1785821.4"/>
    <n v="84.176169999999999"/>
    <n v="133.08523479999999"/>
  </r>
  <r>
    <n v="326"/>
    <x v="325"/>
    <n v="48.710406999999996"/>
    <n v="-115.763336"/>
    <x v="0"/>
    <x v="2"/>
    <x v="14"/>
    <n v="-7"/>
    <n v="1253.5714290000001"/>
    <n v="3.4651402999999998"/>
    <s v="Moderate"/>
    <n v="0.98369366000000003"/>
    <n v="0.78861606699999998"/>
    <n v="25.306331709999998"/>
    <n v="33.910490869999997"/>
    <n v="0.74626851634247671"/>
    <n v="0.20033681"/>
    <n v="0.14950506"/>
    <n v="53.245264669999997"/>
    <x v="316"/>
    <n v="355.64604530000003"/>
    <n v="1582315.5260000001"/>
    <n v="1838025.1"/>
    <n v="84.729590000000002"/>
    <n v="137.97485467000001"/>
  </r>
  <r>
    <n v="327"/>
    <x v="326"/>
    <n v="48.730583000000003"/>
    <n v="-115.60118"/>
    <x v="0"/>
    <x v="2"/>
    <x v="14"/>
    <n v="-7"/>
    <n v="1284.5"/>
    <n v="3.4675145000000001"/>
    <s v="Moderate"/>
    <n v="0.98391289999999998"/>
    <n v="2.6435158809999999"/>
    <n v="84.829245180000001"/>
    <n v="113.67118290000001"/>
    <n v="0.74626869375175642"/>
    <n v="0.19991033999999999"/>
    <n v="0.14918680000000001"/>
    <n v="47.875163030000003"/>
    <x v="317"/>
    <n v="355.64604530000003"/>
    <n v="1582315.5260000001"/>
    <n v="1993938"/>
    <n v="92.112970000000004"/>
    <n v="139.98813303"/>
  </r>
  <r>
    <n v="328"/>
    <x v="327"/>
    <n v="48.750594999999997"/>
    <n v="-115.43891000000001"/>
    <x v="0"/>
    <x v="2"/>
    <x v="14"/>
    <n v="-7"/>
    <n v="1262"/>
    <n v="3.4774639999999999"/>
    <s v="Moderate"/>
    <n v="0.98403839999999998"/>
    <n v="0.15778799600000001"/>
    <n v="5.0633457990000004"/>
    <n v="6.7848838410000001"/>
    <n v="0.74626860498377101"/>
    <n v="0.20314616999999999"/>
    <n v="0.15160162999999999"/>
    <n v="62.771000520000001"/>
    <x v="318"/>
    <n v="293.43996090000002"/>
    <n v="1211180.9369999999"/>
    <n v="1672703.9"/>
    <n v="76.04222"/>
    <n v="138.81322052000002"/>
  </r>
  <r>
    <n v="329"/>
    <x v="328"/>
    <n v="48.770443"/>
    <n v="-115.27652999999999"/>
    <x v="0"/>
    <x v="2"/>
    <x v="14"/>
    <n v="-7"/>
    <n v="1232.5714290000001"/>
    <n v="3.5157747000000001"/>
    <s v="Moderate"/>
    <n v="0.98417639999999995"/>
    <n v="0.202824007"/>
    <n v="6.5085303569999997"/>
    <n v="8.7214323189999998"/>
    <n v="0.74626851633313696"/>
    <n v="0.20421658000000001"/>
    <n v="0.15240044999999999"/>
    <n v="60.709614600000002"/>
    <x v="319"/>
    <n v="277.9694609"/>
    <n v="1119163.2320000001"/>
    <n v="1452881.5"/>
    <n v="65.702759999999998"/>
    <n v="126.41237459999999"/>
  </r>
  <r>
    <n v="330"/>
    <x v="329"/>
    <n v="48.790126999999998"/>
    <n v="-115.11402"/>
    <x v="0"/>
    <x v="2"/>
    <x v="14"/>
    <n v="-7"/>
    <n v="1139.7142859999999"/>
    <n v="3.5090281999999999"/>
    <s v="Moderate"/>
    <n v="0.98435664"/>
    <n v="12.254327050000001"/>
    <n v="393.23584080000001"/>
    <n v="526.93606320000004"/>
    <n v="0.74626860498395275"/>
    <n v="0.20392504"/>
    <n v="0.15218287999999999"/>
    <n v="46.94924623"/>
    <x v="320"/>
    <n v="277.9694609"/>
    <n v="1119163.2320000001"/>
    <n v="1343594.5"/>
    <n v="60.847403999999997"/>
    <n v="107.79665023"/>
  </r>
  <r>
    <n v="331"/>
    <x v="330"/>
    <n v="48.809646999999998"/>
    <n v="-114.95140000000001"/>
    <x v="0"/>
    <x v="2"/>
    <x v="14"/>
    <n v="-7"/>
    <n v="970.1333333"/>
    <n v="3.3820386"/>
    <s v="Moderate"/>
    <n v="0.98441380000000001"/>
    <n v="43.128691259999997"/>
    <n v="1383.9802950000001"/>
    <n v="1854.5337239999999"/>
    <n v="0.74626860492724056"/>
    <n v="0.19405755"/>
    <n v="0.14481907999999999"/>
    <n v="49.338791290000003"/>
    <x v="321"/>
    <n v="277.9694609"/>
    <n v="1119163.2320000001"/>
    <n v="1248522.3999999999"/>
    <n v="59.416927000000001"/>
    <n v="108.75571829"/>
  </r>
  <r>
    <n v="332"/>
    <x v="331"/>
    <n v="48.829006"/>
    <n v="-114.78868"/>
    <x v="0"/>
    <x v="2"/>
    <x v="14"/>
    <n v="-7"/>
    <n v="1196"/>
    <n v="3.3130000000000002"/>
    <s v="Moderate"/>
    <n v="0.98142563999999999"/>
    <n v="5.6376000000000002E-2"/>
    <n v="1.8090804819999999"/>
    <n v="2.4241680130000001"/>
    <n v="0.74626860526931638"/>
    <n v="0.19052646000000001"/>
    <n v="0.14218392999999999"/>
    <n v="75.09337644"/>
    <x v="322"/>
    <n v="277.9694609"/>
    <n v="1119163.2320000001"/>
    <n v="1320627.6000000001"/>
    <n v="64.013199999999998"/>
    <n v="139.10657644"/>
  </r>
  <r>
    <n v="333"/>
    <x v="332"/>
    <n v="48.867226000000002"/>
    <n v="-114.46289"/>
    <x v="0"/>
    <x v="2"/>
    <x v="16"/>
    <n v="-7"/>
    <n v="1269.4000000000001"/>
    <n v="3.4131236"/>
    <s v="Moderate"/>
    <n v="0.98145150000000003"/>
    <n v="6.9280920589999999"/>
    <n v="222.31938310000001"/>
    <n v="297.90795859999997"/>
    <n v="0.74626869367564463"/>
    <n v="0.19706415999999999"/>
    <n v="0.14706279999999999"/>
    <n v="48.47119721"/>
    <x v="323"/>
    <n v="271.89468820000002"/>
    <n v="1084734.3330000001"/>
    <n v="1469621.6"/>
    <n v="68.871930000000006"/>
    <n v="117.34312721000001"/>
  </r>
  <r>
    <n v="334"/>
    <x v="333"/>
    <n v="48.886090000000003"/>
    <n v="-114.29982"/>
    <x v="0"/>
    <x v="2"/>
    <x v="16"/>
    <n v="-7"/>
    <n v="1186.333333"/>
    <n v="3.4007947000000001"/>
    <s v="Moderate"/>
    <n v="0.98146146999999995"/>
    <n v="2.3311799010000001"/>
    <n v="74.80652293"/>
    <n v="100.2407357"/>
    <n v="0.74626869413529251"/>
    <n v="0.19595660000000001"/>
    <n v="0.14623627"/>
    <n v="48.745541969999998"/>
    <x v="324"/>
    <n v="256.31235049999998"/>
    <n v="994259.30619999999"/>
    <n v="1494335.2"/>
    <n v="70.425929999999994"/>
    <n v="119.17147197"/>
  </r>
  <r>
    <n v="335"/>
    <x v="334"/>
    <n v="48.959899999999998"/>
    <n v="-113.646484"/>
    <x v="0"/>
    <x v="2"/>
    <x v="19"/>
    <n v="-7"/>
    <n v="1707.6"/>
    <n v="3.6546047000000002"/>
    <s v="Moderate"/>
    <n v="0.98153800000000002"/>
    <n v="4.3127640200000004"/>
    <n v="138.39465670000001"/>
    <n v="185.44885289999999"/>
    <n v="0.74626860471672418"/>
    <n v="0.22051974999999999"/>
    <n v="0.16456698"/>
    <n v="43.318545579999999"/>
    <x v="325"/>
    <n v="291.48444790000002"/>
    <n v="795282.28289999999"/>
    <n v="1048441.25"/>
    <n v="43.907733999999998"/>
    <n v="87.226279579999996"/>
  </r>
  <r>
    <n v="336"/>
    <x v="335"/>
    <n v="48.977936"/>
    <n v="-113.48287999999999"/>
    <x v="0"/>
    <x v="2"/>
    <x v="19"/>
    <n v="-7"/>
    <n v="1522.727273"/>
    <n v="3.6737301000000002"/>
    <s v="Moderate"/>
    <n v="0.98157139999999998"/>
    <n v="39.098700000000001"/>
    <n v="1254.6596890000001"/>
    <n v="1681.2440999999999"/>
    <n v="0.74626860489800395"/>
    <n v="0.22279428000000001"/>
    <n v="0.16626440000000001"/>
    <n v="42.877446480000003"/>
    <x v="326"/>
    <n v="291.48444790000002"/>
    <n v="795282.28289999999"/>
    <n v="949387.7"/>
    <n v="39.353554000000003"/>
    <n v="82.231000480000006"/>
  </r>
  <r>
    <n v="337"/>
    <x v="336"/>
    <n v="48.995809999999999"/>
    <n v="-113.31917"/>
    <x v="0"/>
    <x v="2"/>
    <x v="19"/>
    <n v="-7"/>
    <n v="1407.8888890000001"/>
    <n v="3.6556864"/>
    <s v="Moderate"/>
    <n v="0.98159724000000004"/>
    <n v="28.45141216"/>
    <n v="912.99290499999995"/>
    <n v="1223.410723"/>
    <n v="0.74626851623565504"/>
    <n v="0.22323277999999999"/>
    <n v="0.16659162999999999"/>
    <n v="42.794115339999998"/>
    <x v="327"/>
    <n v="283.56709719999998"/>
    <n v="767152.33550000004"/>
    <n v="903386.3"/>
    <n v="37.373173000000001"/>
    <n v="80.167288339999999"/>
  </r>
  <r>
    <n v="338"/>
    <x v="337"/>
    <n v="47.319583999999999"/>
    <n v="-124.12335"/>
    <x v="0"/>
    <x v="0"/>
    <x v="15"/>
    <n v="-8"/>
    <n v="85.473684210000002"/>
    <n v="3.1586344"/>
    <s v="Moderate"/>
    <n v="1.0208492"/>
    <n v="87.884351370000005"/>
    <n v="2820.1692889999999"/>
    <n v="3779.0271090000001"/>
    <n v="0.74626860502894576"/>
    <n v="0.18396652999999999"/>
    <n v="0.13728845000000001"/>
    <n v="53.558141759999998"/>
    <x v="328"/>
    <n v="271.5044479"/>
    <n v="949583.45409999997"/>
    <n v="1087684.5"/>
    <n v="54.601993999999998"/>
    <n v="108.16013576"/>
  </r>
  <r>
    <n v="339"/>
    <x v="338"/>
    <n v="47.348059999999997"/>
    <n v="-123.96867"/>
    <x v="0"/>
    <x v="0"/>
    <x v="15"/>
    <n v="-8"/>
    <n v="110.6111111"/>
    <n v="3.1039789"/>
    <s v="Moderate"/>
    <n v="1.0207516000000001"/>
    <n v="71.576456840000006"/>
    <n v="2296.8562919999999"/>
    <n v="3077.787644"/>
    <n v="0.74626860513837323"/>
    <n v="0.17830461"/>
    <n v="0.13306314999999999"/>
    <n v="55.254655700000001"/>
    <x v="329"/>
    <n v="271.5044479"/>
    <n v="949583.45409999997"/>
    <n v="1059641.2"/>
    <n v="54.883360000000003"/>
    <n v="110.13801570000001"/>
  </r>
  <r>
    <n v="340"/>
    <x v="339"/>
    <n v="47.376390000000001"/>
    <n v="-123.81384"/>
    <x v="0"/>
    <x v="0"/>
    <x v="15"/>
    <n v="-8"/>
    <n v="247"/>
    <n v="3.0818509999999999"/>
    <s v="Moderate"/>
    <n v="1.0206838"/>
    <n v="5.4717121579999999"/>
    <n v="175.58478099999999"/>
    <n v="235.28362279999999"/>
    <n v="0.74626860514322202"/>
    <n v="0.17547876000000001"/>
    <n v="0.1309543"/>
    <n v="56.14149742"/>
    <x v="330"/>
    <n v="271.5044479"/>
    <n v="949583.45409999997"/>
    <n v="1101759.8"/>
    <n v="57.983809999999998"/>
    <n v="114.12530742"/>
  </r>
  <r>
    <n v="341"/>
    <x v="340"/>
    <n v="47.404555999999999"/>
    <n v="-123.65886"/>
    <x v="0"/>
    <x v="0"/>
    <x v="15"/>
    <n v="-8"/>
    <n v="342.4"/>
    <n v="3.1438486999999999"/>
    <s v="Moderate"/>
    <n v="1.020651"/>
    <n v="6.6342243160000001"/>
    <n v="212.889273"/>
    <n v="285.2716456"/>
    <n v="0.74626860497207437"/>
    <n v="0.18043718"/>
    <n v="0.13465461000000001"/>
    <n v="54.597341919999998"/>
    <x v="331"/>
    <n v="271.5044479"/>
    <n v="949583.45409999997"/>
    <n v="1211457.8999999999"/>
    <n v="62.004997000000003"/>
    <n v="116.60233891999999"/>
  </r>
  <r>
    <n v="342"/>
    <x v="341"/>
    <n v="47.460445"/>
    <n v="-123.348434"/>
    <x v="0"/>
    <x v="0"/>
    <x v="17"/>
    <n v="-8"/>
    <n v="517"/>
    <n v="3.3080002999999998"/>
    <s v="Moderate"/>
    <n v="1.0208024"/>
    <n v="5.5079999999999999E-3"/>
    <n v="0.176749243"/>
    <n v="0.236844002"/>
    <n v="0.7462686051048909"/>
    <n v="0.19170825"/>
    <n v="0.14306587000000001"/>
    <n v="101.6113637"/>
    <x v="332"/>
    <n v="193.420896"/>
    <n v="609422.67050000001"/>
    <n v="757197.06"/>
    <n v="36.476447999999998"/>
    <n v="138.0878117"/>
  </r>
  <r>
    <n v="343"/>
    <x v="342"/>
    <n v="47.488160000000001"/>
    <n v="-123.19298999999999"/>
    <x v="0"/>
    <x v="0"/>
    <x v="17"/>
    <n v="-8"/>
    <n v="412.6"/>
    <n v="3.2671399999999999"/>
    <s v="Moderate"/>
    <n v="1.0208105999999999"/>
    <n v="15.52737568"/>
    <n v="498.26655790000001"/>
    <n v="667.67715439999995"/>
    <n v="0.74626869380870353"/>
    <n v="0.18806571"/>
    <n v="0.14034756000000001"/>
    <n v="52.38917841"/>
    <x v="333"/>
    <n v="207.2431622"/>
    <n v="655676.57889999996"/>
    <n v="742498.5"/>
    <n v="36.461150000000004"/>
    <n v="88.850328410000003"/>
  </r>
  <r>
    <n v="344"/>
    <x v="343"/>
    <n v="47.543132999999997"/>
    <n v="-122.88164999999999"/>
    <x v="0"/>
    <x v="0"/>
    <x v="11"/>
    <n v="-8"/>
    <n v="161.11111109999999"/>
    <n v="3.2770402000000001"/>
    <s v="Moderate"/>
    <n v="1.0210281999999999"/>
    <n v="52.030516110000001"/>
    <n v="1669.6356510000001"/>
    <n v="2237.3121930000002"/>
    <n v="0.74626851640279779"/>
    <n v="0.18623175"/>
    <n v="0.13897891000000001"/>
    <n v="52.91402231"/>
    <x v="334"/>
    <n v="203.75125310000001"/>
    <n v="653289.25870000001"/>
    <n v="774214.06"/>
    <n v="38.392975"/>
    <n v="91.30699731"/>
  </r>
  <r>
    <n v="345"/>
    <x v="344"/>
    <n v="47.570390000000003"/>
    <n v="-122.72577"/>
    <x v="0"/>
    <x v="0"/>
    <x v="11"/>
    <n v="-8"/>
    <n v="137.92857140000001"/>
    <n v="3.2889971999999998"/>
    <s v="Moderate"/>
    <n v="1.021139"/>
    <n v="15.14035745"/>
    <n v="485.84731529999999"/>
    <n v="651.03537019999999"/>
    <n v="0.74626869374354621"/>
    <n v="0.18917510000000001"/>
    <n v="0.14117542999999999"/>
    <n v="52.09522235"/>
    <x v="335"/>
    <n v="227.39366219999999"/>
    <n v="746716.15040000004"/>
    <n v="791903.7"/>
    <n v="38.659194999999997"/>
    <n v="90.754417349999997"/>
  </r>
  <r>
    <n v="346"/>
    <x v="345"/>
    <n v="47.597492000000003"/>
    <n v="-122.56973000000001"/>
    <x v="0"/>
    <x v="0"/>
    <x v="11"/>
    <n v="-8"/>
    <n v="50.125"/>
    <n v="3.3071628"/>
    <s v="Moderate"/>
    <n v="1.0212213000000001"/>
    <n v="3.1709067630000001"/>
    <n v="101.7529833"/>
    <n v="136.3489908"/>
    <n v="0.74626869405475649"/>
    <n v="0.18974907999999999"/>
    <n v="0.1416038"/>
    <n v="51.940951099999999"/>
    <x v="336"/>
    <n v="276.78575960000001"/>
    <n v="964315.01560000004"/>
    <n v="1018719.4"/>
    <n v="49.58146"/>
    <n v="101.5224111"/>
  </r>
  <r>
    <n v="347"/>
    <x v="346"/>
    <n v="47.624442999999999"/>
    <n v="-122.41354"/>
    <x v="0"/>
    <x v="0"/>
    <x v="18"/>
    <n v="-8"/>
    <n v="47.142857139999997"/>
    <n v="3.3895729000000001"/>
    <s v="Moderate"/>
    <n v="1.0212996999999999"/>
    <n v="0.55946699799999999"/>
    <n v="17.953044200000001"/>
    <n v="24.057080890000002"/>
    <n v="0.74626860515993387"/>
    <n v="0.19386682"/>
    <n v="0.14467672000000001"/>
    <n v="58.900229160000002"/>
    <x v="337"/>
    <n v="8.1628636330000006"/>
    <n v="33734.327799999999"/>
    <n v="69891.88"/>
    <n v="3.3294131999999999"/>
    <n v="62.22964236"/>
  </r>
  <r>
    <n v="348"/>
    <x v="347"/>
    <n v="47.651237000000002"/>
    <n v="-122.25721"/>
    <x v="0"/>
    <x v="0"/>
    <x v="18"/>
    <n v="-8"/>
    <n v="57.866666670000001"/>
    <n v="3.2548401"/>
    <s v="Moderate"/>
    <n v="1.0212890999999999"/>
    <n v="3.1826518620000002"/>
    <n v="102.12987819999999"/>
    <n v="136.85402999999999"/>
    <n v="0.74626869373156202"/>
    <n v="0.18529092"/>
    <n v="0.13827681999999999"/>
    <n v="53.193456419999997"/>
    <x v="338"/>
    <n v="11.391168820000001"/>
    <n v="53438.662980000001"/>
    <n v="177400.62"/>
    <n v="8.8418960000000002"/>
    <n v="62.035352419999995"/>
  </r>
  <r>
    <n v="349"/>
    <x v="348"/>
    <n v="47.677880000000002"/>
    <n v="-122.10074"/>
    <x v="0"/>
    <x v="0"/>
    <x v="18"/>
    <n v="-8"/>
    <n v="89.166666669999998"/>
    <n v="3.1389040000000001"/>
    <s v="Moderate"/>
    <n v="1.0211878999999999"/>
    <n v="12.01157029"/>
    <n v="385.44593140000001"/>
    <n v="516.49752239999998"/>
    <n v="0.74626869381474503"/>
    <n v="0.17677358000000001"/>
    <n v="0.13192059"/>
    <n v="55.752063720000002"/>
    <x v="339"/>
    <n v="48.892025949999997"/>
    <n v="197601.63070000001"/>
    <n v="225658.36"/>
    <n v="11.7890415"/>
    <n v="67.541105220000006"/>
  </r>
  <r>
    <n v="350"/>
    <x v="349"/>
    <n v="47.704369999999997"/>
    <n v="-121.94410999999999"/>
    <x v="0"/>
    <x v="0"/>
    <x v="18"/>
    <n v="-8"/>
    <n v="141.44444440000001"/>
    <n v="3.0657260000000002"/>
    <s v="Moderate"/>
    <n v="1.0209303999999999"/>
    <n v="27.612089210000001"/>
    <n v="886.05962309999995"/>
    <n v="1187.3198359999999"/>
    <n v="0.74626869377090066"/>
    <n v="0.17137958"/>
    <n v="0.12789519999999999"/>
    <n v="57.495320929999998"/>
    <x v="340"/>
    <n v="64.609590870000005"/>
    <n v="260006.3014"/>
    <n v="298430.62"/>
    <n v="16.081579999999999"/>
    <n v="73.576900929999994"/>
  </r>
  <r>
    <n v="351"/>
    <x v="350"/>
    <n v="47.730697999999997"/>
    <n v="-121.78734"/>
    <x v="0"/>
    <x v="0"/>
    <x v="18"/>
    <n v="-8"/>
    <n v="388.61538460000003"/>
    <n v="3.0183453999999998"/>
    <s v="Moderate"/>
    <n v="1.0203518"/>
    <n v="9.9633243159999996"/>
    <n v="319.718594"/>
    <n v="428.42294559999999"/>
    <n v="0.74626860508658999"/>
    <n v="0.16968196999999999"/>
    <n v="0.12662834000000001"/>
    <n v="58.044485659999999"/>
    <x v="341"/>
    <n v="76.538110349999997"/>
    <n v="322507.76030000002"/>
    <n v="388944.56"/>
    <n v="21.168807999999999"/>
    <n v="79.213293660000005"/>
  </r>
  <r>
    <n v="352"/>
    <x v="351"/>
    <n v="47.756878"/>
    <n v="-121.63042"/>
    <x v="0"/>
    <x v="0"/>
    <x v="18"/>
    <n v="-8"/>
    <n v="725.125"/>
    <n v="3.0202464999999998"/>
    <s v="Moderate"/>
    <n v="1.0197240999999999"/>
    <n v="1.0244880270000001"/>
    <n v="32.875363700000001"/>
    <n v="44.052985169999999"/>
    <n v="0.7462686937816887"/>
    <n v="0.17297045999999999"/>
    <n v="0.12908241000000001"/>
    <n v="61.708198760000002"/>
    <x v="342"/>
    <n v="102.43865580000001"/>
    <n v="380717.73609999998"/>
    <n v="513677.06"/>
    <n v="27.426010000000002"/>
    <n v="89.134208760000007"/>
  </r>
  <r>
    <n v="353"/>
    <x v="352"/>
    <n v="47.782898000000003"/>
    <n v="-121.47336"/>
    <x v="0"/>
    <x v="0"/>
    <x v="6"/>
    <n v="-8"/>
    <n v="405"/>
    <n v="2.9938411999999999"/>
    <s v="Low"/>
    <n v="1.019242"/>
    <n v="0.15487199099999999"/>
    <n v="4.9697731039999997"/>
    <n v="6.6594956280000002"/>
    <n v="0.74626869384889694"/>
    <n v="0.16788879000000001"/>
    <n v="0.12529013"/>
    <n v="78.398432189999994"/>
    <x v="96"/>
    <n v="108.2743116"/>
    <n v="421864.65120000002"/>
    <n v="480947.38"/>
    <n v="26.455760999999999"/>
    <n v="104.85419318999999"/>
  </r>
  <r>
    <n v="354"/>
    <x v="353"/>
    <n v="47.910682999999999"/>
    <n v="-120.68591000000001"/>
    <x v="0"/>
    <x v="0"/>
    <x v="12"/>
    <n v="-8"/>
    <n v="908.16666669999995"/>
    <n v="3.8104955999999999"/>
    <s v="Moderate"/>
    <n v="1.012168"/>
    <n v="1.36209603"/>
    <n v="43.709048670000001"/>
    <n v="58.570129280000003"/>
    <n v="0.74626860495808012"/>
    <n v="0.22446506999999999"/>
    <n v="0.16751125"/>
    <n v="45.834590710000001"/>
    <x v="343"/>
    <n v="172.5616363"/>
    <n v="607159.78839999996"/>
    <n v="788964.1"/>
    <n v="32.460326999999999"/>
    <n v="78.294917709999993"/>
  </r>
  <r>
    <n v="355"/>
    <x v="354"/>
    <n v="47.960700000000003"/>
    <n v="-120.36995"/>
    <x v="0"/>
    <x v="0"/>
    <x v="12"/>
    <n v="-8"/>
    <n v="1822"/>
    <n v="4.0179995999999996"/>
    <s v="High"/>
    <n v="1.008429"/>
    <n v="5.3784002999999997E-2"/>
    <n v="1.725904447"/>
    <n v="2.31271212"/>
    <n v="0.7462686047582956"/>
    <n v="0.24482509999999999"/>
    <n v="0.18270529999999999"/>
    <n v="60.142369979999998"/>
    <x v="344"/>
    <n v="183.38347390000001"/>
    <n v="593980.13340000005"/>
    <n v="800698.1"/>
    <n v="30.203503000000001"/>
    <n v="90.345872979999996"/>
  </r>
  <r>
    <n v="356"/>
    <x v="355"/>
    <n v="47.985474000000004"/>
    <n v="-120.21176"/>
    <x v="0"/>
    <x v="0"/>
    <x v="12"/>
    <n v="-8"/>
    <n v="636"/>
    <n v="3.9390695"/>
    <s v="Moderate"/>
    <n v="1.0062070999999999"/>
    <n v="0.52261203499999997"/>
    <n v="16.770385019999999"/>
    <n v="22.472317489999998"/>
    <n v="0.74626860480512014"/>
    <n v="0.23689284999999999"/>
    <n v="0.17678569999999999"/>
    <n v="47.976821049999998"/>
    <x v="345"/>
    <n v="183.20347390000001"/>
    <n v="593476.73540000001"/>
    <n v="740723.44"/>
    <n v="28.876764000000001"/>
    <n v="76.853585049999992"/>
  </r>
  <r>
    <n v="357"/>
    <x v="356"/>
    <n v="48.010094000000002"/>
    <n v="-120.05342"/>
    <x v="0"/>
    <x v="0"/>
    <x v="3"/>
    <n v="-8"/>
    <n v="1001.555556"/>
    <n v="3.9731255000000001"/>
    <s v="Moderate"/>
    <n v="1.0039463"/>
    <n v="0.63342003700000005"/>
    <n v="20.326163959999999"/>
    <n v="27.23706159"/>
    <n v="0.74626860510763338"/>
    <n v="0.24110627000000001"/>
    <n v="0.17993006"/>
    <n v="46.067850450000002"/>
    <x v="346"/>
    <n v="195.6241168"/>
    <n v="577405.97620000003"/>
    <n v="720482.9"/>
    <n v="27.596855000000001"/>
    <n v="73.66470545"/>
  </r>
  <r>
    <n v="358"/>
    <x v="357"/>
    <n v="48.034554"/>
    <n v="-119.89496"/>
    <x v="0"/>
    <x v="0"/>
    <x v="3"/>
    <n v="-8"/>
    <n v="560.25"/>
    <n v="3.9428592"/>
    <s v="Moderate"/>
    <n v="1.0020032000000001"/>
    <n v="14.14259901"/>
    <n v="453.82969229999998"/>
    <n v="608.13175750000005"/>
    <n v="0.74626869375424776"/>
    <n v="0.23668787999999999"/>
    <n v="0.17663275000000001"/>
    <n v="41.01999515"/>
    <x v="347"/>
    <n v="195.53411679999999"/>
    <n v="577044.15890000004"/>
    <n v="641631.5"/>
    <n v="25.035374000000001"/>
    <n v="66.055369150000004"/>
  </r>
  <r>
    <n v="359"/>
    <x v="358"/>
    <n v="48.058857000000003"/>
    <n v="-119.73636"/>
    <x v="0"/>
    <x v="0"/>
    <x v="3"/>
    <n v="-8"/>
    <n v="545"/>
    <n v="3.9241822000000002"/>
    <s v="Moderate"/>
    <n v="0.999857"/>
    <n v="15.765030400000001"/>
    <n v="505.8927314"/>
    <n v="677.89630699999998"/>
    <n v="0.74626860505968207"/>
    <n v="0.23631278999999999"/>
    <n v="0.17635284000000001"/>
    <n v="41.015716390000001"/>
    <x v="348"/>
    <n v="174.56082459999999"/>
    <n v="481601.50280000002"/>
    <n v="531807.4"/>
    <n v="20.783156999999999"/>
    <n v="61.798873389999997"/>
  </r>
  <r>
    <n v="360"/>
    <x v="359"/>
    <n v="48.082999999999998"/>
    <n v="-119.57762"/>
    <x v="0"/>
    <x v="0"/>
    <x v="3"/>
    <n v="-8"/>
    <n v="575.8823529"/>
    <n v="3.9183091999999999"/>
    <s v="Moderate"/>
    <n v="0.9980985"/>
    <n v="26.021327119999999"/>
    <n v="835.01287679999996"/>
    <n v="1118.917066"/>
    <n v="0.74626878271244457"/>
    <n v="0.23729005"/>
    <n v="0.17708212000000001"/>
    <n v="40.790201959999997"/>
    <x v="349"/>
    <n v="173.52979859999999"/>
    <n v="485964.42810000002"/>
    <n v="558177.5"/>
    <n v="21.723870000000002"/>
    <n v="62.514071959999995"/>
  </r>
  <r>
    <n v="361"/>
    <x v="360"/>
    <n v="48.106994999999998"/>
    <n v="-119.418755"/>
    <x v="0"/>
    <x v="0"/>
    <x v="3"/>
    <n v="-8"/>
    <n v="634.05263160000004"/>
    <n v="3.8931993999999999"/>
    <s v="Moderate"/>
    <n v="0.99552039999999997"/>
    <n v="49.848214749999997"/>
    <n v="1599.6065900000001"/>
    <n v="2143.473234"/>
    <n v="0.74626851626923563"/>
    <n v="0.23649205000000001"/>
    <n v="0.17648660999999999"/>
    <n v="40.84454787"/>
    <x v="350"/>
    <n v="145.1877466"/>
    <n v="407296.6703"/>
    <n v="480063.72"/>
    <n v="18.746782"/>
    <n v="59.591329869999996"/>
  </r>
  <r>
    <n v="362"/>
    <x v="361"/>
    <n v="48.13082"/>
    <n v="-119.25973999999999"/>
    <x v="0"/>
    <x v="0"/>
    <x v="3"/>
    <n v="-8"/>
    <n v="550.8666667"/>
    <n v="3.8800482999999999"/>
    <s v="Moderate"/>
    <n v="0.99332094000000004"/>
    <n v="34.452052729999998"/>
    <n v="1105.551001"/>
    <n v="1481.4382680000001"/>
    <n v="0.74626869366115223"/>
    <n v="0.23518074999999999"/>
    <n v="0.17550805"/>
    <n v="41.000836730000003"/>
    <x v="289"/>
    <n v="139.51664930000001"/>
    <n v="392324.69390000001"/>
    <n v="440427.88"/>
    <n v="17.294874"/>
    <n v="58.295710730000003"/>
  </r>
  <r>
    <n v="363"/>
    <x v="362"/>
    <n v="48.154490000000003"/>
    <n v="-119.10061"/>
    <x v="0"/>
    <x v="0"/>
    <x v="3"/>
    <n v="-8"/>
    <n v="644.66666669999995"/>
    <n v="3.8304303000000002"/>
    <s v="Moderate"/>
    <n v="0.99160280000000001"/>
    <n v="12.46257971"/>
    <n v="399.91852749999998"/>
    <n v="535.89092760000005"/>
    <n v="0.74626851641442105"/>
    <n v="0.23184769"/>
    <n v="0.17302068000000001"/>
    <n v="41.533650469999998"/>
    <x v="351"/>
    <n v="138.28488300000001"/>
    <n v="390752.50829999999"/>
    <n v="478955.6"/>
    <n v="19.078178000000001"/>
    <n v="60.611828469999999"/>
  </r>
  <r>
    <n v="364"/>
    <x v="363"/>
    <n v="48.177999999999997"/>
    <n v="-118.94132999999999"/>
    <x v="0"/>
    <x v="0"/>
    <x v="3"/>
    <n v="-8"/>
    <n v="707.375"/>
    <n v="3.8139842000000002"/>
    <s v="Moderate"/>
    <n v="0.98951982999999999"/>
    <n v="51.929586469999997"/>
    <n v="1666.3968649999999"/>
    <n v="2232.9722179999999"/>
    <n v="0.74626851671828554"/>
    <n v="0.22997450999999999"/>
    <n v="0.17162278"/>
    <n v="41.802764680000003"/>
    <x v="352"/>
    <n v="138.28488300000001"/>
    <n v="390752.50829999999"/>
    <n v="456460.88"/>
    <n v="18.330244"/>
    <n v="60.133008680000003"/>
  </r>
  <r>
    <n v="365"/>
    <x v="364"/>
    <n v="48.201363000000001"/>
    <n v="-118.78192"/>
    <x v="0"/>
    <x v="0"/>
    <x v="5"/>
    <n v="-8"/>
    <n v="879.44444439999995"/>
    <n v="3.7489097"/>
    <s v="Moderate"/>
    <n v="0.98801470000000002"/>
    <n v="31.854626369999998"/>
    <n v="1022.200748"/>
    <n v="1369.748934"/>
    <n v="0.74626869393862216"/>
    <n v="0.2258482"/>
    <n v="0.16854342999999999"/>
    <n v="42.515602999999999"/>
    <x v="353"/>
    <n v="138.28488300000001"/>
    <n v="390752.50829999999"/>
    <n v="504539.34"/>
    <n v="20.631119999999999"/>
    <n v="63.146722999999994"/>
  </r>
  <r>
    <n v="366"/>
    <x v="365"/>
    <n v="48.224556"/>
    <n v="-118.62239"/>
    <x v="0"/>
    <x v="0"/>
    <x v="5"/>
    <n v="-8"/>
    <n v="957.82352939999998"/>
    <n v="3.7190525999999999"/>
    <s v="Moderate"/>
    <n v="0.98641710000000005"/>
    <n v="5.4524341190000003"/>
    <n v="174.96615739999999"/>
    <n v="234.45466709999999"/>
    <n v="0.74626860520278371"/>
    <n v="0.22350621000000001"/>
    <n v="0.16679569999999999"/>
    <n v="42.90649286"/>
    <x v="354"/>
    <n v="145.19304539999999"/>
    <n v="450701.7818"/>
    <n v="638313.19999999995"/>
    <n v="26.374765"/>
    <n v="69.281257859999997"/>
  </r>
  <r>
    <n v="367"/>
    <x v="366"/>
    <n v="48.247593000000002"/>
    <n v="-118.46272"/>
    <x v="0"/>
    <x v="0"/>
    <x v="5"/>
    <n v="-8"/>
    <n v="1066.8125"/>
    <n v="3.6735783"/>
    <s v="Moderate"/>
    <n v="0.98491390000000001"/>
    <n v="8.6514476439999992"/>
    <n v="277.62106189999997"/>
    <n v="372.01224869999999"/>
    <n v="0.74626860505305714"/>
    <n v="0.21925995000000001"/>
    <n v="0.16362683"/>
    <n v="43.685062729999999"/>
    <x v="355"/>
    <n v="134.9008766"/>
    <n v="483202.20209999999"/>
    <n v="873033.1"/>
    <n v="36.771877000000003"/>
    <n v="80.456939730000002"/>
  </r>
  <r>
    <n v="368"/>
    <x v="367"/>
    <n v="48.270465999999999"/>
    <n v="-118.30292"/>
    <x v="0"/>
    <x v="0"/>
    <x v="5"/>
    <n v="-8"/>
    <n v="755.8"/>
    <n v="3.6634312000000002"/>
    <s v="Moderate"/>
    <n v="0.98388845000000003"/>
    <n v="26.956232450000002"/>
    <n v="865.01347220000002"/>
    <n v="1159.1179950000001"/>
    <n v="0.7462686938959997"/>
    <n v="0.21513272999999999"/>
    <n v="0.16054681000000001"/>
    <n v="44.48673161"/>
    <x v="356"/>
    <n v="134.9008766"/>
    <n v="483202.20209999999"/>
    <n v="800780.6"/>
    <n v="34.375694000000003"/>
    <n v="78.862425610000003"/>
  </r>
  <r>
    <n v="369"/>
    <x v="368"/>
    <n v="48.293182000000002"/>
    <n v="-118.14299"/>
    <x v="0"/>
    <x v="0"/>
    <x v="7"/>
    <n v="-8"/>
    <n v="649.4"/>
    <n v="3.6897541999999999"/>
    <s v="Moderate"/>
    <n v="0.98317719999999997"/>
    <n v="17.314236470000001"/>
    <n v="555.60605740000005"/>
    <n v="744.51216839999995"/>
    <n v="0.7462686051109545"/>
    <n v="0.21413948999999999"/>
    <n v="0.15980559999999999"/>
    <n v="44.66769309"/>
    <x v="357"/>
    <n v="134.9008766"/>
    <n v="483202.20209999999"/>
    <n v="532609.56000000006"/>
    <n v="22.969768999999999"/>
    <n v="67.63746209"/>
  </r>
  <r>
    <n v="370"/>
    <x v="369"/>
    <n v="48.315742"/>
    <n v="-117.98294"/>
    <x v="0"/>
    <x v="0"/>
    <x v="7"/>
    <n v="-8"/>
    <n v="985.78947370000003"/>
    <n v="3.6697478000000001"/>
    <s v="Moderate"/>
    <n v="0.98225932999999999"/>
    <n v="12.17527196"/>
    <n v="390.69899859999998"/>
    <n v="523.53669430000002"/>
    <n v="0.74626860514980331"/>
    <n v="0.21480171000000001"/>
    <n v="0.16029978"/>
    <n v="44.497343569999998"/>
    <x v="358"/>
    <n v="115.389422"/>
    <n v="416170.24969999999"/>
    <n v="527466.80000000005"/>
    <n v="22.677845000000001"/>
    <n v="67.175188570000003"/>
  </r>
  <r>
    <n v="371"/>
    <x v="370"/>
    <n v="48.338140000000003"/>
    <n v="-117.822754"/>
    <x v="0"/>
    <x v="0"/>
    <x v="7"/>
    <n v="-8"/>
    <n v="717.1333333"/>
    <n v="3.6070082000000001"/>
    <s v="Moderate"/>
    <n v="0.98191890000000004"/>
    <n v="10.37618108"/>
    <n v="332.96694220000001"/>
    <n v="446.17578639999999"/>
    <n v="0.74626851646649561"/>
    <n v="0.20874951999999999"/>
    <n v="0.15578320000000001"/>
    <n v="45.77499289"/>
    <x v="359"/>
    <n v="115.389422"/>
    <n v="416170.24969999999"/>
    <n v="459266.94"/>
    <n v="20.318148000000001"/>
    <n v="66.093140890000001"/>
  </r>
  <r>
    <n v="372"/>
    <x v="371"/>
    <n v="48.360374"/>
    <n v="-117.66244500000001"/>
    <x v="0"/>
    <x v="0"/>
    <x v="7"/>
    <n v="-8"/>
    <n v="905.4375"/>
    <n v="3.6028152000000002"/>
    <s v="Moderate"/>
    <n v="0.98160296999999996"/>
    <n v="6.7573439210000004"/>
    <n v="216.84012569999999"/>
    <n v="290.56578860000002"/>
    <n v="0.74626860493376046"/>
    <n v="0.20913968999999999"/>
    <n v="0.15607436999999999"/>
    <n v="45.678053370000001"/>
    <x v="360"/>
    <n v="124.3377986"/>
    <n v="471085.1974"/>
    <n v="532578.56000000006"/>
    <n v="23.517524999999999"/>
    <n v="69.195578369999993"/>
  </r>
  <r>
    <n v="373"/>
    <x v="372"/>
    <n v="48.382454000000003"/>
    <n v="-117.502014"/>
    <x v="0"/>
    <x v="0"/>
    <x v="8"/>
    <n v="-8"/>
    <n v="1257.6875"/>
    <n v="3.5730696000000002"/>
    <s v="Moderate"/>
    <n v="0.98169669999999998"/>
    <n v="2.6150042180000002"/>
    <n v="83.914308640000002"/>
    <n v="112.4451814"/>
    <n v="0.74626860480123702"/>
    <n v="0.20918967999999999"/>
    <n v="0.15611172000000001"/>
    <n v="45.670544159999999"/>
    <x v="361"/>
    <n v="120.09345450000001"/>
    <n v="491772.13050000003"/>
    <n v="568409.9"/>
    <n v="25.093761000000001"/>
    <n v="70.764305159999992"/>
  </r>
  <r>
    <n v="374"/>
    <x v="373"/>
    <n v="48.40437"/>
    <n v="-117.341446"/>
    <x v="0"/>
    <x v="0"/>
    <x v="8"/>
    <n v="-8"/>
    <n v="762.64285710000001"/>
    <n v="3.4876014999999998"/>
    <s v="Moderate"/>
    <n v="0.98157846999999998"/>
    <n v="8.8717682369999995"/>
    <n v="284.69105059999998"/>
    <n v="381.48603420000001"/>
    <n v="0.7462686050801699"/>
    <n v="0.20015358999999999"/>
    <n v="0.14936835000000001"/>
    <n v="47.727866980000002"/>
    <x v="362"/>
    <n v="115.9497077"/>
    <n v="442743.39270000003"/>
    <n v="486363.8"/>
    <n v="22.441004"/>
    <n v="70.168870980000008"/>
  </r>
  <r>
    <n v="375"/>
    <x v="374"/>
    <n v="48.426124999999999"/>
    <n v="-117.180756"/>
    <x v="0"/>
    <x v="0"/>
    <x v="8"/>
    <n v="-8"/>
    <n v="1099.6875"/>
    <n v="3.5281549999999999"/>
    <s v="Moderate"/>
    <n v="0.98172915000000005"/>
    <n v="6.3306354860000003"/>
    <n v="203.14726820000001"/>
    <n v="272.21732589999999"/>
    <n v="0.74626869369301974"/>
    <n v="0.20446868000000001"/>
    <n v="0.15258856000000001"/>
    <n v="46.726261549999997"/>
    <x v="363"/>
    <n v="141.49006489999999"/>
    <n v="518562.2794"/>
    <n v="684877"/>
    <n v="30.933579999999999"/>
    <n v="77.659841549999996"/>
  </r>
  <r>
    <n v="376"/>
    <x v="375"/>
    <n v="48.447719999999997"/>
    <n v="-117.01994999999999"/>
    <x v="0"/>
    <x v="1"/>
    <x v="13"/>
    <n v="-8"/>
    <n v="928.8"/>
    <n v="3.4473335999999999"/>
    <s v="Moderate"/>
    <n v="0.98184269999999996"/>
    <n v="12.14206216"/>
    <n v="389.63326460000002"/>
    <n v="522.10867280000002"/>
    <n v="0.7462685163041789"/>
    <n v="0.19777429999999999"/>
    <n v="0.14759274"/>
    <n v="48.312266399999999"/>
    <x v="364"/>
    <n v="315.34175310000001"/>
    <n v="1168665.02"/>
    <n v="1436043.2"/>
    <n v="67.05668"/>
    <n v="115.3689464"/>
  </r>
  <r>
    <n v="377"/>
    <x v="376"/>
    <n v="48.469154000000003"/>
    <n v="-116.85902400000001"/>
    <x v="0"/>
    <x v="1"/>
    <x v="13"/>
    <n v="-8"/>
    <n v="875.15789470000004"/>
    <n v="3.4363315000000001"/>
    <s v="Moderate"/>
    <n v="0.98128170000000003"/>
    <n v="29.459537839999999"/>
    <n v="945.34342549999997"/>
    <n v="1266.760127"/>
    <n v="0.74626869393087547"/>
    <n v="0.19664063000000001"/>
    <n v="0.14674673999999999"/>
    <n v="48.568994629999999"/>
    <x v="365"/>
    <n v="352.48215570000002"/>
    <n v="1337688.531"/>
    <n v="1624272.8"/>
    <n v="76.283410000000003"/>
    <n v="124.85240463"/>
  </r>
  <r>
    <n v="378"/>
    <x v="377"/>
    <n v="48.490425000000002"/>
    <n v="-116.69797"/>
    <x v="0"/>
    <x v="1"/>
    <x v="13"/>
    <n v="-8"/>
    <n v="1459.666667"/>
    <n v="3.4096462999999999"/>
    <s v="Moderate"/>
    <n v="0.98155340000000002"/>
    <n v="0.51418802699999999"/>
    <n v="16.500064380000001"/>
    <n v="22.110085170000001"/>
    <n v="0.74626869381706684"/>
    <n v="0.19793638999999999"/>
    <n v="0.14771369000000001"/>
    <n v="56.367111180000002"/>
    <x v="366"/>
    <n v="362.55530499999998"/>
    <n v="1379563.746"/>
    <n v="1553391.8"/>
    <n v="72.476929999999996"/>
    <n v="128.84404118"/>
  </r>
  <r>
    <n v="379"/>
    <x v="378"/>
    <n v="48.511536"/>
    <n v="-116.53677999999999"/>
    <x v="0"/>
    <x v="1"/>
    <x v="13"/>
    <n v="-8"/>
    <n v="1027.526316"/>
    <n v="3.4480032999999999"/>
    <s v="Moderate"/>
    <n v="0.98187685000000002"/>
    <n v="6.7474616640000002"/>
    <n v="216.52303430000001"/>
    <n v="290.1408515"/>
    <n v="0.74626869391399719"/>
    <n v="0.1987892"/>
    <n v="0.14835016000000001"/>
    <n v="48.066909410000001"/>
    <x v="367"/>
    <n v="362.55530499999998"/>
    <n v="1379563.746"/>
    <n v="1506643.2"/>
    <n v="69.994200000000006"/>
    <n v="118.06110941"/>
  </r>
  <r>
    <n v="380"/>
    <x v="379"/>
    <n v="48.532485999999999"/>
    <n v="-116.37549"/>
    <x v="0"/>
    <x v="1"/>
    <x v="10"/>
    <n v="-8"/>
    <n v="918"/>
    <n v="3.5127907"/>
    <s v="Moderate"/>
    <n v="0.98224929999999999"/>
    <n v="20.942063529999999"/>
    <n v="672.02147490000004"/>
    <n v="900.50873160000003"/>
    <n v="0.74626869381485073"/>
    <n v="0.2029436"/>
    <n v="0.15145046000000001"/>
    <n v="47.096970919999997"/>
    <x v="368"/>
    <n v="378.34212969999999"/>
    <n v="1442074.584"/>
    <n v="1531212.6"/>
    <n v="69.679429999999996"/>
    <n v="116.77640091999999"/>
  </r>
  <r>
    <n v="381"/>
    <x v="380"/>
    <n v="48.553272"/>
    <n v="-116.214066"/>
    <x v="0"/>
    <x v="1"/>
    <x v="10"/>
    <n v="-8"/>
    <n v="1405.666667"/>
    <n v="3.59259"/>
    <s v="Moderate"/>
    <n v="0.98243994000000001"/>
    <n v="0.35996398899999998"/>
    <n v="11.55108517"/>
    <n v="15.47845152"/>
    <n v="0.74626878244730255"/>
    <n v="0.21157618"/>
    <n v="0.1578927"/>
    <n v="54.887749419999999"/>
    <x v="369"/>
    <n v="396.70012320000001"/>
    <n v="1520048.6880000001"/>
    <n v="1717032.9"/>
    <n v="74.947339999999997"/>
    <n v="129.83508942"/>
  </r>
  <r>
    <n v="382"/>
    <x v="381"/>
    <n v="48.573900000000002"/>
    <n v="-116.052536"/>
    <x v="0"/>
    <x v="2"/>
    <x v="14"/>
    <n v="-7"/>
    <n v="936.5"/>
    <n v="3.4796163999999998"/>
    <s v="Moderate"/>
    <n v="0.98279870000000003"/>
    <n v="10.83488313"/>
    <n v="347.68656549999997"/>
    <n v="465.89997460000001"/>
    <n v="0.74626869382963035"/>
    <n v="0.20022261"/>
    <n v="0.14941984"/>
    <n v="47.757983420000002"/>
    <x v="370"/>
    <n v="363.42442190000003"/>
    <n v="1624341.7120000001"/>
    <n v="1772242.4"/>
    <n v="81.743719999999996"/>
    <n v="129.50170342000001"/>
  </r>
  <r>
    <n v="383"/>
    <x v="382"/>
    <n v="48.594360000000002"/>
    <n v="-115.89087000000001"/>
    <x v="0"/>
    <x v="2"/>
    <x v="14"/>
    <n v="-7"/>
    <n v="966.07692310000004"/>
    <n v="3.4427238"/>
    <s v="Moderate"/>
    <n v="0.98301755999999996"/>
    <n v="7.2164523559999996"/>
    <n v="231.57270879999999"/>
    <n v="310.30745130000003"/>
    <n v="0.74626860499111702"/>
    <n v="0.19808998999999999"/>
    <n v="0.14782835999999999"/>
    <n v="48.280572409999998"/>
    <x v="371"/>
    <n v="355.64604530000003"/>
    <n v="1582315.5260000001"/>
    <n v="1694317.4"/>
    <n v="78.990819999999999"/>
    <n v="127.27139241"/>
  </r>
  <r>
    <n v="384"/>
    <x v="383"/>
    <n v="48.614662000000003"/>
    <n v="-115.729095"/>
    <x v="0"/>
    <x v="2"/>
    <x v="14"/>
    <n v="-7"/>
    <n v="1357"/>
    <n v="3.4582307000000001"/>
    <s v="Moderate"/>
    <n v="0.98346882999999996"/>
    <n v="7.0307994999999998E-2"/>
    <n v="2.2561521820000001"/>
    <n v="3.023243774"/>
    <n v="0.74626869371335058"/>
    <n v="0.20015050000000001"/>
    <n v="0.14936604000000001"/>
    <n v="69.814668470000001"/>
    <x v="372"/>
    <n v="355.64604530000003"/>
    <n v="1582315.5260000001"/>
    <n v="1798091.5"/>
    <n v="82.965869999999995"/>
    <n v="152.78053847000001"/>
  </r>
  <r>
    <n v="385"/>
    <x v="384"/>
    <n v="48.634796000000001"/>
    <n v="-115.567215"/>
    <x v="0"/>
    <x v="2"/>
    <x v="14"/>
    <n v="-7"/>
    <n v="1336.333333"/>
    <n v="3.4502856999999998"/>
    <s v="Moderate"/>
    <n v="0.98360055999999996"/>
    <n v="1.282391936"/>
    <n v="41.151385060000003"/>
    <n v="55.142853240000001"/>
    <n v="0.7462686938032661"/>
    <n v="0.19991390000000001"/>
    <n v="0.14918946"/>
    <n v="50.626943750000002"/>
    <x v="373"/>
    <n v="310.80511669999999"/>
    <n v="1317859.344"/>
    <n v="1601169.2"/>
    <n v="73.967110000000005"/>
    <n v="124.59405375"/>
  </r>
  <r>
    <n v="386"/>
    <x v="385"/>
    <n v="48.654769999999999"/>
    <n v="-115.40521"/>
    <x v="0"/>
    <x v="2"/>
    <x v="14"/>
    <n v="-7"/>
    <n v="1076"/>
    <n v="3.456842"/>
    <s v="Moderate"/>
    <n v="0.98382645999999996"/>
    <n v="0.157463989"/>
    <n v="5.0529491479999997"/>
    <n v="6.7709515219999998"/>
    <n v="0.74626869378433569"/>
    <n v="0.19992797000000001"/>
    <n v="0.14919999"/>
    <n v="63.784683680000001"/>
    <x v="374"/>
    <n v="295.59027259999999"/>
    <n v="1242294.4909999999"/>
    <n v="1560929.1"/>
    <n v="72.103120000000004"/>
    <n v="135.88780367999999"/>
  </r>
  <r>
    <n v="387"/>
    <x v="386"/>
    <n v="48.694229999999997"/>
    <n v="-115.08085"/>
    <x v="0"/>
    <x v="2"/>
    <x v="14"/>
    <n v="-7"/>
    <n v="1306.4285709999999"/>
    <n v="3.5259068"/>
    <s v="Moderate"/>
    <n v="0.98417412999999998"/>
    <n v="2.2083841190000002"/>
    <n v="70.866052640000007"/>
    <n v="94.960517100000004"/>
    <n v="0.74626860514431637"/>
    <n v="0.20557238"/>
    <n v="0.15341225"/>
    <n v="46.566235169999999"/>
    <x v="375"/>
    <n v="286.24790890000003"/>
    <n v="1163172.7890000001"/>
    <n v="1347539.2"/>
    <n v="60.537019999999998"/>
    <n v="107.10325517"/>
  </r>
  <r>
    <n v="388"/>
    <x v="387"/>
    <n v="48.713715000000001"/>
    <n v="-114.91849999999999"/>
    <x v="0"/>
    <x v="2"/>
    <x v="14"/>
    <n v="-7"/>
    <n v="1134.7"/>
    <n v="3.4164987"/>
    <s v="Moderate"/>
    <n v="0.98422719999999997"/>
    <n v="42.288640579999999"/>
    <n v="1357.023447"/>
    <n v="1818.4115449999999"/>
    <n v="0.7462686049983257"/>
    <n v="0.19680887"/>
    <n v="0.14687230000000001"/>
    <n v="48.641799470000002"/>
    <x v="376"/>
    <n v="278.14946090000001"/>
    <n v="1119900.7649999999"/>
    <n v="1207440.8"/>
    <n v="56.658560000000001"/>
    <n v="105.30035947"/>
  </r>
  <r>
    <n v="389"/>
    <x v="388"/>
    <n v="48.733035999999998"/>
    <n v="-114.75604"/>
    <x v="0"/>
    <x v="2"/>
    <x v="14"/>
    <n v="-7"/>
    <n v="1561.5454549999999"/>
    <n v="3.3647783000000002"/>
    <s v="Moderate"/>
    <n v="0.98135229999999996"/>
    <n v="5.4717121579999999"/>
    <n v="175.58478099999999"/>
    <n v="235.28362279999999"/>
    <n v="0.74626860514322202"/>
    <n v="0.19402834999999999"/>
    <n v="0.14479729999999999"/>
    <n v="49.22567076"/>
    <x v="377"/>
    <n v="271.89468820000002"/>
    <n v="1084734.3330000001"/>
    <n v="1217226.8"/>
    <n v="57.93629"/>
    <n v="107.16196076"/>
  </r>
  <r>
    <n v="390"/>
    <x v="389"/>
    <n v="48.752189999999999"/>
    <n v="-114.593475"/>
    <x v="0"/>
    <x v="2"/>
    <x v="16"/>
    <n v="-7"/>
    <n v="1823.25"/>
    <n v="3.3323168999999999"/>
    <s v="Moderate"/>
    <n v="0.98136389999999996"/>
    <n v="1.605743921"/>
    <n v="51.527599870000003"/>
    <n v="69.046988600000006"/>
    <n v="0.74626860511625559"/>
    <n v="0.19323868"/>
    <n v="0.14420796999999999"/>
    <n v="51.040080920000001"/>
    <x v="378"/>
    <n v="270.78645440000003"/>
    <n v="1077404.2790000001"/>
    <n v="1285935.2"/>
    <n v="61.45673"/>
    <n v="112.49681092"/>
  </r>
  <r>
    <n v="391"/>
    <x v="390"/>
    <n v="48.771183000000001"/>
    <n v="-114.430786"/>
    <x v="0"/>
    <x v="2"/>
    <x v="16"/>
    <n v="-7"/>
    <n v="1197"/>
    <n v="3.3997543000000001"/>
    <s v="Moderate"/>
    <n v="0.98141104000000001"/>
    <n v="2.70993598"/>
    <n v="86.960626180000006"/>
    <n v="116.5272471"/>
    <n v="0.7462686053620845"/>
    <n v="0.19591747000000001"/>
    <n v="0.14620702999999999"/>
    <n v="48.753326520000002"/>
    <x v="379"/>
    <n v="256.31235049999998"/>
    <n v="994259.30619999999"/>
    <n v="1300979.3999999999"/>
    <n v="61.325577000000003"/>
    <n v="110.07890352000001"/>
  </r>
  <r>
    <n v="392"/>
    <x v="391"/>
    <n v="48.790016000000001"/>
    <n v="-114.268"/>
    <x v="0"/>
    <x v="2"/>
    <x v="16"/>
    <n v="-7"/>
    <n v="1212.8461540000001"/>
    <n v="3.4085885999999999"/>
    <s v="Moderate"/>
    <n v="0.98143256000000001"/>
    <n v="9.1063439210000006"/>
    <n v="292.21847869999999"/>
    <n v="391.57278860000002"/>
    <n v="0.74626860498855407"/>
    <n v="0.19549051000000001"/>
    <n v="0.14588846"/>
    <n v="48.860629340000003"/>
    <x v="380"/>
    <n v="251.18764920000001"/>
    <n v="963404.30980000005"/>
    <n v="1364340.4"/>
    <n v="64.452749999999995"/>
    <n v="113.31337934"/>
  </r>
  <r>
    <n v="393"/>
    <x v="392"/>
    <n v="48.863678"/>
    <n v="-113.61574"/>
    <x v="0"/>
    <x v="2"/>
    <x v="19"/>
    <n v="-7"/>
    <n v="1778.25"/>
    <n v="3.6731777000000001"/>
    <s v="Moderate"/>
    <n v="0.98157170000000005"/>
    <n v="0.85698008699999995"/>
    <n v="27.500102080000001"/>
    <n v="36.850143719999998"/>
    <n v="0.74626851631720048"/>
    <n v="0.22001088999999999"/>
    <n v="0.16418724000000001"/>
    <n v="47.965108290000003"/>
    <x v="381"/>
    <n v="291.48444790000002"/>
    <n v="795282.28289999999"/>
    <n v="972438.25"/>
    <n v="40.818989999999999"/>
    <n v="88.784098290000003"/>
  </r>
  <r>
    <n v="394"/>
    <x v="393"/>
    <n v="48.881683000000002"/>
    <n v="-113.45241"/>
    <x v="0"/>
    <x v="2"/>
    <x v="19"/>
    <n v="-7"/>
    <n v="1545.166667"/>
    <n v="3.6914098000000002"/>
    <s v="Moderate"/>
    <n v="0.98162097000000004"/>
    <n v="54.366551370000003"/>
    <n v="1744.5981690000001"/>
    <n v="2337.7617089999999"/>
    <n v="0.74626860482981761"/>
    <n v="0.22379832999999999"/>
    <n v="0.16701367"/>
    <n v="42.686777159999998"/>
    <x v="382"/>
    <n v="291.48444790000002"/>
    <n v="795282.28289999999"/>
    <n v="892771.94"/>
    <n v="36.840719999999997"/>
    <n v="79.527497159999996"/>
  </r>
  <r>
    <n v="395"/>
    <x v="394"/>
    <n v="48.899524999999997"/>
    <n v="-113.28897000000001"/>
    <x v="0"/>
    <x v="2"/>
    <x v="19"/>
    <n v="-7"/>
    <n v="1493.058824"/>
    <n v="3.6826186000000001"/>
    <s v="Moderate"/>
    <n v="0.98166960000000003"/>
    <n v="60.919368310000003"/>
    <n v="1954.8751159999999"/>
    <n v="2619.5328370000002"/>
    <n v="0.74626860499248626"/>
    <n v="0.22534900999999999"/>
    <n v="0.16817090000000001"/>
    <n v="42.394691299999998"/>
    <x v="383"/>
    <n v="283.56709719999998"/>
    <n v="767152.33550000004"/>
    <n v="843618.3"/>
    <n v="34.572814999999999"/>
    <n v="76.967506299999997"/>
  </r>
  <r>
    <n v="396"/>
    <x v="395"/>
    <n v="48.917200000000001"/>
    <n v="-113.125435"/>
    <x v="0"/>
    <x v="2"/>
    <x v="19"/>
    <n v="-7"/>
    <n v="1418.85"/>
    <n v="3.6766157000000002"/>
    <s v="Moderate"/>
    <n v="0.98171140000000001"/>
    <n v="68.950846580000004"/>
    <n v="2212.6016399999999"/>
    <n v="2964.886403"/>
    <n v="0.74626860501677028"/>
    <n v="0.22510932"/>
    <n v="0.16799204000000001"/>
    <n v="42.441241040000001"/>
    <x v="384"/>
    <n v="279.81158429999999"/>
    <n v="756731.21400000004"/>
    <n v="847815.4"/>
    <n v="34.781815000000002"/>
    <n v="77.223056040000003"/>
  </r>
  <r>
    <n v="397"/>
    <x v="396"/>
    <n v="48.934708000000001"/>
    <n v="-112.96178999999999"/>
    <x v="0"/>
    <x v="2"/>
    <x v="19"/>
    <n v="-7"/>
    <n v="1352.8125"/>
    <n v="3.6882630000000001"/>
    <s v="Moderate"/>
    <n v="0.98176030000000003"/>
    <n v="105.10714249999999"/>
    <n v="3372.8405050000001"/>
    <n v="4519.6071270000002"/>
    <n v="0.74626851631655111"/>
    <n v="0.22574965999999999"/>
    <n v="0.16846990000000001"/>
    <n v="42.32251582"/>
    <x v="385"/>
    <n v="275.06872060000001"/>
    <n v="742573.81050000002"/>
    <n v="886211.44"/>
    <n v="36.253895"/>
    <n v="78.576410820000007"/>
  </r>
  <r>
    <n v="398"/>
    <x v="397"/>
    <n v="48.95205"/>
    <n v="-112.79804"/>
    <x v="0"/>
    <x v="2"/>
    <x v="19"/>
    <n v="-7"/>
    <n v="1285.5"/>
    <n v="3.6913497"/>
    <s v="Moderate"/>
    <n v="0.98181490000000005"/>
    <n v="66.796808200000001"/>
    <n v="2143.479773"/>
    <n v="2872.262753"/>
    <n v="0.74626869382377847"/>
    <n v="0.22602072000000001"/>
    <n v="0.16867219999999999"/>
    <n v="42.273607130000002"/>
    <x v="386"/>
    <n v="275.06872060000001"/>
    <n v="742573.81050000002"/>
    <n v="921893.1"/>
    <n v="37.66836"/>
    <n v="79.941967129999995"/>
  </r>
  <r>
    <n v="399"/>
    <x v="398"/>
    <n v="48.969226999999997"/>
    <n v="-112.63420000000001"/>
    <x v="0"/>
    <x v="2"/>
    <x v="19"/>
    <n v="-7"/>
    <n v="1252.363636"/>
    <n v="3.6983244000000002"/>
    <s v="Moderate"/>
    <n v="0.98187100000000005"/>
    <n v="58.377024319999997"/>
    <n v="1873.2922189999999"/>
    <n v="2510.2120460000001"/>
    <n v="0.7462685162335484"/>
    <n v="0.22662508000000001"/>
    <n v="0.1691232"/>
    <n v="42.162766619999999"/>
    <x v="387"/>
    <n v="237.1732336"/>
    <n v="633079.50639999995"/>
    <n v="801226.94"/>
    <n v="32.650660000000002"/>
    <n v="74.813426620000001"/>
  </r>
  <r>
    <n v="400"/>
    <x v="399"/>
    <n v="48.986237000000003"/>
    <n v="-112.47024500000001"/>
    <x v="0"/>
    <x v="2"/>
    <x v="19"/>
    <n v="-7"/>
    <n v="1264.9000000000001"/>
    <n v="3.6862887999999998"/>
    <s v="Moderate"/>
    <n v="0.98190105000000005"/>
    <n v="39.152077730000002"/>
    <n v="1256.3727060000001"/>
    <n v="1683.5393429999999"/>
    <n v="0.74626869352586322"/>
    <n v="0.22567087"/>
    <n v="0.16841110000000001"/>
    <n v="42.342055469999998"/>
    <x v="388"/>
    <n v="237.1732336"/>
    <n v="633079.50639999995"/>
    <n v="748101.4"/>
    <n v="30.614653000000001"/>
    <n v="72.956708469999995"/>
  </r>
  <r>
    <n v="401"/>
    <x v="400"/>
    <n v="47.226179999999999"/>
    <n v="-124.07617"/>
    <x v="0"/>
    <x v="0"/>
    <x v="15"/>
    <n v="-8"/>
    <n v="75.650000000000006"/>
    <n v="3.1657467000000001"/>
    <s v="Moderate"/>
    <n v="1.0208018000000001"/>
    <n v="78.794537700000006"/>
    <n v="2528.4809580000001"/>
    <n v="3388.165121"/>
    <n v="0.74626851635074132"/>
    <n v="0.18399824000000001"/>
    <n v="0.13731213"/>
    <n v="53.546933660000001"/>
    <x v="389"/>
    <n v="254.2004154"/>
    <n v="880561.99910000002"/>
    <n v="974275.1"/>
    <n v="48.900393999999999"/>
    <n v="102.44732766"/>
  </r>
  <r>
    <n v="402"/>
    <x v="401"/>
    <n v="47.25461"/>
    <n v="-123.92171999999999"/>
    <x v="0"/>
    <x v="0"/>
    <x v="15"/>
    <n v="-8"/>
    <n v="124.16666669999999"/>
    <n v="3.0999857999999998"/>
    <s v="Moderate"/>
    <n v="1.0206983999999999"/>
    <n v="66.386144529999996"/>
    <n v="2130.3012520000002"/>
    <n v="2854.6042149999998"/>
    <n v="0.74626851624683121"/>
    <n v="0.17848994000000001"/>
    <n v="0.13320141999999999"/>
    <n v="55.195004369999999"/>
    <x v="390"/>
    <n v="269.43709719999998"/>
    <n v="940518.32750000001"/>
    <n v="980473.06"/>
    <n v="50.730167000000002"/>
    <n v="105.92517137"/>
  </r>
  <r>
    <n v="403"/>
    <x v="402"/>
    <n v="47.282882999999998"/>
    <n v="-123.76712000000001"/>
    <x v="0"/>
    <x v="0"/>
    <x v="15"/>
    <n v="-8"/>
    <n v="217"/>
    <n v="3.1079496999999998"/>
    <s v="Moderate"/>
    <n v="1.0206401000000001"/>
    <n v="26.294140500000001"/>
    <n v="843.76703659999998"/>
    <n v="1130.648042"/>
    <n v="0.74626851615774514"/>
    <n v="0.17824358000000001"/>
    <n v="0.13301760000000001"/>
    <n v="55.268791829999998"/>
    <x v="391"/>
    <n v="271.5044479"/>
    <n v="949583.45409999997"/>
    <n v="1087988"/>
    <n v="56.370857000000001"/>
    <n v="111.63964883"/>
  </r>
  <r>
    <n v="404"/>
    <x v="403"/>
    <n v="47.311010000000003"/>
    <n v="-123.61236599999999"/>
    <x v="0"/>
    <x v="0"/>
    <x v="15"/>
    <n v="-8"/>
    <n v="273.35294119999998"/>
    <n v="3.1785996000000001"/>
    <s v="Moderate"/>
    <n v="1.0206145"/>
    <n v="28.122066870000001"/>
    <n v="902.42436420000001"/>
    <n v="1209.248875"/>
    <n v="0.74626851664426819"/>
    <n v="0.18251848000000001"/>
    <n v="0.13620782000000001"/>
    <n v="53.973221850000002"/>
    <x v="392"/>
    <n v="271.5044479"/>
    <n v="949583.45409999997"/>
    <n v="1166960"/>
    <n v="59.046413000000001"/>
    <n v="113.01963485"/>
  </r>
  <r>
    <n v="405"/>
    <x v="404"/>
    <n v="47.338977999999997"/>
    <n v="-123.45746"/>
    <x v="0"/>
    <x v="0"/>
    <x v="17"/>
    <n v="-8"/>
    <n v="362.11111110000002"/>
    <n v="3.1797236999999998"/>
    <s v="Moderate"/>
    <n v="1.0206287999999999"/>
    <n v="4.3518060790000002"/>
    <n v="139.64749879999999"/>
    <n v="187.12766139999999"/>
    <n v="0.74626860484026758"/>
    <n v="0.18220049999999999"/>
    <n v="0.13597049999999999"/>
    <n v="54.068026029999999"/>
    <x v="393"/>
    <n v="184.54707780000001"/>
    <n v="583727.13529999997"/>
    <n v="783304.7"/>
    <n v="39.703204999999997"/>
    <n v="93.771231029999996"/>
  </r>
  <r>
    <n v="406"/>
    <x v="405"/>
    <n v="47.366799999999998"/>
    <n v="-123.30240000000001"/>
    <x v="0"/>
    <x v="0"/>
    <x v="17"/>
    <n v="-8"/>
    <n v="279.08333329999999"/>
    <n v="3.3364235999999998"/>
    <s v="Moderate"/>
    <n v="1.020696"/>
    <n v="15.262182749999999"/>
    <n v="489.7565768"/>
    <n v="656.27385830000003"/>
    <n v="0.74626860510436388"/>
    <n v="0.19069895000000001"/>
    <n v="0.14231266000000001"/>
    <n v="51.661179480000001"/>
    <x v="394"/>
    <n v="193.420896"/>
    <n v="609422.67050000001"/>
    <n v="708418.44"/>
    <n v="34.307254999999998"/>
    <n v="85.968434479999999"/>
  </r>
  <r>
    <n v="407"/>
    <x v="406"/>
    <n v="47.394463000000002"/>
    <n v="-123.147194"/>
    <x v="0"/>
    <x v="0"/>
    <x v="17"/>
    <n v="-8"/>
    <n v="144.1538462"/>
    <n v="3.3349842999999999"/>
    <s v="Moderate"/>
    <n v="1.0207808"/>
    <n v="28.566675"/>
    <n v="916.69174629999998"/>
    <n v="1228.367025"/>
    <n v="0.74626860510196447"/>
    <n v="0.18961425000000001"/>
    <n v="0.14150317000000001"/>
    <n v="51.960137330000002"/>
    <x v="395"/>
    <n v="201.40750639999999"/>
    <n v="633451.71660000004"/>
    <n v="688487.25"/>
    <n v="33.532760000000003"/>
    <n v="85.492897330000005"/>
  </r>
  <r>
    <n v="408"/>
    <x v="407"/>
    <n v="47.421973999999999"/>
    <n v="-122.99184"/>
    <x v="0"/>
    <x v="0"/>
    <x v="17"/>
    <n v="-8"/>
    <n v="96"/>
    <n v="3.3335911999999999"/>
    <s v="Moderate"/>
    <n v="1.0208976999999999"/>
    <n v="44.345312839999998"/>
    <n v="1423.021135"/>
    <n v="1906.848452"/>
    <n v="0.74626860540881623"/>
    <n v="0.18915536999999999"/>
    <n v="0.14116073000000001"/>
    <n v="52.090914159999997"/>
    <x v="396"/>
    <n v="203.75125310000001"/>
    <n v="653289.25870000001"/>
    <n v="780983.7"/>
    <n v="38.130077"/>
    <n v="90.220991159999997"/>
  </r>
  <r>
    <n v="409"/>
    <x v="408"/>
    <n v="47.449337"/>
    <n v="-122.83633"/>
    <x v="0"/>
    <x v="0"/>
    <x v="17"/>
    <n v="-8"/>
    <n v="108.3125"/>
    <n v="3.2689870000000001"/>
    <s v="Moderate"/>
    <n v="1.0210163999999999"/>
    <n v="54.708372949999998"/>
    <n v="1755.5670700000001"/>
    <n v="2352.4600369999998"/>
    <n v="0.74626860494463743"/>
    <n v="0.18617009000000001"/>
    <n v="0.13893288000000001"/>
    <n v="52.931070499999997"/>
    <x v="397"/>
    <n v="203.75125310000001"/>
    <n v="653289.25870000001"/>
    <n v="700597.4"/>
    <n v="34.753857000000004"/>
    <n v="87.684927500000001"/>
  </r>
  <r>
    <n v="410"/>
    <x v="409"/>
    <n v="47.476546999999997"/>
    <n v="-122.68066399999999"/>
    <x v="0"/>
    <x v="0"/>
    <x v="11"/>
    <n v="-8"/>
    <n v="112.25"/>
    <n v="3.2509749999999999"/>
    <s v="Moderate"/>
    <n v="1.0211302"/>
    <n v="38.652958740000003"/>
    <n v="1240.3561999999999"/>
    <n v="1662.0772260000001"/>
    <n v="0.74626869353421965"/>
    <n v="0.18575121"/>
    <n v="0.13862031999999999"/>
    <n v="53.055102390000002"/>
    <x v="398"/>
    <n v="222.91814919999999"/>
    <n v="717958.73340000003"/>
    <n v="760757.25"/>
    <n v="37.823250000000002"/>
    <n v="90.878352390000003"/>
  </r>
  <r>
    <n v="411"/>
    <x v="410"/>
    <n v="47.503599999999999"/>
    <n v="-122.52487000000001"/>
    <x v="0"/>
    <x v="0"/>
    <x v="11"/>
    <n v="-8"/>
    <n v="72.142857140000004"/>
    <n v="3.3097061999999999"/>
    <s v="Moderate"/>
    <n v="1.0212292999999999"/>
    <n v="9.5603493159999999"/>
    <n v="306.78730760000002"/>
    <n v="411.0950206"/>
    <n v="0.74626860513230941"/>
    <n v="0.18933393000000001"/>
    <n v="0.14129399000000001"/>
    <n v="52.055154440000003"/>
    <x v="399"/>
    <n v="228.9737336"/>
    <n v="774277.24739999999"/>
    <n v="819297.06"/>
    <n v="39.962935999999999"/>
    <n v="92.018090440000009"/>
  </r>
  <r>
    <n v="412"/>
    <x v="411"/>
    <n v="47.530501999999998"/>
    <n v="-122.36891"/>
    <x v="0"/>
    <x v="0"/>
    <x v="18"/>
    <n v="-8"/>
    <n v="58.111111110000003"/>
    <n v="3.3717622999999999"/>
    <s v="Moderate"/>
    <n v="1.0212821999999999"/>
    <n v="4.8287341189999999"/>
    <n v="154.9519234"/>
    <n v="207.6355671"/>
    <n v="0.74626869357778736"/>
    <n v="0.19275321000000001"/>
    <n v="0.14384565999999999"/>
    <n v="51.133838130000001"/>
    <x v="17"/>
    <n v="8.0329350599999998"/>
    <n v="35343.807119999998"/>
    <n v="77033.835999999996"/>
    <n v="3.6908324000000001"/>
    <n v="54.824670529999999"/>
  </r>
  <r>
    <n v="413"/>
    <x v="412"/>
    <n v="47.557250000000003"/>
    <n v="-122.21281399999999"/>
    <x v="0"/>
    <x v="0"/>
    <x v="18"/>
    <n v="-8"/>
    <n v="85.5"/>
    <n v="3.2517027999999999"/>
    <s v="Moderate"/>
    <n v="1.0212607"/>
    <n v="3.6245067629999999"/>
    <n v="116.3088049"/>
    <n v="155.85379080000001"/>
    <n v="0.74626869390205419"/>
    <n v="0.18461900000000001"/>
    <n v="0.13777538"/>
    <n v="53.38588034"/>
    <x v="400"/>
    <n v="39.12725322"/>
    <n v="156810.58720000001"/>
    <n v="188419.56"/>
    <n v="9.4252749999999992"/>
    <n v="62.811155339999999"/>
  </r>
  <r>
    <n v="414"/>
    <x v="413"/>
    <n v="47.583846999999999"/>
    <n v="-122.05658"/>
    <x v="0"/>
    <x v="0"/>
    <x v="18"/>
    <n v="-8"/>
    <n v="136.94444440000001"/>
    <n v="3.1368407999999999"/>
    <s v="Moderate"/>
    <n v="1.0211513999999999"/>
    <n v="10.461959800000001"/>
    <n v="335.71958239999998"/>
    <n v="449.86427149999997"/>
    <n v="0.74626860515194304"/>
    <n v="0.17606889000000001"/>
    <n v="0.1313947"/>
    <n v="55.973613960000002"/>
    <x v="401"/>
    <n v="43.057467500000001"/>
    <n v="182062.6654"/>
    <n v="213080.08"/>
    <n v="11.17647"/>
    <n v="67.150083960000003"/>
  </r>
  <r>
    <n v="415"/>
    <x v="414"/>
    <n v="47.610287"/>
    <n v="-121.90018999999999"/>
    <x v="0"/>
    <x v="0"/>
    <x v="18"/>
    <n v="-8"/>
    <n v="155.07692309999999"/>
    <n v="3.0806746"/>
    <s v="Moderate"/>
    <n v="1.0209903"/>
    <n v="15.604487840000001"/>
    <n v="500.74099310000003"/>
    <n v="670.99297720000004"/>
    <n v="0.74626860505985038"/>
    <n v="0.17150217000000001"/>
    <n v="0.12798667999999999"/>
    <n v="57.456893780000001"/>
    <x v="402"/>
    <n v="61.978850610000002"/>
    <n v="270576.40549999999"/>
    <n v="315397.94"/>
    <n v="16.983753"/>
    <n v="74.440646780000009"/>
  </r>
  <r>
    <n v="416"/>
    <x v="415"/>
    <n v="47.636574000000003"/>
    <n v="-121.74365"/>
    <x v="0"/>
    <x v="0"/>
    <x v="18"/>
    <n v="-8"/>
    <n v="513"/>
    <n v="2.9977771999999998"/>
    <s v="Low"/>
    <n v="1.0201960000000001"/>
    <n v="0.85535998800000002"/>
    <n v="27.448117109999998"/>
    <n v="36.780479470000003"/>
    <n v="0.74626860512756654"/>
    <n v="0.17006560000000001"/>
    <n v="0.12691464"/>
    <n v="64.03121831"/>
    <x v="180"/>
    <n v="62.09333762"/>
    <n v="258768.5828"/>
    <n v="380834.3"/>
    <n v="20.680641000000001"/>
    <n v="84.711859309999994"/>
  </r>
  <r>
    <n v="417"/>
    <x v="416"/>
    <n v="47.662703999999998"/>
    <n v="-121.586975"/>
    <x v="0"/>
    <x v="0"/>
    <x v="18"/>
    <n v="-8"/>
    <n v="802.33333330000005"/>
    <n v="3.0066060000000001"/>
    <s v="Moderate"/>
    <n v="1.0196297999999999"/>
    <n v="0.57477599300000004"/>
    <n v="18.444305159999999"/>
    <n v="24.71536768"/>
    <n v="0.74626869398853302"/>
    <n v="0.17220592000000001"/>
    <n v="0.12851185000000001"/>
    <n v="66.023313590000001"/>
    <x v="403"/>
    <n v="78.748181770000002"/>
    <n v="335859.32299999997"/>
    <n v="501059.44"/>
    <n v="26.871106999999999"/>
    <n v="92.894420589999996"/>
  </r>
  <r>
    <n v="418"/>
    <x v="417"/>
    <n v="47.688682999999997"/>
    <n v="-121.43016"/>
    <x v="0"/>
    <x v="0"/>
    <x v="18"/>
    <n v="-8"/>
    <n v="519"/>
    <n v="3.1645243000000001"/>
    <s v="Moderate"/>
    <n v="1.0187573000000001"/>
    <n v="0.25757999399999998"/>
    <n v="8.2656270779999996"/>
    <n v="11.07593973"/>
    <n v="0.74626869407856555"/>
    <n v="0.17820057"/>
    <n v="0.13298546999999999"/>
    <n v="69.711666589999993"/>
    <x v="404"/>
    <n v="118.5082726"/>
    <n v="470881.21950000001"/>
    <n v="584360.80000000005"/>
    <n v="30.284222"/>
    <n v="99.995888589999993"/>
  </r>
  <r>
    <n v="419"/>
    <x v="418"/>
    <n v="47.714500000000001"/>
    <n v="-121.27319"/>
    <x v="0"/>
    <x v="0"/>
    <x v="18"/>
    <n v="-8"/>
    <n v="613.66666669999995"/>
    <n v="3.2488291"/>
    <s v="Moderate"/>
    <n v="1.0177293000000001"/>
    <n v="0.27215998800000002"/>
    <n v="8.7334925749999996"/>
    <n v="11.702879469999999"/>
    <n v="0.74626869373371407"/>
    <n v="0.18341716"/>
    <n v="0.13687848"/>
    <n v="67.255269310000003"/>
    <x v="125"/>
    <n v="127.6121622"/>
    <n v="502459.37190000003"/>
    <n v="538772.06000000006"/>
    <n v="27.127485"/>
    <n v="94.382754309999996"/>
  </r>
  <r>
    <n v="420"/>
    <x v="419"/>
    <n v="47.740169999999999"/>
    <n v="-121.11609"/>
    <x v="0"/>
    <x v="0"/>
    <x v="18"/>
    <n v="-8"/>
    <n v="1280.666667"/>
    <n v="3.3285762999999999"/>
    <s v="Moderate"/>
    <n v="1.0165759000000001"/>
    <n v="0.107892005"/>
    <n v="3.4622054879999999"/>
    <n v="4.6393562260000003"/>
    <n v="0.7462685164370475"/>
    <n v="0.19082186000000001"/>
    <n v="0.14240436000000001"/>
    <n v="71.716577970000003"/>
    <x v="405"/>
    <n v="145.5062661"/>
    <n v="608157.071"/>
    <n v="664353.1"/>
    <n v="32.152540000000002"/>
    <n v="103.86911797"/>
  </r>
  <r>
    <n v="421"/>
    <x v="420"/>
    <n v="47.765680000000003"/>
    <n v="-120.95883000000001"/>
    <x v="0"/>
    <x v="0"/>
    <x v="12"/>
    <n v="-8"/>
    <n v="1251.5"/>
    <n v="3.4355880999999999"/>
    <s v="Moderate"/>
    <n v="1.0157149000000001"/>
    <n v="5.5079999999999999E-3"/>
    <n v="0.176749243"/>
    <n v="0.236844002"/>
    <n v="0.7462686051048909"/>
    <n v="0.19682870999999999"/>
    <n v="0.14688709999999999"/>
    <n v="98.526760359999997"/>
    <x v="406"/>
    <n v="155.52824659999999"/>
    <n v="655511.01260000002"/>
    <n v="712620.94"/>
    <n v="33.436016000000002"/>
    <n v="131.96277635999999"/>
  </r>
  <r>
    <n v="422"/>
    <x v="421"/>
    <n v="47.791035000000001"/>
    <n v="-120.80145"/>
    <x v="0"/>
    <x v="0"/>
    <x v="12"/>
    <n v="-8"/>
    <n v="939.6"/>
    <n v="3.8702673999999999"/>
    <s v="Moderate"/>
    <n v="1.0134890000000001"/>
    <n v="1.86429603"/>
    <n v="59.824413579999998"/>
    <n v="80.164729280000003"/>
    <n v="0.74626851630777435"/>
    <n v="0.22813411"/>
    <n v="0.17024933"/>
    <n v="43.650717810000003"/>
    <x v="407"/>
    <n v="173.4525908"/>
    <n v="602792.20420000004"/>
    <n v="671744.2"/>
    <n v="27.193062000000001"/>
    <n v="70.843779810000001"/>
  </r>
  <r>
    <n v="423"/>
    <x v="422"/>
    <n v="47.816229999999997"/>
    <n v="-120.64391999999999"/>
    <x v="0"/>
    <x v="0"/>
    <x v="12"/>
    <n v="-8"/>
    <n v="737.25"/>
    <n v="3.8743707999999999"/>
    <s v="Moderate"/>
    <n v="1.0120391"/>
    <n v="3.211973822"/>
    <n v="103.07080689999999"/>
    <n v="138.1148743"/>
    <n v="0.74626869424736531"/>
    <n v="0.22841481999999999"/>
    <n v="0.17045884"/>
    <n v="42.841354279999997"/>
    <x v="408"/>
    <n v="173.0244285"/>
    <n v="615481.33640000003"/>
    <n v="714436.56"/>
    <n v="28.885760999999999"/>
    <n v="71.727115279999992"/>
  </r>
  <r>
    <n v="424"/>
    <x v="423"/>
    <n v="47.841278000000003"/>
    <n v="-120.48625"/>
    <x v="0"/>
    <x v="0"/>
    <x v="12"/>
    <n v="-8"/>
    <n v="1131.2857140000001"/>
    <n v="4.0161300000000004"/>
    <s v="High"/>
    <n v="1.0097951000000001"/>
    <n v="0.54853194800000005"/>
    <n v="17.602145480000001"/>
    <n v="23.58687377"/>
    <n v="0.74626869383546968"/>
    <n v="0.24169752999999999"/>
    <n v="0.18037127999999999"/>
    <n v="46.909565870000002"/>
    <x v="409"/>
    <n v="148.42975319999999"/>
    <n v="472695.56459999998"/>
    <n v="635364.4"/>
    <n v="24.277000000000001"/>
    <n v="71.18656587000001"/>
  </r>
  <r>
    <n v="425"/>
    <x v="424"/>
    <n v="47.866165000000002"/>
    <n v="-120.328445"/>
    <x v="0"/>
    <x v="0"/>
    <x v="12"/>
    <n v="-8"/>
    <n v="1022.333333"/>
    <n v="4.0396004000000003"/>
    <s v="High"/>
    <n v="1.0079503000000001"/>
    <n v="0.17657999399999999"/>
    <n v="5.6663725439999997"/>
    <n v="7.5929397339999998"/>
    <n v="0.74626860511309834"/>
    <n v="0.24419156"/>
    <n v="0.18223248"/>
    <n v="52.610551569999998"/>
    <x v="410"/>
    <n v="147.38063629999999"/>
    <n v="477865.56160000002"/>
    <n v="625269.93999999994"/>
    <n v="23.647286999999999"/>
    <n v="76.25783856999999"/>
  </r>
  <r>
    <n v="426"/>
    <x v="425"/>
    <n v="47.890892000000001"/>
    <n v="-120.1705"/>
    <x v="0"/>
    <x v="0"/>
    <x v="12"/>
    <n v="-8"/>
    <n v="523.38461540000003"/>
    <n v="3.9507306"/>
    <s v="Moderate"/>
    <n v="1.0059578"/>
    <n v="3.9157018620000001"/>
    <n v="125.6531107"/>
    <n v="168.37518"/>
    <n v="0.74626860502836578"/>
    <n v="0.23686624000000001"/>
    <n v="0.17676583000000001"/>
    <n v="41.116651650000001"/>
    <x v="411"/>
    <n v="183.60075309999999"/>
    <n v="594710.39910000004"/>
    <n v="639269.25"/>
    <n v="24.924420999999999"/>
    <n v="66.041072650000004"/>
  </r>
  <r>
    <n v="427"/>
    <x v="426"/>
    <n v="47.915466000000002"/>
    <n v="-120.01242000000001"/>
    <x v="0"/>
    <x v="0"/>
    <x v="12"/>
    <n v="-8"/>
    <n v="725.16666669999995"/>
    <n v="4.0232986999999998"/>
    <s v="High"/>
    <n v="1.0038533999999999"/>
    <n v="16.012970289999998"/>
    <n v="513.84901100000002"/>
    <n v="688.55772239999999"/>
    <n v="0.74626860506183179"/>
    <n v="0.24371409999999999"/>
    <n v="0.18187619999999999"/>
    <n v="39.89538795"/>
    <x v="412"/>
    <n v="173.17399990000001"/>
    <n v="558000.37840000005"/>
    <n v="653048.80000000005"/>
    <n v="24.74625"/>
    <n v="64.641637950000003"/>
  </r>
  <r>
    <n v="428"/>
    <x v="427"/>
    <n v="47.939880000000002"/>
    <n v="-119.85420000000001"/>
    <x v="0"/>
    <x v="0"/>
    <x v="20"/>
    <n v="-8"/>
    <n v="630.04999999999995"/>
    <n v="3.9955463"/>
    <s v="Moderate"/>
    <n v="1.0015438999999999"/>
    <n v="23.906501370000001"/>
    <n v="767.14887139999996"/>
    <n v="1027.9795590000001"/>
    <n v="0.74626860493828151"/>
    <n v="0.24133036999999999"/>
    <n v="0.18009731000000001"/>
    <n v="40.216344460000002"/>
    <x v="413"/>
    <n v="180.76707780000001"/>
    <n v="509542.76490000001"/>
    <n v="553812"/>
    <n v="21.193114999999999"/>
    <n v="61.409459460000001"/>
  </r>
  <r>
    <n v="429"/>
    <x v="428"/>
    <n v="47.96414"/>
    <n v="-119.69584999999999"/>
    <x v="0"/>
    <x v="0"/>
    <x v="20"/>
    <n v="-8"/>
    <n v="658.47058819999995"/>
    <n v="3.9677137999999998"/>
    <s v="Moderate"/>
    <n v="0.99943729999999997"/>
    <n v="28.826280400000002"/>
    <n v="925.02236660000005"/>
    <n v="1239.5300569999999"/>
    <n v="0.74626860508635495"/>
    <n v="0.24064724000000001"/>
    <n v="0.17958747999999999"/>
    <n v="40.263635039999997"/>
    <x v="414"/>
    <n v="166.50605179999999"/>
    <n v="450959.99040000001"/>
    <n v="503944.53"/>
    <n v="19.339545999999999"/>
    <n v="59.603181039999996"/>
  </r>
  <r>
    <n v="430"/>
    <x v="429"/>
    <n v="47.988242999999997"/>
    <n v="-119.53736000000001"/>
    <x v="0"/>
    <x v="0"/>
    <x v="20"/>
    <n v="-8"/>
    <n v="598.5"/>
    <n v="3.9324126000000001"/>
    <s v="Moderate"/>
    <n v="0.99707924999999997"/>
    <n v="48.487814210000003"/>
    <n v="1555.9519539999999"/>
    <n v="2084.9760110000002"/>
    <n v="0.7462685161800644"/>
    <n v="0.239233"/>
    <n v="0.17853205999999999"/>
    <n v="40.426370179999999"/>
    <x v="96"/>
    <n v="152.35576610000001"/>
    <n v="408143.99329999997"/>
    <n v="450761.44"/>
    <n v="17.400835000000001"/>
    <n v="57.82720518"/>
  </r>
  <r>
    <n v="431"/>
    <x v="430"/>
    <n v="48.012188000000002"/>
    <n v="-119.37873999999999"/>
    <x v="0"/>
    <x v="0"/>
    <x v="20"/>
    <n v="-8"/>
    <n v="670.66666669999995"/>
    <n v="3.9221156000000001"/>
    <s v="Moderate"/>
    <n v="0.99493854999999998"/>
    <n v="80.579527729999995"/>
    <n v="2585.7607859999998"/>
    <n v="3464.9196929999998"/>
    <n v="0.74626860507730675"/>
    <n v="0.23871328"/>
    <n v="0.17814426"/>
    <n v="40.445868279999999"/>
    <x v="415"/>
    <n v="140.22650640000001"/>
    <n v="374869.12119999999"/>
    <n v="416388.97"/>
    <n v="16.108941999999999"/>
    <n v="56.554810279999998"/>
  </r>
  <r>
    <n v="432"/>
    <x v="431"/>
    <n v="48.035972999999998"/>
    <n v="-119.21998000000001"/>
    <x v="0"/>
    <x v="0"/>
    <x v="20"/>
    <n v="-8"/>
    <n v="662.94736839999996"/>
    <n v="3.9152529999999999"/>
    <s v="Moderate"/>
    <n v="0.99260300000000001"/>
    <n v="72.637398630000007"/>
    <n v="2330.901437"/>
    <n v="3123.4081409999999"/>
    <n v="0.74626860524661742"/>
    <n v="0.23807803999999999"/>
    <n v="0.17767021"/>
    <n v="40.478842450000002"/>
    <x v="416"/>
    <n v="128.3736428"/>
    <n v="352649.17509999999"/>
    <n v="415052.75"/>
    <n v="16.100090000000002"/>
    <n v="56.578932450000003"/>
  </r>
  <r>
    <n v="433"/>
    <x v="432"/>
    <n v="48.059600000000003"/>
    <n v="-119.06108999999999"/>
    <x v="0"/>
    <x v="0"/>
    <x v="20"/>
    <n v="-8"/>
    <n v="616.29411760000005"/>
    <n v="3.8958482999999999"/>
    <s v="Moderate"/>
    <n v="0.99058526999999996"/>
    <n v="54.030887839999998"/>
    <n v="1733.8266719999999"/>
    <n v="2323.3281769999999"/>
    <n v="0.74626851650325421"/>
    <n v="0.23642521999999999"/>
    <n v="0.17643671999999999"/>
    <n v="40.696634009999997"/>
    <x v="417"/>
    <n v="127.0172467"/>
    <n v="349313.05469999998"/>
    <n v="395865.25"/>
    <n v="15.463150000000001"/>
    <n v="56.159784009999996"/>
  </r>
  <r>
    <n v="434"/>
    <x v="433"/>
    <n v="48.083072999999999"/>
    <n v="-118.90206999999999"/>
    <x v="0"/>
    <x v="0"/>
    <x v="3"/>
    <n v="-8"/>
    <n v="721.47058819999995"/>
    <n v="3.8490388000000002"/>
    <s v="Moderate"/>
    <n v="0.98885672999999996"/>
    <n v="30.328100679999999"/>
    <n v="973.21510379999995"/>
    <n v="1304.1083289999999"/>
    <n v="0.74626860526707062"/>
    <n v="0.23273842"/>
    <n v="0.17368539"/>
    <n v="41.284565010000001"/>
    <x v="418"/>
    <n v="138.28488300000001"/>
    <n v="390752.50829999999"/>
    <n v="464722.97"/>
    <n v="18.440404999999998"/>
    <n v="59.72497001"/>
  </r>
  <r>
    <n v="435"/>
    <x v="434"/>
    <n v="48.106383999999998"/>
    <n v="-118.74290999999999"/>
    <x v="0"/>
    <x v="0"/>
    <x v="5"/>
    <n v="-8"/>
    <n v="856.26315790000001"/>
    <n v="3.7707269999999999"/>
    <s v="Moderate"/>
    <n v="0.98701799999999995"/>
    <n v="10.865663530000001"/>
    <n v="348.6742946"/>
    <n v="467.2235316"/>
    <n v="0.74626869371491222"/>
    <n v="0.22834840000000001"/>
    <n v="0.17040926000000001"/>
    <n v="42.01675333"/>
    <x v="419"/>
    <n v="145.19304539999999"/>
    <n v="450701.7818"/>
    <n v="538405.6"/>
    <n v="21.774892999999999"/>
    <n v="63.791646329999999"/>
  </r>
  <r>
    <n v="436"/>
    <x v="435"/>
    <n v="48.129536000000002"/>
    <n v="-118.58363"/>
    <x v="0"/>
    <x v="0"/>
    <x v="5"/>
    <n v="-8"/>
    <n v="897.06666670000004"/>
    <n v="3.7377813"/>
    <s v="Moderate"/>
    <n v="0.98540859999999997"/>
    <n v="7.8322135250000002"/>
    <n v="251.33223760000001"/>
    <n v="336.78518159999999"/>
    <n v="0.74626869390740447"/>
    <n v="0.22586455999999999"/>
    <n v="0.16855565"/>
    <n v="42.424378840000003"/>
    <x v="420"/>
    <n v="145.19304539999999"/>
    <n v="450701.7818"/>
    <n v="563163.06000000006"/>
    <n v="23.026636"/>
    <n v="65.451014839999999"/>
  </r>
  <r>
    <n v="437"/>
    <x v="436"/>
    <n v="48.152526999999999"/>
    <n v="-118.42421"/>
    <x v="0"/>
    <x v="0"/>
    <x v="5"/>
    <n v="-8"/>
    <n v="941.94444439999995"/>
    <n v="3.7291234000000002"/>
    <s v="Moderate"/>
    <n v="0.98382329999999996"/>
    <n v="2.5030619110000001"/>
    <n v="80.32213994"/>
    <n v="107.63166219999999"/>
    <n v="0.7462686936000883"/>
    <n v="0.22336523"/>
    <n v="0.16669047000000001"/>
    <n v="42.844866799999998"/>
    <x v="421"/>
    <n v="145.19304539999999"/>
    <n v="450701.7818"/>
    <n v="680198.1"/>
    <n v="28.123169000000001"/>
    <n v="70.968035799999996"/>
  </r>
  <r>
    <n v="438"/>
    <x v="437"/>
    <n v="48.175364999999999"/>
    <n v="-118.26466000000001"/>
    <x v="0"/>
    <x v="0"/>
    <x v="5"/>
    <n v="-8"/>
    <n v="687.5625"/>
    <n v="3.7378821000000002"/>
    <s v="Moderate"/>
    <n v="0.98293763000000001"/>
    <n v="13.404851369999999"/>
    <n v="430.15569959999999"/>
    <n v="576.40860880000002"/>
    <n v="0.7462686938273223"/>
    <n v="0.22028328"/>
    <n v="0.16439053000000001"/>
    <n v="43.413585769999997"/>
    <x v="422"/>
    <n v="134.9008766"/>
    <n v="483202.20209999999"/>
    <n v="713399"/>
    <n v="29.908550000000002"/>
    <n v="73.322135770000003"/>
  </r>
  <r>
    <n v="439"/>
    <x v="438"/>
    <n v="48.198039999999999"/>
    <n v="-118.104996"/>
    <x v="0"/>
    <x v="0"/>
    <x v="7"/>
    <n v="-8"/>
    <n v="759.89473680000003"/>
    <n v="3.7445986000000002"/>
    <s v="Moderate"/>
    <n v="0.9821221"/>
    <n v="9.920069604"/>
    <n v="318.33056979999998"/>
    <n v="426.56299300000001"/>
    <n v="0.74626860516237981"/>
    <n v="0.22028329999999999"/>
    <n v="0.16439053000000001"/>
    <n v="43.385299930000002"/>
    <x v="423"/>
    <n v="134.9008766"/>
    <n v="483202.20209999999"/>
    <n v="622577"/>
    <n v="26.100923999999999"/>
    <n v="69.486223929999994"/>
  </r>
  <r>
    <n v="440"/>
    <x v="439"/>
    <n v="48.220559999999999"/>
    <n v="-117.94519"/>
    <x v="0"/>
    <x v="0"/>
    <x v="7"/>
    <n v="-8"/>
    <n v="1069.4705879999999"/>
    <n v="3.6572678000000001"/>
    <s v="Moderate"/>
    <n v="0.98146129999999998"/>
    <n v="8.3856060790000004"/>
    <n v="269.09029370000002"/>
    <n v="360.58106140000001"/>
    <n v="0.74626851630871593"/>
    <n v="0.21596159000000001"/>
    <n v="0.16116536000000001"/>
    <n v="44.230134489999998"/>
    <x v="424"/>
    <n v="100.3907597"/>
    <n v="377791.69579999999"/>
    <n v="530577.5"/>
    <n v="22.689071999999999"/>
    <n v="66.919206489999993"/>
  </r>
  <r>
    <n v="441"/>
    <x v="440"/>
    <n v="48.242911999999997"/>
    <n v="-117.78525999999999"/>
    <x v="0"/>
    <x v="0"/>
    <x v="7"/>
    <n v="-8"/>
    <n v="680.82352939999998"/>
    <n v="3.6187437"/>
    <s v="Moderate"/>
    <n v="0.9810702"/>
    <n v="11.510504409999999"/>
    <n v="369.3669069"/>
    <n v="494.95168949999999"/>
    <n v="0.74626860506958637"/>
    <n v="0.21070807999999999"/>
    <n v="0.15724482000000001"/>
    <n v="45.318732699999998"/>
    <x v="425"/>
    <n v="100.3907597"/>
    <n v="377791.69579999999"/>
    <n v="435307.4"/>
    <n v="19.079159000000001"/>
    <n v="64.397891700000002"/>
  </r>
  <r>
    <n v="442"/>
    <x v="441"/>
    <n v="48.26511"/>
    <n v="-117.62521"/>
    <x v="0"/>
    <x v="0"/>
    <x v="7"/>
    <n v="-8"/>
    <n v="945.33333330000005"/>
    <n v="3.6203832999999999"/>
    <s v="Moderate"/>
    <n v="0.98063915999999995"/>
    <n v="8.6791499999999999"/>
    <n v="278.510018"/>
    <n v="373.20344999999998"/>
    <n v="0.74626860496600456"/>
    <n v="0.21070433"/>
    <n v="0.15724203"/>
    <n v="45.303908020000001"/>
    <x v="426"/>
    <n v="100.3907597"/>
    <n v="377791.69579999999"/>
    <n v="464269.7"/>
    <n v="20.348917"/>
    <n v="65.652825019999995"/>
  </r>
  <r>
    <n v="443"/>
    <x v="442"/>
    <n v="48.287143999999998"/>
    <n v="-117.46503"/>
    <x v="0"/>
    <x v="0"/>
    <x v="8"/>
    <n v="-8"/>
    <n v="1048.4000000000001"/>
    <n v="3.5542587999999999"/>
    <s v="Moderate"/>
    <n v="0.98068580000000005"/>
    <n v="8.6112719599999998"/>
    <n v="276.3318094"/>
    <n v="370.28469430000001"/>
    <n v="0.7462685162355629"/>
    <n v="0.20685396"/>
    <n v="0.15436864"/>
    <n v="46.148907850000001"/>
    <x v="427"/>
    <n v="110.9150064"/>
    <n v="430859.58110000001"/>
    <n v="538162.25"/>
    <n v="24.026682000000001"/>
    <n v="70.175589849999994"/>
  </r>
  <r>
    <n v="444"/>
    <x v="443"/>
    <n v="48.309019999999997"/>
    <n v="-117.304726"/>
    <x v="0"/>
    <x v="0"/>
    <x v="8"/>
    <n v="-8"/>
    <n v="669.31578950000005"/>
    <n v="3.5257700000000001"/>
    <s v="Moderate"/>
    <n v="0.98079939999999999"/>
    <n v="23.565087160000001"/>
    <n v="756.19313290000002"/>
    <n v="1013.298748"/>
    <n v="0.74626869360347814"/>
    <n v="0.20218131"/>
    <n v="0.15088156999999999"/>
    <n v="47.219756740000001"/>
    <x v="6"/>
    <n v="108.95044799999999"/>
    <n v="410036.59749999997"/>
    <n v="446819.44"/>
    <n v="20.409645000000001"/>
    <n v="67.629401740000006"/>
  </r>
  <r>
    <n v="445"/>
    <x v="444"/>
    <n v="48.330737999999997"/>
    <n v="-117.1443"/>
    <x v="0"/>
    <x v="0"/>
    <x v="8"/>
    <n v="-8"/>
    <n v="892.33333330000005"/>
    <n v="3.5309327000000001"/>
    <s v="Moderate"/>
    <n v="0.98107069999999996"/>
    <n v="7.2867598019999997"/>
    <n v="233.8288431"/>
    <n v="313.33067149999999"/>
    <n v="0.74626860492334535"/>
    <n v="0.20435685000000001"/>
    <n v="0.1525051"/>
    <n v="46.72721104"/>
    <x v="428"/>
    <n v="112.54779859999999"/>
    <n v="421811.89279999997"/>
    <n v="562966.93999999994"/>
    <n v="25.441229"/>
    <n v="72.168440040000007"/>
  </r>
  <r>
    <n v="446"/>
    <x v="445"/>
    <n v="48.352294999999998"/>
    <n v="-116.98375"/>
    <x v="0"/>
    <x v="1"/>
    <x v="13"/>
    <n v="-8"/>
    <n v="832.8823529"/>
    <n v="3.4776535000000002"/>
    <s v="Moderate"/>
    <n v="0.98136570000000001"/>
    <n v="21.141891869999998"/>
    <n v="678.433716"/>
    <n v="909.1013504"/>
    <n v="0.74626851637773128"/>
    <n v="0.19932857000000001"/>
    <n v="0.14875267"/>
    <n v="47.917251559999997"/>
    <x v="429"/>
    <n v="315.34175310000001"/>
    <n v="1168665.02"/>
    <n v="1327880.2"/>
    <n v="61.522469999999998"/>
    <n v="109.43972156"/>
  </r>
  <r>
    <n v="447"/>
    <x v="446"/>
    <n v="48.373688000000001"/>
    <n v="-116.82307400000001"/>
    <x v="0"/>
    <x v="1"/>
    <x v="13"/>
    <n v="-8"/>
    <n v="925.08333330000005"/>
    <n v="3.4444275000000002"/>
    <s v="Moderate"/>
    <n v="0.98087679999999999"/>
    <n v="21.97319392"/>
    <n v="705.1099054"/>
    <n v="944.84733859999994"/>
    <n v="0.74626860508997794"/>
    <n v="0.19686168000000001"/>
    <n v="0.14691167999999999"/>
    <n v="48.498749250000003"/>
    <x v="430"/>
    <n v="315.34175310000001"/>
    <n v="1168665.02"/>
    <n v="1325888.1000000001"/>
    <n v="62.199959999999997"/>
    <n v="110.69870925000001"/>
  </r>
  <r>
    <n v="448"/>
    <x v="447"/>
    <n v="48.394917"/>
    <n v="-116.66227000000001"/>
    <x v="0"/>
    <x v="1"/>
    <x v="13"/>
    <n v="-8"/>
    <n v="1433.5"/>
    <n v="3.4380487999999998"/>
    <s v="Moderate"/>
    <n v="0.98113793000000005"/>
    <n v="0.41212797800000001"/>
    <n v="13.225004500000001"/>
    <n v="17.721503040000002"/>
    <n v="0.74626878262804508"/>
    <n v="0.20091181999999999"/>
    <n v="0.14993419999999999"/>
    <n v="56.881118780000001"/>
    <x v="431"/>
    <n v="352.48215570000002"/>
    <n v="1337688.531"/>
    <n v="1480053.2"/>
    <n v="68.032470000000004"/>
    <n v="124.91358878"/>
  </r>
  <r>
    <n v="449"/>
    <x v="448"/>
    <n v="48.415993"/>
    <n v="-116.50136000000001"/>
    <x v="0"/>
    <x v="1"/>
    <x v="13"/>
    <n v="-8"/>
    <n v="792.4"/>
    <n v="3.4898129999999998"/>
    <s v="Moderate"/>
    <n v="0.98149149999999996"/>
    <n v="31.078402730000001"/>
    <n v="997.29195900000002"/>
    <n v="1336.371318"/>
    <n v="0.74626860481601565"/>
    <n v="0.20068792999999999"/>
    <n v="0.14976712"/>
    <n v="47.597474949999999"/>
    <x v="432"/>
    <n v="359.814279"/>
    <n v="1366160.16"/>
    <n v="1413830.8"/>
    <n v="65.060974000000002"/>
    <n v="112.65844895000001"/>
  </r>
  <r>
    <n v="450"/>
    <x v="449"/>
    <n v="48.436900000000001"/>
    <n v="-116.34032000000001"/>
    <x v="0"/>
    <x v="1"/>
    <x v="13"/>
    <n v="-8"/>
    <n v="935.52941180000005"/>
    <n v="3.4939022"/>
    <s v="Moderate"/>
    <n v="0.98183330000000002"/>
    <n v="24.505739210000002"/>
    <n v="786.37814409999999"/>
    <n v="1053.7467859999999"/>
    <n v="0.74626860508403015"/>
    <n v="0.20226221"/>
    <n v="0.15094194"/>
    <n v="47.239929799999999"/>
    <x v="433"/>
    <n v="362.55530499999998"/>
    <n v="1379563.746"/>
    <n v="1494345.6"/>
    <n v="68.230840000000001"/>
    <n v="115.4707698"/>
  </r>
  <r>
    <n v="451"/>
    <x v="450"/>
    <n v="48.457650000000001"/>
    <n v="-116.17917"/>
    <x v="0"/>
    <x v="1"/>
    <x v="13"/>
    <n v="-8"/>
    <n v="1383.5"/>
    <n v="3.4223180000000002"/>
    <s v="Moderate"/>
    <n v="0.98197204000000005"/>
    <n v="0.77435998800000005"/>
    <n v="24.848863560000002"/>
    <n v="33.297479469999999"/>
    <n v="0.74626860517739968"/>
    <n v="0.19916327"/>
    <n v="0.14862928"/>
    <n v="53.58939307"/>
    <x v="434"/>
    <n v="362.55530499999998"/>
    <n v="1379563.746"/>
    <n v="1630294.8"/>
    <n v="75.596429999999998"/>
    <n v="129.18582307"/>
  </r>
  <r>
    <n v="452"/>
    <x v="451"/>
    <n v="48.478237"/>
    <n v="-116.01788000000001"/>
    <x v="0"/>
    <x v="2"/>
    <x v="14"/>
    <n v="-7"/>
    <n v="1041.1111109999999"/>
    <n v="3.4901423"/>
    <s v="Moderate"/>
    <n v="0.98264085999999995"/>
    <n v="1.9164600490000001"/>
    <n v="61.498347930000001"/>
    <n v="82.407782130000001"/>
    <n v="0.74626869381079897"/>
    <n v="0.20192404"/>
    <n v="0.15068960000000001"/>
    <n v="47.984620360000001"/>
    <x v="435"/>
    <n v="333.76480500000002"/>
    <n v="1447217.798"/>
    <n v="1588322.5"/>
    <n v="72.643219999999999"/>
    <n v="120.62784035999999"/>
  </r>
  <r>
    <n v="453"/>
    <x v="452"/>
    <n v="48.498657000000001"/>
    <n v="-115.85648999999999"/>
    <x v="0"/>
    <x v="2"/>
    <x v="14"/>
    <n v="-7"/>
    <n v="853.11111110000002"/>
    <n v="3.4469264000000002"/>
    <s v="Moderate"/>
    <n v="0.98287409999999997"/>
    <n v="11.101536469999999"/>
    <n v="356.24326760000002"/>
    <n v="477.36606840000002"/>
    <n v="0.74626851630663582"/>
    <n v="0.19736217"/>
    <n v="0.14728521"/>
    <n v="48.453059410000002"/>
    <x v="436"/>
    <n v="339.42575959999999"/>
    <n v="1483412.094"/>
    <n v="1555368.6"/>
    <n v="72.780299999999997"/>
    <n v="121.23335940999999"/>
  </r>
  <r>
    <n v="454"/>
    <x v="453"/>
    <n v="48.518920000000001"/>
    <n v="-115.69499"/>
    <x v="0"/>
    <x v="2"/>
    <x v="14"/>
    <n v="-7"/>
    <n v="1139.333333"/>
    <n v="3.514716"/>
    <s v="Moderate"/>
    <n v="0.98311912999999995"/>
    <n v="0.90558002500000001"/>
    <n v="29.059658949999999"/>
    <n v="38.939941060000002"/>
    <n v="0.74626869376160265"/>
    <n v="0.20225066"/>
    <n v="0.15093335999999999"/>
    <n v="51.932225950000003"/>
    <x v="437"/>
    <n v="319.22628559999998"/>
    <n v="1364360.1569999999"/>
    <n v="1501114.5"/>
    <n v="68.543816000000007"/>
    <n v="120.47604195000001"/>
  </r>
  <r>
    <n v="455"/>
    <x v="454"/>
    <n v="48.539020000000001"/>
    <n v="-115.533356"/>
    <x v="0"/>
    <x v="2"/>
    <x v="14"/>
    <n v="-7"/>
    <n v="1246.9285709999999"/>
    <n v="3.5064003000000001"/>
    <s v="Moderate"/>
    <n v="0.98338749999999997"/>
    <n v="5.9249878420000002"/>
    <n v="190.13019370000001"/>
    <n v="254.77447720000001"/>
    <n v="0.74626860504063086"/>
    <n v="0.20223324000000001"/>
    <n v="0.15092032"/>
    <n v="47.305398500000003"/>
    <x v="438"/>
    <n v="305.93497389999999"/>
    <n v="1295964.9110000001"/>
    <n v="1471780.1"/>
    <n v="67.210139999999996"/>
    <n v="114.51553849999999"/>
  </r>
  <r>
    <n v="456"/>
    <x v="455"/>
    <n v="48.558956000000002"/>
    <n v="-115.37161"/>
    <x v="0"/>
    <x v="2"/>
    <x v="14"/>
    <n v="-7"/>
    <n v="1187.5"/>
    <n v="3.5204680000000002"/>
    <s v="Moderate"/>
    <n v="0.98357660000000002"/>
    <n v="1.44892804"/>
    <n v="46.495448799999998"/>
    <n v="62.303905700000001"/>
    <n v="0.74626860511571425"/>
    <n v="0.20308809"/>
    <n v="0.15155826999999999"/>
    <n v="49.187753450000002"/>
    <x v="439"/>
    <n v="295.59027259999999"/>
    <n v="1242294.4909999999"/>
    <n v="1445974.4"/>
    <n v="65.753749999999997"/>
    <n v="114.94150345"/>
  </r>
  <r>
    <n v="457"/>
    <x v="456"/>
    <n v="48.578727999999998"/>
    <n v="-115.20976"/>
    <x v="0"/>
    <x v="2"/>
    <x v="14"/>
    <n v="-7"/>
    <n v="930.25"/>
    <n v="3.463838"/>
    <s v="Moderate"/>
    <n v="0.98384369999999999"/>
    <n v="0.67165204700000003"/>
    <n v="21.553011959999999"/>
    <n v="28.881038019999998"/>
    <n v="0.74626860520299265"/>
    <n v="0.1980847"/>
    <n v="0.14782445"/>
    <n v="54.80643542"/>
    <x v="440"/>
    <n v="293.43996090000002"/>
    <n v="1211180.9369999999"/>
    <n v="1395952.1"/>
    <n v="65.082465999999997"/>
    <n v="119.88890142"/>
  </r>
  <r>
    <n v="458"/>
    <x v="457"/>
    <n v="48.59834"/>
    <n v="-115.04779000000001"/>
    <x v="0"/>
    <x v="2"/>
    <x v="14"/>
    <n v="-7"/>
    <n v="1329.6"/>
    <n v="3.5290225"/>
    <s v="Moderate"/>
    <n v="0.98405019999999999"/>
    <n v="6.3263432369999997"/>
    <n v="203.00948360000001"/>
    <n v="272.03275919999999"/>
    <n v="0.74626851632507363"/>
    <n v="0.20507"/>
    <n v="0.15303732"/>
    <n v="46.675702989999998"/>
    <x v="441"/>
    <n v="293.43996090000002"/>
    <n v="1211180.9369999999"/>
    <n v="1312294.8"/>
    <n v="59.098117999999999"/>
    <n v="105.77382098999999"/>
  </r>
  <r>
    <n v="459"/>
    <x v="458"/>
    <n v="48.617789999999999"/>
    <n v="-114.88571"/>
    <x v="0"/>
    <x v="2"/>
    <x v="14"/>
    <n v="-7"/>
    <n v="1266.75"/>
    <n v="3.4829829000000001"/>
    <s v="Moderate"/>
    <n v="0.98414880000000005"/>
    <n v="16.304003720000001"/>
    <n v="523.18820519999997"/>
    <n v="701.07216010000002"/>
    <n v="0.74626869383227701"/>
    <n v="0.2015864"/>
    <n v="0.15043761"/>
    <n v="47.486044040000003"/>
    <x v="442"/>
    <n v="288.8089349"/>
    <n v="1180776.541"/>
    <n v="1247235.5"/>
    <n v="57.138869999999997"/>
    <n v="104.62491403999999"/>
  </r>
  <r>
    <n v="460"/>
    <x v="459"/>
    <n v="48.637073999999998"/>
    <n v="-114.72351"/>
    <x v="0"/>
    <x v="2"/>
    <x v="16"/>
    <n v="-7"/>
    <n v="1259.6923079999999"/>
    <n v="3.3618519999999998"/>
    <s v="Moderate"/>
    <n v="0.98130360000000005"/>
    <n v="11.3594402"/>
    <n v="364.5192811"/>
    <n v="488.45592850000003"/>
    <n v="0.7462685164235856"/>
    <n v="0.19335579999999999"/>
    <n v="0.14429536000000001"/>
    <n v="49.394982630000001"/>
    <x v="88"/>
    <n v="263.61624010000003"/>
    <n v="1034074.013"/>
    <n v="1072256.5"/>
    <n v="51.21367"/>
    <n v="100.60865262999999"/>
  </r>
  <r>
    <n v="461"/>
    <x v="460"/>
    <n v="48.656193000000002"/>
    <n v="-114.56121"/>
    <x v="0"/>
    <x v="2"/>
    <x v="16"/>
    <n v="-7"/>
    <n v="1489"/>
    <n v="3.3429346"/>
    <s v="Moderate"/>
    <n v="0.98133429999999999"/>
    <n v="10.463903719999999"/>
    <n v="335.7819619"/>
    <n v="449.94786010000001"/>
    <n v="0.74626860504542269"/>
    <n v="0.19308448"/>
    <n v="0.14409289"/>
    <n v="49.465609579999999"/>
    <x v="443"/>
    <n v="246.13485700000001"/>
    <n v="937054.66070000001"/>
    <n v="1093807.5"/>
    <n v="52.316409999999998"/>
    <n v="101.78201958"/>
  </r>
  <r>
    <n v="462"/>
    <x v="461"/>
    <n v="48.675150000000002"/>
    <n v="-114.39879999999999"/>
    <x v="0"/>
    <x v="2"/>
    <x v="16"/>
    <n v="-7"/>
    <n v="1532.75"/>
    <n v="3.4914749"/>
    <s v="Moderate"/>
    <n v="0.98137003"/>
    <n v="1.309284119"/>
    <n v="42.014338209999998"/>
    <n v="56.2992171"/>
    <n v="0.74626860503891446"/>
    <n v="0.20172292999999999"/>
    <n v="0.15053952000000001"/>
    <n v="49.971007610000001"/>
    <x v="444"/>
    <n v="246.13485700000001"/>
    <n v="937054.66070000001"/>
    <n v="1161720.6000000001"/>
    <n v="53.185203999999999"/>
    <n v="103.15621161"/>
  </r>
  <r>
    <n v="463"/>
    <x v="462"/>
    <n v="48.693947000000001"/>
    <n v="-114.23627"/>
    <x v="0"/>
    <x v="2"/>
    <x v="16"/>
    <n v="-7"/>
    <n v="1306"/>
    <n v="3.4208810000000001"/>
    <s v="Moderate"/>
    <n v="0.98141175999999997"/>
    <n v="7.3648439210000003"/>
    <n v="236.33452740000001"/>
    <n v="316.68828860000002"/>
    <n v="0.746268605147276"/>
    <n v="0.19767275000000001"/>
    <n v="0.14751700000000001"/>
    <n v="48.320414290000002"/>
    <x v="445"/>
    <n v="246.494857"/>
    <n v="938794.97930000001"/>
    <n v="1275767.2"/>
    <n v="59.60313"/>
    <n v="107.92354429"/>
  </r>
  <r>
    <n v="464"/>
    <x v="463"/>
    <n v="48.785442000000003"/>
    <n v="-113.42203499999999"/>
    <x v="0"/>
    <x v="2"/>
    <x v="19"/>
    <n v="-7"/>
    <n v="1563.4375"/>
    <n v="3.6815096999999999"/>
    <s v="Moderate"/>
    <n v="0.98168880000000003"/>
    <n v="35.943912159999996"/>
    <n v="1153.4241039999999"/>
    <n v="1545.588223"/>
    <n v="0.74626869358592407"/>
    <n v="0.22300215000000001"/>
    <n v="0.16641951999999999"/>
    <n v="42.841501890000004"/>
    <x v="446"/>
    <n v="291.26716870000001"/>
    <n v="794563.39159999997"/>
    <n v="944491.7"/>
    <n v="39.114113000000003"/>
    <n v="81.955614890000007"/>
  </r>
  <r>
    <n v="465"/>
    <x v="464"/>
    <n v="48.803249999999998"/>
    <n v="-113.25887"/>
    <x v="0"/>
    <x v="2"/>
    <x v="19"/>
    <n v="-7"/>
    <n v="1574.176471"/>
    <n v="3.7007902000000001"/>
    <s v="Moderate"/>
    <n v="0.98173730000000003"/>
    <n v="79.930958200000006"/>
    <n v="2564.9484809999999"/>
    <n v="3437.031203"/>
    <n v="0.74626860494056446"/>
    <n v="0.2257778"/>
    <n v="0.16849089"/>
    <n v="42.316475539999999"/>
    <x v="447"/>
    <n v="274.97872059999997"/>
    <n v="742358.06850000005"/>
    <n v="811476.2"/>
    <n v="33.192419999999998"/>
    <n v="75.508895539999997"/>
  </r>
  <r>
    <n v="466"/>
    <x v="465"/>
    <n v="48.820889999999999"/>
    <n v="-113.09560999999999"/>
    <x v="0"/>
    <x v="2"/>
    <x v="19"/>
    <n v="-7"/>
    <n v="1439.9473680000001"/>
    <n v="3.6991166999999998"/>
    <s v="Moderate"/>
    <n v="0.98181370000000001"/>
    <n v="91.446405470000002"/>
    <n v="2934.473653"/>
    <n v="3932.1954350000001"/>
    <n v="0.74626851627988833"/>
    <n v="0.22616712999999999"/>
    <n v="0.16878144"/>
    <n v="42.246199939999997"/>
    <x v="448"/>
    <n v="271.5523245"/>
    <n v="731969.77740000002"/>
    <n v="817490.9"/>
    <n v="33.380882"/>
    <n v="75.627081939999997"/>
  </r>
  <r>
    <n v="467"/>
    <x v="466"/>
    <n v="48.838363999999999"/>
    <n v="-112.932236"/>
    <x v="0"/>
    <x v="2"/>
    <x v="19"/>
    <n v="-7"/>
    <n v="1364.684211"/>
    <n v="3.7139964000000001"/>
    <s v="Moderate"/>
    <n v="0.98186949999999995"/>
    <n v="108.69001609999999"/>
    <n v="3487.813294"/>
    <n v="4673.670693"/>
    <n v="0.74626851635565161"/>
    <n v="0.22746511"/>
    <n v="0.16975008"/>
    <n v="42.007008149999997"/>
    <x v="449"/>
    <n v="275.06872060000001"/>
    <n v="742573.81050000002"/>
    <n v="871716.1"/>
    <n v="35.391967999999999"/>
    <n v="77.398976149999996"/>
  </r>
  <r>
    <n v="468"/>
    <x v="467"/>
    <n v="48.855674999999998"/>
    <n v="-112.76877"/>
    <x v="0"/>
    <x v="2"/>
    <x v="19"/>
    <n v="-7"/>
    <n v="1292.315789"/>
    <n v="3.7211243999999999"/>
    <s v="Moderate"/>
    <n v="0.98194426000000001"/>
    <n v="70.169081840000004"/>
    <n v="2251.6942610000001"/>
    <n v="3017.2705190000001"/>
    <n v="0.74626860495964698"/>
    <n v="0.22822954000000001"/>
    <n v="0.17032057"/>
    <n v="41.868808199999997"/>
    <x v="450"/>
    <n v="274.05688300000003"/>
    <n v="739481.90260000003"/>
    <n v="923851.56"/>
    <n v="37.383052999999997"/>
    <n v="79.251861199999993"/>
  </r>
  <r>
    <n v="469"/>
    <x v="468"/>
    <n v="48.872818000000002"/>
    <n v="-112.605194"/>
    <x v="0"/>
    <x v="2"/>
    <x v="19"/>
    <n v="-7"/>
    <n v="1254.5999999999999"/>
    <n v="3.7159239999999998"/>
    <s v="Moderate"/>
    <n v="0.98199930000000002"/>
    <n v="66.381524999999996"/>
    <n v="2130.1532670000001"/>
    <n v="2854.4055750000002"/>
    <n v="0.74626860515433235"/>
    <n v="0.22770688"/>
    <n v="0.16993050000000001"/>
    <n v="41.966761220000002"/>
    <x v="451"/>
    <n v="204.56280509999999"/>
    <n v="544004.75120000006"/>
    <n v="699818.6"/>
    <n v="28.382701999999998"/>
    <n v="70.349463220000004"/>
  </r>
  <r>
    <n v="470"/>
    <x v="469"/>
    <n v="48.889792999999997"/>
    <n v="-112.44150999999999"/>
    <x v="0"/>
    <x v="2"/>
    <x v="19"/>
    <n v="-7"/>
    <n v="1236"/>
    <n v="3.7086158"/>
    <s v="Moderate"/>
    <n v="0.98205142999999995"/>
    <n v="57.482211620000001"/>
    <n v="1844.578524"/>
    <n v="2471.7350999999999"/>
    <n v="0.74626869359908354"/>
    <n v="0.22711548000000001"/>
    <n v="0.16948915000000001"/>
    <n v="42.077794279999999"/>
    <x v="452"/>
    <n v="214.17206479999999"/>
    <n v="571916.85609999998"/>
    <n v="677336.5"/>
    <n v="27.542422999999999"/>
    <n v="69.620217279999991"/>
  </r>
  <r>
    <n v="471"/>
    <x v="470"/>
    <n v="48.906610000000001"/>
    <n v="-112.27775"/>
    <x v="0"/>
    <x v="2"/>
    <x v="19"/>
    <n v="-7"/>
    <n v="1221"/>
    <n v="3.7061234000000001"/>
    <s v="Moderate"/>
    <n v="0.98209610000000003"/>
    <n v="49.208472950000001"/>
    <n v="1579.0777539999999"/>
    <n v="2115.9643369999999"/>
    <n v="0.74626860499870518"/>
    <n v="0.22661704999999999"/>
    <n v="0.16911720999999999"/>
    <n v="42.171848420000003"/>
    <x v="453"/>
    <n v="227.70404529999999"/>
    <n v="608202.13690000004"/>
    <n v="680297.4"/>
    <n v="27.723662999999998"/>
    <n v="69.895511420000005"/>
  </r>
  <r>
    <n v="472"/>
    <x v="471"/>
    <n v="48.923251999999998"/>
    <n v="-112.11387999999999"/>
    <x v="0"/>
    <x v="2"/>
    <x v="21"/>
    <n v="-7"/>
    <n v="1188.8421049999999"/>
    <n v="3.6984564999999998"/>
    <s v="Moderate"/>
    <n v="0.98209849999999999"/>
    <n v="55.716656839999999"/>
    <n v="1787.9226590000001"/>
    <n v="2395.8162440000001"/>
    <n v="0.74626869380221128"/>
    <n v="0.22585419000000001"/>
    <n v="0.1685479"/>
    <n v="42.314369579999997"/>
    <x v="454"/>
    <n v="226.4594869"/>
    <n v="604865.3639"/>
    <n v="684766.25"/>
    <n v="28.000038"/>
    <n v="70.314407579999994"/>
  </r>
  <r>
    <n v="473"/>
    <x v="472"/>
    <n v="48.939734999999999"/>
    <n v="-111.94991"/>
    <x v="0"/>
    <x v="2"/>
    <x v="21"/>
    <n v="-7"/>
    <n v="1069.4375"/>
    <n v="3.6993992000000002"/>
    <s v="Moderate"/>
    <n v="0.98213569999999994"/>
    <n v="50.797528419999999"/>
    <n v="1630.070023"/>
    <n v="2184.2937219999999"/>
    <n v="0.74626869389500539"/>
    <n v="0.22563858000000001"/>
    <n v="0.16838700000000001"/>
    <n v="42.35606782"/>
    <x v="455"/>
    <n v="225.32411680000001"/>
    <n v="600320.38060000003"/>
    <n v="711061.4"/>
    <n v="29.103024000000001"/>
    <n v="71.459091819999998"/>
  </r>
  <r>
    <n v="474"/>
    <x v="473"/>
    <n v="48.956046999999998"/>
    <n v="-111.78583999999999"/>
    <x v="0"/>
    <x v="2"/>
    <x v="21"/>
    <n v="-7"/>
    <n v="1052.7857140000001"/>
    <n v="3.6641164000000002"/>
    <s v="Moderate"/>
    <n v="0.98208004000000004"/>
    <n v="35.966183200000003"/>
    <n v="1154.138772"/>
    <n v="1546.5458779999999"/>
    <n v="0.74626869362099846"/>
    <n v="0.22274350000000001"/>
    <n v="0.16622649"/>
    <n v="42.904680069999998"/>
    <x v="456"/>
    <n v="225.32411680000001"/>
    <n v="600320.38060000003"/>
    <n v="751438.56"/>
    <n v="31.155365"/>
    <n v="74.060045070000001"/>
  </r>
  <r>
    <n v="475"/>
    <x v="474"/>
    <n v="48.972189999999998"/>
    <n v="-111.62169"/>
    <x v="0"/>
    <x v="2"/>
    <x v="21"/>
    <n v="-7"/>
    <n v="1336.3"/>
    <n v="3.6402798000000001"/>
    <s v="Moderate"/>
    <n v="0.98203706999999996"/>
    <n v="26.957770969999999"/>
    <n v="865.06273999999996"/>
    <n v="1159.184152"/>
    <n v="0.74626860495587588"/>
    <n v="0.22127253999999999"/>
    <n v="0.16512878"/>
    <n v="43.18840557"/>
    <x v="457"/>
    <n v="225.32411680000001"/>
    <n v="600320.38060000003"/>
    <n v="809063.56"/>
    <n v="33.767547999999998"/>
    <n v="76.955953569999991"/>
  </r>
  <r>
    <n v="476"/>
    <x v="475"/>
    <n v="48.988174000000001"/>
    <n v="-111.45744000000001"/>
    <x v="0"/>
    <x v="2"/>
    <x v="21"/>
    <n v="-7"/>
    <n v="1286.2"/>
    <n v="3.6485894000000001"/>
    <s v="Moderate"/>
    <n v="0.98198116000000002"/>
    <n v="41.361518850000003"/>
    <n v="1327.272528"/>
    <n v="1778.54531"/>
    <n v="0.74626860532442663"/>
    <n v="0.22153811000000001"/>
    <n v="0.16532695"/>
    <n v="43.134698819999997"/>
    <x v="458"/>
    <n v="225.32411680000001"/>
    <n v="600320.38060000003"/>
    <n v="845808.4"/>
    <n v="35.258834999999998"/>
    <n v="78.393533819999988"/>
  </r>
  <r>
    <n v="477"/>
    <x v="476"/>
    <n v="47.445059999999998"/>
    <n v="-69.139279999999999"/>
    <x v="0"/>
    <x v="3"/>
    <x v="22"/>
    <n v="-5"/>
    <n v="298.125"/>
    <n v="3.5632758"/>
    <s v="Moderate"/>
    <n v="1.0306033000000001"/>
    <n v="36.285409420000001"/>
    <n v="1164.3823219999999"/>
    <n v="1560.2726050000001"/>
    <n v="0.74626851632763225"/>
    <n v="0.20844235"/>
    <n v="0.15555398000000001"/>
    <n v="47.626687969999999"/>
    <x v="459"/>
    <n v="331.14019459999997"/>
    <n v="2707776.8029999998"/>
    <n v="5070727"/>
    <n v="224.66150999999999"/>
    <n v="272.28819797"/>
  </r>
  <r>
    <n v="478"/>
    <x v="477"/>
    <n v="47.306609999999999"/>
    <n v="-68.363370000000003"/>
    <x v="0"/>
    <x v="3"/>
    <x v="22"/>
    <n v="-5"/>
    <n v="260.41666670000001"/>
    <n v="3.5505211000000001"/>
    <s v="Moderate"/>
    <n v="1.0314698"/>
    <n v="25.723331760000001"/>
    <n v="825.45014119999996"/>
    <n v="1106.1032660000001"/>
    <n v="0.74626860490618951"/>
    <n v="0.20771848000000001"/>
    <n v="0.15501377999999999"/>
    <n v="47.824532349999998"/>
    <x v="460"/>
    <n v="337.17129199999999"/>
    <n v="2750671.6120000002"/>
    <n v="4593075"/>
    <n v="204.20802"/>
    <n v="252.03255235"/>
  </r>
  <r>
    <n v="479"/>
    <x v="478"/>
    <n v="47.278460000000003"/>
    <n v="-68.208629999999999"/>
    <x v="0"/>
    <x v="3"/>
    <x v="22"/>
    <n v="-5"/>
    <n v="230.8666667"/>
    <n v="3.5504115000000001"/>
    <s v="Moderate"/>
    <n v="1.0317335999999999"/>
    <n v="51.895810109999999"/>
    <n v="1665.3131940000001"/>
    <n v="2231.5198350000001"/>
    <n v="0.74626860486767754"/>
    <n v="0.20810799999999999"/>
    <n v="0.15530447999999999"/>
    <n v="47.744695839999999"/>
    <x v="461"/>
    <n v="344.12422700000002"/>
    <n v="2806523.0419999999"/>
    <n v="4505066"/>
    <n v="199.92026999999999"/>
    <n v="247.66496583999998"/>
  </r>
  <r>
    <n v="480"/>
    <x v="479"/>
    <n v="47.250163999999998"/>
    <n v="-68.054053999999994"/>
    <x v="0"/>
    <x v="3"/>
    <x v="22"/>
    <n v="-5"/>
    <n v="203.66666670000001"/>
    <n v="3.5571985000000002"/>
    <s v="Moderate"/>
    <n v="1.0318456"/>
    <n v="29.307581760000001"/>
    <n v="940.46722269999998"/>
    <n v="1260.2260160000001"/>
    <n v="0.74626869367851545"/>
    <n v="0.20976402"/>
    <n v="0.15654029"/>
    <n v="47.371851790000001"/>
    <x v="462"/>
    <n v="344.12422700000002"/>
    <n v="2806523.0419999999"/>
    <n v="4346756.5"/>
    <n v="191.37215"/>
    <n v="238.74400179"/>
  </r>
  <r>
    <n v="481"/>
    <x v="480"/>
    <n v="47.104247999999998"/>
    <n v="-124.18321"/>
    <x v="0"/>
    <x v="0"/>
    <x v="15"/>
    <n v="-8"/>
    <n v="24.25"/>
    <n v="3.2089650000000001"/>
    <s v="Moderate"/>
    <n v="1.0208455000000001"/>
    <n v="30.10381216"/>
    <n v="966.017786"/>
    <n v="1294.463923"/>
    <n v="0.74626860496907022"/>
    <n v="0.18623108999999999"/>
    <n v="0.13897839000000001"/>
    <n v="52.906738439999998"/>
    <x v="463"/>
    <n v="244.79454530000001"/>
    <n v="848902.56389999995"/>
    <n v="890601.2"/>
    <n v="44.164720000000003"/>
    <n v="97.071458440000001"/>
  </r>
  <r>
    <n v="482"/>
    <x v="481"/>
    <n v="47.132779999999997"/>
    <n v="-124.029144"/>
    <x v="0"/>
    <x v="0"/>
    <x v="15"/>
    <n v="-8"/>
    <n v="49.888888889999997"/>
    <n v="3.1492306999999999"/>
    <s v="Moderate"/>
    <n v="1.0207352999999999"/>
    <n v="59.970133740000001"/>
    <n v="1924.414606"/>
    <n v="2578.7157510000002"/>
    <n v="0.74626860492620462"/>
    <n v="0.18190698"/>
    <n v="0.13575149"/>
    <n v="54.159735849999997"/>
    <x v="432"/>
    <n v="246.39380510000001"/>
    <n v="848462.37399999995"/>
    <n v="895499.06"/>
    <n v="45.46322"/>
    <n v="99.622955849999997"/>
  </r>
  <r>
    <n v="483"/>
    <x v="482"/>
    <n v="47.161149999999999"/>
    <n v="-123.87492"/>
    <x v="0"/>
    <x v="0"/>
    <x v="15"/>
    <n v="-8"/>
    <n v="89.052631579999996"/>
    <n v="3.1083796000000001"/>
    <s v="Moderate"/>
    <n v="1.0206299000000001"/>
    <n v="62.96057227"/>
    <n v="2020.3761930000001"/>
    <n v="2707.304607"/>
    <n v="0.74626851658144433"/>
    <n v="0.17856695"/>
    <n v="0.13325891000000001"/>
    <n v="55.168271480000001"/>
    <x v="125"/>
    <n v="266.91444790000003"/>
    <n v="929107.90480000002"/>
    <n v="965014.9"/>
    <n v="49.908825"/>
    <n v="105.07709647999999"/>
  </r>
  <r>
    <n v="484"/>
    <x v="483"/>
    <n v="47.189377"/>
    <n v="-123.72055"/>
    <x v="0"/>
    <x v="0"/>
    <x v="15"/>
    <n v="-8"/>
    <n v="145.25"/>
    <n v="3.1170779999999998"/>
    <s v="Moderate"/>
    <n v="1.0205747000000001"/>
    <n v="46.865627050000001"/>
    <n v="1503.8967050000001"/>
    <n v="2015.221963"/>
    <n v="0.74626851662592775"/>
    <n v="0.17855515"/>
    <n v="0.13325010000000001"/>
    <n v="55.169558049999999"/>
    <x v="464"/>
    <n v="273.82370759999998"/>
    <n v="957072.37930000003"/>
    <n v="1080173.2"/>
    <n v="55.868299999999998"/>
    <n v="111.03785805"/>
  </r>
  <r>
    <n v="485"/>
    <x v="484"/>
    <n v="47.217452999999999"/>
    <n v="-123.566025"/>
    <x v="0"/>
    <x v="0"/>
    <x v="15"/>
    <n v="-8"/>
    <n v="160.2777778"/>
    <n v="3.1605237000000002"/>
    <s v="Moderate"/>
    <n v="1.0205580999999999"/>
    <n v="57.66463169"/>
    <n v="1850.431863"/>
    <n v="2479.5791629999999"/>
    <n v="0.74626851629177049"/>
    <n v="0.18066447999999999"/>
    <n v="0.13482422999999999"/>
    <n v="54.524726450000003"/>
    <x v="465"/>
    <n v="273.82370759999998"/>
    <n v="957072.37930000003"/>
    <n v="1135147.5"/>
    <n v="58.026173"/>
    <n v="112.55089945"/>
  </r>
  <r>
    <n v="486"/>
    <x v="485"/>
    <n v="47.245376999999998"/>
    <n v="-123.41135"/>
    <x v="0"/>
    <x v="0"/>
    <x v="17"/>
    <n v="-8"/>
    <n v="169.05555559999999"/>
    <n v="3.1965629999999998"/>
    <s v="Moderate"/>
    <n v="1.0205723"/>
    <n v="69.682433200000006"/>
    <n v="2236.0779259999999"/>
    <n v="2996.3446279999998"/>
    <n v="0.74626860512121307"/>
    <n v="0.18161374"/>
    <n v="0.13553265"/>
    <n v="54.240328570000003"/>
    <x v="466"/>
    <n v="181.3842856"/>
    <n v="574410.10320000001"/>
    <n v="700365.2"/>
    <n v="35.613959999999999"/>
    <n v="89.854288569999994"/>
  </r>
  <r>
    <n v="487"/>
    <x v="486"/>
    <n v="47.273147999999999"/>
    <n v="-123.256516"/>
    <x v="0"/>
    <x v="0"/>
    <x v="17"/>
    <n v="-8"/>
    <n v="152.4210526"/>
    <n v="3.3006039"/>
    <s v="Moderate"/>
    <n v="1.0206280999999999"/>
    <n v="72.687216800000002"/>
    <n v="2332.4998019999998"/>
    <n v="3125.5503220000001"/>
    <n v="0.74626851648559056"/>
    <n v="0.18762936"/>
    <n v="0.1400219"/>
    <n v="52.503587420000002"/>
    <x v="467"/>
    <n v="181.3842856"/>
    <n v="574410.10320000001"/>
    <n v="647122.75"/>
    <n v="31.85153"/>
    <n v="84.355117419999999"/>
  </r>
  <r>
    <n v="488"/>
    <x v="487"/>
    <n v="47.300761999999999"/>
    <n v="-123.10154"/>
    <x v="0"/>
    <x v="0"/>
    <x v="17"/>
    <n v="-8"/>
    <n v="81.352941180000002"/>
    <n v="3.3346577000000002"/>
    <s v="Moderate"/>
    <n v="1.0207286"/>
    <n v="51.370199999999997"/>
    <n v="1648.446602"/>
    <n v="2208.9186"/>
    <n v="0.74626860491826186"/>
    <n v="0.18922861999999999"/>
    <n v="0.14121538"/>
    <n v="52.063925009999998"/>
    <x v="468"/>
    <n v="180.76598039999999"/>
    <n v="572511.23829999997"/>
    <n v="648965.06000000006"/>
    <n v="31.672249000000001"/>
    <n v="83.736174009999999"/>
  </r>
  <r>
    <n v="489"/>
    <x v="488"/>
    <n v="47.328229999999998"/>
    <n v="-122.94642"/>
    <x v="0"/>
    <x v="0"/>
    <x v="17"/>
    <n v="-8"/>
    <n v="72.125"/>
    <n v="3.3191757000000002"/>
    <s v="Moderate"/>
    <n v="1.0208497999999999"/>
    <n v="60.436686620000003"/>
    <n v="1939.386309"/>
    <n v="2598.777525"/>
    <n v="0.7462686937774714"/>
    <n v="0.18826635"/>
    <n v="0.14049728"/>
    <n v="52.334947"/>
    <x v="44"/>
    <n v="189.3453116"/>
    <n v="602371.35690000001"/>
    <n v="646653.75"/>
    <n v="31.720755"/>
    <n v="84.055701999999997"/>
  </r>
  <r>
    <n v="490"/>
    <x v="489"/>
    <n v="47.355539999999998"/>
    <n v="-122.79114"/>
    <x v="0"/>
    <x v="0"/>
    <x v="23"/>
    <n v="-8"/>
    <n v="60.92307692"/>
    <n v="3.3019466"/>
    <s v="Moderate"/>
    <n v="1.0209701"/>
    <n v="30.338387839999999"/>
    <n v="973.54521409999995"/>
    <n v="1304.550677"/>
    <n v="0.74626860517125004"/>
    <n v="0.18802293"/>
    <n v="0.14031560000000001"/>
    <n v="52.407593060000004"/>
    <x v="469"/>
    <n v="214.55874660000001"/>
    <n v="712385.70570000005"/>
    <n v="764105"/>
    <n v="37.530697000000004"/>
    <n v="89.938290060000014"/>
  </r>
  <r>
    <n v="491"/>
    <x v="490"/>
    <n v="47.3827"/>
    <n v="-122.63572000000001"/>
    <x v="0"/>
    <x v="0"/>
    <x v="11"/>
    <n v="-8"/>
    <n v="78"/>
    <n v="3.3091279999999998"/>
    <s v="Moderate"/>
    <n v="1.0210745000000001"/>
    <n v="20.040614210000001"/>
    <n v="643.09429209999996"/>
    <n v="861.74641099999997"/>
    <n v="0.74626860511520021"/>
    <n v="0.18901636999999999"/>
    <n v="0.14105699999999999"/>
    <n v="52.136369369999997"/>
    <x v="6"/>
    <n v="216.12602580000001"/>
    <n v="723768.34030000004"/>
    <n v="760162.8"/>
    <n v="37.140830000000001"/>
    <n v="89.277199370000005"/>
  </r>
  <r>
    <n v="492"/>
    <x v="491"/>
    <n v="47.409709999999997"/>
    <n v="-122.48014999999999"/>
    <x v="0"/>
    <x v="0"/>
    <x v="11"/>
    <n v="-8"/>
    <n v="80.333333330000002"/>
    <n v="3.3025758000000001"/>
    <s v="Moderate"/>
    <n v="1.021196"/>
    <n v="1.198152109"/>
    <n v="38.448162019999998"/>
    <n v="51.520540680000003"/>
    <n v="0.746268604959058"/>
    <n v="0.18889885000000001"/>
    <n v="0.14096928"/>
    <n v="55.618357230000001"/>
    <x v="470"/>
    <n v="236.67380510000001"/>
    <n v="828349.76569999999"/>
    <n v="873080"/>
    <n v="42.684395000000002"/>
    <n v="98.30275223000001"/>
  </r>
  <r>
    <n v="493"/>
    <x v="492"/>
    <n v="47.43656"/>
    <n v="-122.32443000000001"/>
    <x v="0"/>
    <x v="0"/>
    <x v="18"/>
    <n v="-8"/>
    <n v="80.090909089999997"/>
    <n v="3.3421059999999998"/>
    <s v="Moderate"/>
    <n v="1.0212251999999999"/>
    <n v="10.584107449999999"/>
    <n v="339.63928570000002"/>
    <n v="455.1166202"/>
    <n v="0.74626869383663963"/>
    <n v="0.18977298000000001"/>
    <n v="0.14162159999999999"/>
    <n v="51.934574009999999"/>
    <x v="191"/>
    <n v="35.349902579999998"/>
    <n v="126319.8815"/>
    <n v="147996.1"/>
    <n v="7.2021189999999997"/>
    <n v="59.136693010000002"/>
  </r>
  <r>
    <n v="494"/>
    <x v="493"/>
    <n v="47.463264000000002"/>
    <n v="-122.16858000000001"/>
    <x v="0"/>
    <x v="0"/>
    <x v="18"/>
    <n v="-8"/>
    <n v="140.1052632"/>
    <n v="3.2211666000000001"/>
    <s v="Moderate"/>
    <n v="1.0211984999999999"/>
    <n v="10.135934799999999"/>
    <n v="325.25758680000001"/>
    <n v="435.84519649999999"/>
    <n v="0.74626860502751924"/>
    <n v="0.18215275"/>
    <n v="0.13593489"/>
    <n v="54.10608311"/>
    <x v="471"/>
    <n v="22.466012970000001"/>
    <n v="85571.054120000001"/>
    <n v="116261.56"/>
    <n v="5.8944710000000002"/>
    <n v="60.000554110000003"/>
  </r>
  <r>
    <n v="495"/>
    <x v="494"/>
    <n v="47.489815"/>
    <n v="-122.01256600000001"/>
    <x v="0"/>
    <x v="0"/>
    <x v="18"/>
    <n v="-8"/>
    <n v="283"/>
    <n v="3.1056360000000001"/>
    <s v="Moderate"/>
    <n v="1.0211006"/>
    <n v="10.396916559999999"/>
    <n v="333.63241379999999"/>
    <n v="447.0674123"/>
    <n v="0.74626869376048233"/>
    <n v="0.17487657000000001"/>
    <n v="0.13050487999999999"/>
    <n v="56.353050519999996"/>
    <x v="472"/>
    <n v="38.525486989999997"/>
    <n v="149578.07149999999"/>
    <n v="195860.03"/>
    <n v="10.343287"/>
    <n v="66.69633752"/>
  </r>
  <r>
    <n v="496"/>
    <x v="495"/>
    <n v="47.516204999999999"/>
    <n v="-121.856415"/>
    <x v="0"/>
    <x v="0"/>
    <x v="18"/>
    <n v="-8"/>
    <n v="302.44444440000001"/>
    <n v="3.0547654999999998"/>
    <s v="Moderate"/>
    <n v="1.0208793"/>
    <n v="18.464031080000002"/>
    <n v="592.50244889999999"/>
    <n v="793.95333640000001"/>
    <n v="0.74626860513813942"/>
    <n v="0.17124611000000001"/>
    <n v="0.12779558999999999"/>
    <n v="57.537861220000003"/>
    <x v="390"/>
    <n v="49.02305192"/>
    <n v="194976.0784"/>
    <n v="236604.17"/>
    <n v="12.759865"/>
    <n v="70.297726220000001"/>
  </r>
  <r>
    <n v="497"/>
    <x v="496"/>
    <n v="47.542445999999998"/>
    <n v="-121.70012"/>
    <x v="0"/>
    <x v="0"/>
    <x v="18"/>
    <n v="-8"/>
    <n v="497.2"/>
    <n v="2.9886723000000002"/>
    <s v="Low"/>
    <n v="1.0201159"/>
    <n v="3.3159780400000001"/>
    <n v="106.4082305"/>
    <n v="142.58705570000001"/>
    <n v="0.74626851629421787"/>
    <n v="0.16851047"/>
    <n v="0.12575410000000001"/>
    <n v="58.437328579999999"/>
    <x v="473"/>
    <n v="53.592311649999999"/>
    <n v="215409.48149999999"/>
    <n v="319493.71999999997"/>
    <n v="17.509744999999999"/>
    <n v="75.947073579999994"/>
  </r>
  <r>
    <n v="498"/>
    <x v="497"/>
    <n v="47.568527000000003"/>
    <n v="-121.54368599999999"/>
    <x v="0"/>
    <x v="0"/>
    <x v="18"/>
    <n v="-8"/>
    <n v="1081"/>
    <n v="2.997903"/>
    <s v="Low"/>
    <n v="1.0194162"/>
    <n v="9.3636002999999995E-2"/>
    <n v="3.0047368570000001"/>
    <n v="4.0263481460000001"/>
    <n v="0.74626851629436819"/>
    <n v="0.17302598"/>
    <n v="0.12912385000000001"/>
    <n v="80.577656910000002"/>
    <x v="474"/>
    <n v="54.628636329999999"/>
    <n v="215538.10200000001"/>
    <n v="424725.4"/>
    <n v="22.669467999999998"/>
    <n v="103.24712491"/>
  </r>
  <r>
    <n v="499"/>
    <x v="498"/>
    <n v="47.696632000000001"/>
    <n v="-120.75936"/>
    <x v="0"/>
    <x v="0"/>
    <x v="12"/>
    <n v="-8"/>
    <n v="875.14285710000001"/>
    <n v="3.8608706000000002"/>
    <s v="Moderate"/>
    <n v="1.0133296000000001"/>
    <n v="0.72349199799999997"/>
    <n v="23.21653264"/>
    <n v="31.110155890000001"/>
    <n v="0.74626860508476867"/>
    <n v="0.22840907999999999"/>
    <n v="0.17045455000000001"/>
    <n v="48.290153599999996"/>
    <x v="475"/>
    <n v="161.95862980000001"/>
    <n v="557024.54480000003"/>
    <n v="647279.80000000005"/>
    <n v="26.17117"/>
    <n v="74.4613236"/>
  </r>
  <r>
    <n v="500"/>
    <x v="499"/>
    <n v="47.721786000000002"/>
    <n v="-120.60207"/>
    <x v="0"/>
    <x v="0"/>
    <x v="12"/>
    <n v="-8"/>
    <n v="809.33333330000005"/>
    <n v="3.9308814999999999"/>
    <s v="Moderate"/>
    <n v="1.0116058999999999"/>
    <n v="1.4907240690000001"/>
    <n v="47.836664579999997"/>
    <n v="64.101134979999998"/>
    <n v="0.74626860499311554"/>
    <n v="0.23368480999999999"/>
    <n v="0.17439162999999999"/>
    <n v="43.581859819999998"/>
    <x v="6"/>
    <n v="170.62576609999999"/>
    <n v="583624.23430000001"/>
    <n v="624047.56000000006"/>
    <n v="24.662189999999999"/>
    <n v="68.244049820000001"/>
  </r>
  <r>
    <n v="501"/>
    <x v="500"/>
    <n v="47.746783999999998"/>
    <n v="-120.44465"/>
    <x v="0"/>
    <x v="0"/>
    <x v="12"/>
    <n v="-8"/>
    <n v="1014"/>
    <n v="4.0252131999999996"/>
    <s v="High"/>
    <n v="1.0094091999999999"/>
    <n v="1.063043921"/>
    <n v="34.112605129999999"/>
    <n v="45.710888599999997"/>
    <n v="0.74626869384464345"/>
    <n v="0.24276417"/>
    <n v="0.18116726999999999"/>
    <n v="43.433988210000003"/>
    <x v="476"/>
    <n v="160.3545259"/>
    <n v="533718.11239999998"/>
    <n v="631600.56000000006"/>
    <n v="24.027152999999998"/>
    <n v="67.461141209999994"/>
  </r>
  <r>
    <n v="502"/>
    <x v="501"/>
    <n v="47.771625999999998"/>
    <n v="-120.28709000000001"/>
    <x v="0"/>
    <x v="0"/>
    <x v="12"/>
    <n v="-8"/>
    <n v="681.46153849999996"/>
    <n v="4.0341944999999999"/>
    <s v="High"/>
    <n v="1.0076176999999999"/>
    <n v="3.3495932370000001"/>
    <n v="107.48693969999999"/>
    <n v="144.03250919999999"/>
    <n v="0.74626860489354019"/>
    <n v="0.24379407"/>
    <n v="0.18193588999999999"/>
    <n v="40.000248489999997"/>
    <x v="477"/>
    <n v="145.4251233"/>
    <n v="469642.67009999999"/>
    <n v="559764.5"/>
    <n v="21.204432000000001"/>
    <n v="61.204680490000001"/>
  </r>
  <r>
    <n v="503"/>
    <x v="502"/>
    <n v="47.796309999999998"/>
    <n v="-120.12939"/>
    <x v="0"/>
    <x v="0"/>
    <x v="12"/>
    <n v="-8"/>
    <n v="560.6875"/>
    <n v="4.0104839999999999"/>
    <s v="High"/>
    <n v="1.0057327"/>
    <n v="3.4128542180000001"/>
    <n v="109.5169561"/>
    <n v="146.75273139999999"/>
    <n v="0.74626860471504664"/>
    <n v="0.24178205"/>
    <n v="0.18043439"/>
    <n v="40.273557590000003"/>
    <x v="216"/>
    <n v="154.71805839999999"/>
    <n v="504804.55469999998"/>
    <n v="543383.56000000006"/>
    <n v="20.755198"/>
    <n v="61.028755590000003"/>
  </r>
  <r>
    <n v="504"/>
    <x v="503"/>
    <n v="47.820843000000004"/>
    <n v="-119.97154999999999"/>
    <x v="0"/>
    <x v="0"/>
    <x v="20"/>
    <n v="-8"/>
    <n v="614.66666669999995"/>
    <n v="4.0123680000000004"/>
    <s v="High"/>
    <n v="1.0032293000000001"/>
    <n v="7.6726439209999997"/>
    <n v="246.21172010000001"/>
    <n v="329.92368859999999"/>
    <n v="0.74626869366299886"/>
    <n v="0.24226041000000001"/>
    <n v="0.18079136000000001"/>
    <n v="40.115095590000003"/>
    <x v="214"/>
    <n v="164.06371419999999"/>
    <n v="525800.27209999994"/>
    <n v="568774.9"/>
    <n v="21.682151999999999"/>
    <n v="61.797247589999998"/>
  </r>
  <r>
    <n v="505"/>
    <x v="504"/>
    <n v="47.845215000000003"/>
    <n v="-119.81358"/>
    <x v="0"/>
    <x v="0"/>
    <x v="20"/>
    <n v="-8"/>
    <n v="774.94117649999998"/>
    <n v="4.0138454000000001"/>
    <s v="High"/>
    <n v="1.0010557"/>
    <n v="49.529474999999998"/>
    <n v="1589.378565"/>
    <n v="2129.767425"/>
    <n v="0.74626860489238633"/>
    <n v="0.24385796000000001"/>
    <n v="0.18198355999999999"/>
    <n v="39.784211480000003"/>
    <x v="340"/>
    <n v="181.80669470000001"/>
    <n v="494766.99400000001"/>
    <n v="531951.5"/>
    <n v="20.145567"/>
    <n v="59.929778480000003"/>
  </r>
  <r>
    <n v="506"/>
    <x v="505"/>
    <n v="47.869427000000002"/>
    <n v="-119.65546999999999"/>
    <x v="0"/>
    <x v="0"/>
    <x v="20"/>
    <n v="-8"/>
    <n v="671.65"/>
    <n v="3.9806675999999999"/>
    <s v="Moderate"/>
    <n v="0.99884676999999999"/>
    <n v="45.009188530000003"/>
    <n v="1444.3246059999999"/>
    <n v="1935.3951070000001"/>
    <n v="0.74626860467721534"/>
    <n v="0.24242596"/>
    <n v="0.18091491000000001"/>
    <n v="39.949607520000001"/>
    <x v="478"/>
    <n v="172.37633750000001"/>
    <n v="469546.66940000001"/>
    <n v="553014.43999999994"/>
    <n v="21.066956000000001"/>
    <n v="61.016563520000005"/>
  </r>
  <r>
    <n v="507"/>
    <x v="506"/>
    <n v="47.893486000000003"/>
    <n v="-119.49723"/>
    <x v="0"/>
    <x v="0"/>
    <x v="20"/>
    <n v="-8"/>
    <n v="653.77777779999997"/>
    <n v="3.9442390999999999"/>
    <s v="Moderate"/>
    <n v="0.99635960000000001"/>
    <n v="79.915818160000001"/>
    <n v="2564.4626440000002"/>
    <n v="3436.380181"/>
    <n v="0.74626860502196579"/>
    <n v="0.24042902999999999"/>
    <n v="0.17942466000000001"/>
    <n v="40.202384039999998"/>
    <x v="479"/>
    <n v="160.95958429999999"/>
    <n v="432337.76740000001"/>
    <n v="530493.06000000006"/>
    <n v="20.376857999999999"/>
    <n v="60.579242039999997"/>
  </r>
  <r>
    <n v="508"/>
    <x v="507"/>
    <n v="47.917389999999997"/>
    <n v="-119.33884999999999"/>
    <x v="0"/>
    <x v="0"/>
    <x v="20"/>
    <n v="-8"/>
    <n v="680.83333330000005"/>
    <n v="3.9306808000000002"/>
    <s v="Moderate"/>
    <n v="0.99421309999999996"/>
    <n v="98.936318850000006"/>
    <n v="3174.8219519999998"/>
    <n v="4254.2617099999998"/>
    <n v="0.74626860508776738"/>
    <n v="0.23937792999999999"/>
    <n v="0.17864026"/>
    <n v="40.31041115"/>
    <x v="480"/>
    <n v="128.7453376"/>
    <n v="351771.21879999997"/>
    <n v="444480.75"/>
    <n v="17.147991000000001"/>
    <n v="57.458402149999998"/>
  </r>
  <r>
    <n v="509"/>
    <x v="508"/>
    <n v="47.941130000000001"/>
    <n v="-119.18034"/>
    <x v="0"/>
    <x v="0"/>
    <x v="20"/>
    <n v="-8"/>
    <n v="685.35294120000003"/>
    <n v="3.9103621999999998"/>
    <s v="Moderate"/>
    <n v="0.99213176999999997"/>
    <n v="79.214764750000001"/>
    <n v="2541.9658530000002"/>
    <n v="3406.234884"/>
    <n v="0.746268516284739"/>
    <n v="0.23740907"/>
    <n v="0.17717093"/>
    <n v="40.577739209999997"/>
    <x v="225"/>
    <n v="123.5396817"/>
    <n v="336466.20179999998"/>
    <n v="386184.16"/>
    <n v="15.022477"/>
    <n v="55.600216209999999"/>
  </r>
  <r>
    <n v="510"/>
    <x v="509"/>
    <n v="47.964714000000001"/>
    <n v="-119.0217"/>
    <x v="0"/>
    <x v="0"/>
    <x v="20"/>
    <n v="-8"/>
    <n v="608.46153849999996"/>
    <n v="3.9067614000000002"/>
    <s v="Moderate"/>
    <n v="0.98996024999999999"/>
    <n v="33.614351370000001"/>
    <n v="1078.66941"/>
    <n v="1445.417109"/>
    <n v="0.74626860529295147"/>
    <n v="0.23675223000000001"/>
    <n v="0.17668076999999999"/>
    <n v="40.620255440000001"/>
    <x v="6"/>
    <n v="112.24490900000001"/>
    <n v="307141.34049999999"/>
    <n v="324631.78000000003"/>
    <n v="12.663138999999999"/>
    <n v="53.283394440000002"/>
  </r>
  <r>
    <n v="511"/>
    <x v="510"/>
    <n v="47.988140000000001"/>
    <n v="-118.86293000000001"/>
    <x v="0"/>
    <x v="0"/>
    <x v="3"/>
    <n v="-8"/>
    <n v="652.11111110000002"/>
    <n v="3.8692806000000002"/>
    <s v="Moderate"/>
    <n v="0.98788039999999999"/>
    <n v="14.81506216"/>
    <n v="475.4086782"/>
    <n v="637.04767279999999"/>
    <n v="0.74626860515861848"/>
    <n v="0.23361794999999999"/>
    <n v="0.17434177000000001"/>
    <n v="41.09721064"/>
    <x v="125"/>
    <n v="125.0451947"/>
    <n v="356430.8026"/>
    <n v="393060.88"/>
    <n v="15.538105"/>
    <n v="56.635315640000002"/>
  </r>
  <r>
    <n v="512"/>
    <x v="511"/>
    <n v="48.011414000000002"/>
    <n v="-118.704025"/>
    <x v="0"/>
    <x v="0"/>
    <x v="5"/>
    <n v="-8"/>
    <n v="713"/>
    <n v="3.8139886999999999"/>
    <s v="Moderate"/>
    <n v="0.98601609999999995"/>
    <n v="6.6039299009999999"/>
    <n v="211.91716410000001"/>
    <n v="283.96898570000002"/>
    <n v="0.74626869401815799"/>
    <n v="0.22993727"/>
    <n v="0.17159498000000001"/>
    <n v="41.693131190000003"/>
    <x v="481"/>
    <n v="145.19304539999999"/>
    <n v="450701.7818"/>
    <n v="541255"/>
    <n v="21.738869000000001"/>
    <n v="63.432000190000004"/>
  </r>
  <r>
    <n v="513"/>
    <x v="512"/>
    <n v="48.034523"/>
    <n v="-118.545"/>
    <x v="0"/>
    <x v="0"/>
    <x v="5"/>
    <n v="-8"/>
    <n v="881.58823529999995"/>
    <n v="3.7861185000000002"/>
    <s v="Moderate"/>
    <n v="0.98457026000000003"/>
    <n v="13.91239764"/>
    <n v="446.44258009999999"/>
    <n v="598.23309870000003"/>
    <n v="0.74626860511420912"/>
    <n v="0.22945940000000001"/>
    <n v="0.17123836000000001"/>
    <n v="41.731835070000002"/>
    <x v="482"/>
    <n v="145.19304539999999"/>
    <n v="450701.7818"/>
    <n v="586878.9"/>
    <n v="23.620387999999998"/>
    <n v="65.352223070000008"/>
  </r>
  <r>
    <n v="514"/>
    <x v="513"/>
    <n v="48.057476000000001"/>
    <n v="-118.38583"/>
    <x v="0"/>
    <x v="0"/>
    <x v="5"/>
    <n v="-8"/>
    <n v="721.41176470000005"/>
    <n v="3.7457034999999999"/>
    <s v="Moderate"/>
    <n v="0.98314679999999999"/>
    <n v="19.567818240000001"/>
    <n v="627.92248210000002"/>
    <n v="841.41618419999998"/>
    <n v="0.74626860511010362"/>
    <n v="0.222136"/>
    <n v="0.16577314000000001"/>
    <n v="43.0586889"/>
    <x v="483"/>
    <n v="145.19304539999999"/>
    <n v="450701.7818"/>
    <n v="667711.75"/>
    <n v="27.759682000000002"/>
    <n v="70.818370900000005"/>
  </r>
  <r>
    <n v="515"/>
    <x v="514"/>
    <n v="48.080269999999999"/>
    <n v="-118.22654"/>
    <x v="0"/>
    <x v="0"/>
    <x v="7"/>
    <n v="-8"/>
    <n v="609.29411760000005"/>
    <n v="3.7567751"/>
    <s v="Moderate"/>
    <n v="0.98202650000000002"/>
    <n v="16.57924156"/>
    <n v="532.02040150000005"/>
    <n v="712.90738729999998"/>
    <n v="0.74626860511983928"/>
    <n v="0.22057193999999999"/>
    <n v="0.16460593000000001"/>
    <n v="43.325215589999999"/>
    <x v="484"/>
    <n v="84.961285680000003"/>
    <n v="288880.79979999998"/>
    <n v="608584.43999999994"/>
    <n v="25.480913000000001"/>
    <n v="68.80612859"/>
  </r>
  <r>
    <n v="516"/>
    <x v="515"/>
    <n v="48.102899999999998"/>
    <n v="-118.067116"/>
    <x v="0"/>
    <x v="0"/>
    <x v="7"/>
    <n v="-8"/>
    <n v="944.41176470000005"/>
    <n v="3.7422005999999999"/>
    <s v="Moderate"/>
    <n v="0.98126579999999997"/>
    <n v="10.636919600000001"/>
    <n v="341.33392309999999"/>
    <n v="457.38754299999999"/>
    <n v="0.74626851632467828"/>
    <n v="0.22108143999999999"/>
    <n v="0.16498612000000001"/>
    <n v="43.199092499999999"/>
    <x v="485"/>
    <n v="77.678324630000006"/>
    <n v="285946.31209999998"/>
    <n v="504340.8"/>
    <n v="21.067657000000001"/>
    <n v="64.266749500000003"/>
  </r>
  <r>
    <n v="517"/>
    <x v="516"/>
    <n v="48.125377999999998"/>
    <n v="-117.90758"/>
    <x v="0"/>
    <x v="0"/>
    <x v="7"/>
    <n v="-8"/>
    <n v="933.41176470000005"/>
    <n v="3.6575096"/>
    <s v="Moderate"/>
    <n v="0.98054169999999996"/>
    <n v="14.860745290000001"/>
    <n v="476.87462920000002"/>
    <n v="639.01204740000003"/>
    <n v="0.74626860501347103"/>
    <n v="0.21607857999999999"/>
    <n v="0.16125268000000001"/>
    <n v="44.173671509999998"/>
    <x v="486"/>
    <n v="83.553909039999994"/>
    <n v="308469.08559999999"/>
    <n v="447298.5"/>
    <n v="19.117457999999999"/>
    <n v="63.291129509999998"/>
  </r>
  <r>
    <n v="518"/>
    <x v="517"/>
    <n v="48.147694000000001"/>
    <n v="-117.7479"/>
    <x v="0"/>
    <x v="0"/>
    <x v="7"/>
    <n v="-8"/>
    <n v="675.88888889999998"/>
    <n v="3.6356522999999998"/>
    <s v="Moderate"/>
    <n v="0.98013249999999996"/>
    <n v="24.47698381"/>
    <n v="785.45548980000001"/>
    <n v="1052.5103039999999"/>
    <n v="0.74626869382173766"/>
    <n v="0.21204649"/>
    <n v="0.15824366000000001"/>
    <n v="44.998894360000001"/>
    <x v="487"/>
    <n v="87.688610330000003"/>
    <n v="327869.89889999997"/>
    <n v="374246.28"/>
    <n v="16.29937"/>
    <n v="61.298264360000005"/>
  </r>
  <r>
    <n v="519"/>
    <x v="518"/>
    <n v="48.169849999999997"/>
    <n v="-117.588104"/>
    <x v="0"/>
    <x v="0"/>
    <x v="7"/>
    <n v="-8"/>
    <n v="859.8666667"/>
    <n v="3.6315813000000001"/>
    <s v="Moderate"/>
    <n v="0.98000609999999999"/>
    <n v="13.11033647"/>
    <n v="420.704748"/>
    <n v="563.74446839999996"/>
    <n v="0.74626851629077562"/>
    <n v="0.21297868"/>
    <n v="0.15893932"/>
    <n v="44.797409979999998"/>
    <x v="488"/>
    <n v="83.807824640000007"/>
    <n v="330649.326"/>
    <n v="440154.62"/>
    <n v="19.085940000000001"/>
    <n v="63.883349979999998"/>
  </r>
  <r>
    <n v="520"/>
    <x v="519"/>
    <n v="48.191839999999999"/>
    <n v="-117.42818"/>
    <x v="0"/>
    <x v="0"/>
    <x v="8"/>
    <n v="-8"/>
    <n v="949.1176471"/>
    <n v="3.5958176000000002"/>
    <s v="Moderate"/>
    <n v="0.98002529999999999"/>
    <n v="6.8809500000000003"/>
    <n v="220.80658919999999"/>
    <n v="295.88085000000001"/>
    <n v="0.74626860508207948"/>
    <n v="0.21095167000000001"/>
    <n v="0.15742663000000001"/>
    <n v="45.228551070000002"/>
    <x v="489"/>
    <n v="91.413694759999998"/>
    <n v="337511.96340000001"/>
    <n v="458124.84"/>
    <n v="20.056045999999998"/>
    <n v="65.284597070000004"/>
  </r>
  <r>
    <n v="521"/>
    <x v="520"/>
    <n v="48.213679999999997"/>
    <n v="-117.26813"/>
    <x v="0"/>
    <x v="0"/>
    <x v="8"/>
    <n v="-8"/>
    <n v="737"/>
    <n v="3.5760931999999999"/>
    <s v="Moderate"/>
    <n v="0.98013640000000002"/>
    <n v="34.697809419999999"/>
    <n v="1113.437091"/>
    <n v="1492.005805"/>
    <n v="0.74626860516806104"/>
    <n v="0.20719306000000001"/>
    <n v="0.1546217"/>
    <n v="46.05311322"/>
    <x v="490"/>
    <n v="87.120831120000005"/>
    <n v="318333.77490000002"/>
    <n v="387659.03"/>
    <n v="17.279019999999999"/>
    <n v="63.332133220000003"/>
  </r>
  <r>
    <n v="522"/>
    <x v="521"/>
    <n v="48.235354999999998"/>
    <n v="-117.107956"/>
    <x v="0"/>
    <x v="0"/>
    <x v="8"/>
    <n v="-8"/>
    <n v="803.15"/>
    <n v="3.5579740000000002"/>
    <s v="Moderate"/>
    <n v="0.98043864999999997"/>
    <n v="32.035094600000001"/>
    <n v="1027.9918929999999"/>
    <n v="1377.5090680000001"/>
    <n v="0.74626869389145822"/>
    <n v="0.20577075"/>
    <n v="0.15356023999999999"/>
    <n v="46.38267759"/>
    <x v="491"/>
    <n v="130.5718311"/>
    <n v="529364.88"/>
    <n v="585941.43999999994"/>
    <n v="26.297530999999999"/>
    <n v="72.680208590000007"/>
  </r>
  <r>
    <n v="523"/>
    <x v="522"/>
    <n v="48.256869999999999"/>
    <n v="-116.94766"/>
    <x v="0"/>
    <x v="1"/>
    <x v="13"/>
    <n v="-8"/>
    <n v="818.5"/>
    <n v="3.517347"/>
    <s v="Moderate"/>
    <n v="0.98083955"/>
    <n v="22.002839210000001"/>
    <n v="706.06120929999997"/>
    <n v="946.12208599999997"/>
    <n v="0.74626860502229098"/>
    <n v="0.20218168"/>
    <n v="0.15088183999999999"/>
    <n v="47.221193800000002"/>
    <x v="492"/>
    <n v="315.34175310000001"/>
    <n v="1168665.02"/>
    <n v="1269282.3999999999"/>
    <n v="57.977684000000004"/>
    <n v="105.19887780000001"/>
  </r>
  <r>
    <n v="524"/>
    <x v="523"/>
    <n v="48.278224999999999"/>
    <n v="-116.78725"/>
    <x v="0"/>
    <x v="1"/>
    <x v="13"/>
    <n v="-8"/>
    <n v="856.05263160000004"/>
    <n v="3.4805503"/>
    <s v="Moderate"/>
    <n v="0.98114645"/>
    <n v="17.137816260000001"/>
    <n v="549.9448774"/>
    <n v="736.92609919999995"/>
    <n v="0.74626869369535831"/>
    <n v="0.2003008"/>
    <n v="0.14947822999999999"/>
    <n v="47.676316610000001"/>
    <x v="493"/>
    <n v="315.34175310000001"/>
    <n v="1168665.02"/>
    <n v="1284461.8"/>
    <n v="59.221977000000003"/>
    <n v="106.89829361"/>
  </r>
  <r>
    <n v="525"/>
    <x v="524"/>
    <n v="48.299419999999998"/>
    <n v="-116.62671"/>
    <x v="0"/>
    <x v="1"/>
    <x v="13"/>
    <n v="-8"/>
    <n v="856.93333329999996"/>
    <n v="3.4430619999999998"/>
    <s v="Moderate"/>
    <n v="0.98082559999999996"/>
    <n v="9.1093398929999996"/>
    <n v="292.31461810000002"/>
    <n v="391.70161539999998"/>
    <n v="0.74626860499794623"/>
    <n v="0.19826382000000001"/>
    <n v="0.14795807999999999"/>
    <n v="48.153788349999999"/>
    <x v="494"/>
    <n v="345.46370760000002"/>
    <n v="1313264.872"/>
    <n v="1378635.6"/>
    <n v="64.217060000000004"/>
    <n v="112.37084835"/>
  </r>
  <r>
    <n v="526"/>
    <x v="525"/>
    <n v="48.320450000000001"/>
    <n v="-116.46605"/>
    <x v="0"/>
    <x v="1"/>
    <x v="13"/>
    <n v="-8"/>
    <n v="680.6"/>
    <n v="3.4930425000000001"/>
    <s v="Moderate"/>
    <n v="0.98122555"/>
    <n v="24.885873629999999"/>
    <n v="798.57648670000003"/>
    <n v="1070.092566"/>
    <n v="0.74626860523391392"/>
    <n v="0.20047880000000001"/>
    <n v="0.14961105999999999"/>
    <n v="47.637000759999999"/>
    <x v="495"/>
    <n v="358.50201279999999"/>
    <n v="1365751.17"/>
    <n v="1412847.4"/>
    <n v="65.083539999999999"/>
    <n v="112.72054076000001"/>
  </r>
  <r>
    <n v="527"/>
    <x v="526"/>
    <n v="48.341324"/>
    <n v="-116.30526999999999"/>
    <x v="0"/>
    <x v="1"/>
    <x v="13"/>
    <n v="-8"/>
    <n v="976.35714289999999"/>
    <n v="3.514135"/>
    <s v="Moderate"/>
    <n v="0.98158800000000002"/>
    <n v="10.48852903"/>
    <n v="336.57213689999998"/>
    <n v="451.0067482"/>
    <n v="0.74626851647626846"/>
    <n v="0.20361498"/>
    <n v="0.15195148"/>
    <n v="46.916862389999999"/>
    <x v="496"/>
    <n v="364.75303880000001"/>
    <n v="1391179.6680000001"/>
    <n v="1511049.2"/>
    <n v="68.535139999999998"/>
    <n v="115.45200238999999"/>
  </r>
  <r>
    <n v="528"/>
    <x v="527"/>
    <n v="48.362029999999997"/>
    <n v="-116.14438"/>
    <x v="0"/>
    <x v="1"/>
    <x v="13"/>
    <n v="-8"/>
    <n v="1611"/>
    <n v="3.4314624999999999"/>
    <s v="Moderate"/>
    <n v="0.98195109999999997"/>
    <n v="0.19958401100000001"/>
    <n v="6.4045603270000004"/>
    <n v="8.5821124520000005"/>
    <n v="0.74626851638461844"/>
    <n v="0.20041466999999999"/>
    <n v="0.14956317999999999"/>
    <n v="61.856249040000002"/>
    <x v="497"/>
    <n v="364.75303880000001"/>
    <n v="1391179.6680000001"/>
    <n v="1636065"/>
    <n v="75.390299999999996"/>
    <n v="137.24654903999999"/>
  </r>
  <r>
    <n v="529"/>
    <x v="528"/>
    <n v="48.382579999999997"/>
    <n v="-115.98336999999999"/>
    <x v="0"/>
    <x v="2"/>
    <x v="14"/>
    <n v="-7"/>
    <n v="1052.9000000000001"/>
    <n v="3.4884002000000001"/>
    <s v="Moderate"/>
    <n v="0.98237580000000002"/>
    <n v="2.9347920589999998"/>
    <n v="94.176156579999997"/>
    <n v="126.1960586"/>
    <n v="0.7462686047787549"/>
    <n v="0.20089135999999999"/>
    <n v="0.14991893000000001"/>
    <n v="47.582906600000001"/>
    <x v="498"/>
    <n v="333.76480500000002"/>
    <n v="1447217.798"/>
    <n v="1603660.4"/>
    <n v="73.721729999999994"/>
    <n v="121.30463659999999"/>
  </r>
  <r>
    <n v="530"/>
    <x v="529"/>
    <n v="48.402965999999999"/>
    <n v="-115.82223500000001"/>
    <x v="0"/>
    <x v="2"/>
    <x v="14"/>
    <n v="-7"/>
    <n v="910.90909090000002"/>
    <n v="3.4780897999999998"/>
    <s v="Moderate"/>
    <n v="0.98267170000000004"/>
    <n v="18.822778419999999"/>
    <n v="604.01456129999997"/>
    <n v="809.37947199999996"/>
    <n v="0.74626869372837268"/>
    <n v="0.19830205000000001"/>
    <n v="0.14798659"/>
    <n v="48.215621050000003"/>
    <x v="499"/>
    <n v="330.32561670000001"/>
    <n v="1432896.3030000001"/>
    <n v="1507700.2"/>
    <n v="70.215369999999993"/>
    <n v="118.43099104999999"/>
  </r>
  <r>
    <n v="531"/>
    <x v="530"/>
    <n v="48.423186999999999"/>
    <n v="-115.66098"/>
    <x v="0"/>
    <x v="2"/>
    <x v="14"/>
    <n v="-7"/>
    <n v="940"/>
    <n v="3.5091749999999999"/>
    <s v="Moderate"/>
    <n v="0.98304117000000002"/>
    <n v="4.5108091190000001"/>
    <n v="144.7498348"/>
    <n v="193.96479210000001"/>
    <n v="0.74626860489904334"/>
    <n v="0.19961159000000001"/>
    <n v="0.14896387999999999"/>
    <n v="47.913443479999998"/>
    <x v="500"/>
    <n v="315.51709720000002"/>
    <n v="1342448.7239999999"/>
    <n v="1424695.4"/>
    <n v="65.914450000000002"/>
    <n v="113.82789348"/>
  </r>
  <r>
    <n v="532"/>
    <x v="531"/>
    <n v="48.443252999999999"/>
    <n v="-115.49961999999999"/>
    <x v="0"/>
    <x v="2"/>
    <x v="14"/>
    <n v="-7"/>
    <n v="1019"/>
    <n v="3.5301008"/>
    <s v="Moderate"/>
    <n v="0.98325300000000004"/>
    <n v="19.93337227"/>
    <n v="639.65294640000002"/>
    <n v="857.13500739999995"/>
    <n v="0.74626860515276172"/>
    <n v="0.20180682999999999"/>
    <n v="0.15060212000000001"/>
    <n v="47.40026435"/>
    <x v="501"/>
    <n v="300.860344"/>
    <n v="1273006.361"/>
    <n v="1350790"/>
    <n v="61.815356999999999"/>
    <n v="109.21562134999999"/>
  </r>
  <r>
    <n v="533"/>
    <x v="532"/>
    <n v="48.463149999999999"/>
    <n v="-115.33814"/>
    <x v="0"/>
    <x v="2"/>
    <x v="14"/>
    <n v="-7"/>
    <n v="1051.625"/>
    <n v="3.5363072999999998"/>
    <s v="Moderate"/>
    <n v="0.98348760000000002"/>
    <n v="6.6381121580000002"/>
    <n v="213.01403210000001"/>
    <n v="285.43882280000003"/>
    <n v="0.74626860498669345"/>
    <n v="0.20346718"/>
    <n v="0.15184117999999999"/>
    <n v="47.022276769999998"/>
    <x v="502"/>
    <n v="288.27998689999998"/>
    <n v="1192399.6459999999"/>
    <n v="1301662"/>
    <n v="59.081060000000001"/>
    <n v="106.10333677"/>
  </r>
  <r>
    <n v="534"/>
    <x v="533"/>
    <n v="48.482886999999998"/>
    <n v="-115.17655000000001"/>
    <x v="0"/>
    <x v="2"/>
    <x v="14"/>
    <n v="-7"/>
    <n v="1087.727273"/>
    <n v="3.5447546999999999"/>
    <s v="Moderate"/>
    <n v="0.98367417000000001"/>
    <n v="4.0752719600000002"/>
    <n v="130.77365900000001"/>
    <n v="175.23669430000001"/>
    <n v="0.74626869402203733"/>
    <n v="0.20455029999999999"/>
    <n v="0.15264949"/>
    <n v="46.780246720000001"/>
    <x v="503"/>
    <n v="288.27998689999998"/>
    <n v="1192399.6459999999"/>
    <n v="1372118.5"/>
    <n v="61.94923"/>
    <n v="108.72947672000001"/>
  </r>
  <r>
    <n v="535"/>
    <x v="534"/>
    <n v="48.502464000000003"/>
    <n v="-115.01485"/>
    <x v="0"/>
    <x v="2"/>
    <x v="14"/>
    <n v="-7"/>
    <n v="1284"/>
    <n v="3.5022829999999998"/>
    <s v="Moderate"/>
    <n v="0.98394214999999996"/>
    <n v="1.974780025"/>
    <n v="63.369802380000003"/>
    <n v="84.915541059999995"/>
    <n v="0.74626860512169246"/>
    <n v="0.20326747000000001"/>
    <n v="0.15169214"/>
    <n v="47.565898310000001"/>
    <x v="504"/>
    <n v="300.06642840000001"/>
    <n v="1252291.0120000001"/>
    <n v="1391100.9"/>
    <n v="63.202632999999999"/>
    <n v="110.76853131"/>
  </r>
  <r>
    <n v="536"/>
    <x v="535"/>
    <n v="48.521872999999999"/>
    <n v="-114.85303"/>
    <x v="0"/>
    <x v="2"/>
    <x v="14"/>
    <n v="-7"/>
    <n v="1289.666667"/>
    <n v="3.497995"/>
    <s v="Moderate"/>
    <n v="0.98412853"/>
    <n v="0.26503200999999998"/>
    <n v="8.5047579379999991"/>
    <n v="11.39637643"/>
    <n v="0.74626860478317836"/>
    <n v="0.20318505000000001"/>
    <n v="0.15163061"/>
    <n v="59.216353259999998"/>
    <x v="505"/>
    <n v="299.52642839999999"/>
    <n v="1248633.5109999999"/>
    <n v="1397010.8"/>
    <n v="63.496882999999997"/>
    <n v="122.71323626"/>
  </r>
  <r>
    <n v="537"/>
    <x v="536"/>
    <n v="48.541122000000001"/>
    <n v="-114.69110000000001"/>
    <x v="0"/>
    <x v="2"/>
    <x v="16"/>
    <n v="-7"/>
    <n v="1084.555556"/>
    <n v="3.3924310000000002"/>
    <s v="Moderate"/>
    <n v="0.98123280000000002"/>
    <n v="7.7542915649999999"/>
    <n v="248.83175660000001"/>
    <n v="333.43453729999999"/>
    <n v="0.74626869374398197"/>
    <n v="0.19568869999999999"/>
    <n v="0.14603636"/>
    <n v="48.803349470000001"/>
    <x v="506"/>
    <n v="246.13485700000001"/>
    <n v="937054.66070000001"/>
    <n v="1078575.8"/>
    <n v="50.901352000000003"/>
    <n v="99.704701470000003"/>
  </r>
  <r>
    <n v="538"/>
    <x v="537"/>
    <n v="48.560203999999999"/>
    <n v="-114.52907"/>
    <x v="0"/>
    <x v="2"/>
    <x v="16"/>
    <n v="-7"/>
    <n v="1121.125"/>
    <n v="3.3756911999999999"/>
    <s v="Moderate"/>
    <n v="0.98128115999999999"/>
    <n v="49.886927049999997"/>
    <n v="1600.8490409999999"/>
    <n v="2145.1378629999999"/>
    <n v="0.74626860520805605"/>
    <n v="0.19393131"/>
    <n v="0.14472488"/>
    <n v="49.247504739999997"/>
    <x v="507"/>
    <n v="246.13485700000001"/>
    <n v="937054.66070000001"/>
    <n v="990735.75"/>
    <n v="47.179606999999997"/>
    <n v="96.427111739999987"/>
  </r>
  <r>
    <n v="539"/>
    <x v="538"/>
    <n v="48.597884999999998"/>
    <n v="-114.204666"/>
    <x v="0"/>
    <x v="2"/>
    <x v="16"/>
    <n v="-7"/>
    <n v="1228"/>
    <n v="3.3632512000000001"/>
    <s v="Moderate"/>
    <n v="0.98138800000000004"/>
    <n v="1.725623946"/>
    <n v="55.374495920000001"/>
    <n v="74.201829660000001"/>
    <n v="0.74626860515072646"/>
    <n v="0.19244121"/>
    <n v="0.14361286000000001"/>
    <n v="50.86152731"/>
    <x v="508"/>
    <n v="204.14304540000001"/>
    <n v="740732.24109999998"/>
    <n v="996120.44"/>
    <n v="47.803333000000002"/>
    <n v="98.664860309999995"/>
  </r>
  <r>
    <n v="540"/>
    <x v="539"/>
    <n v="48.689213000000002"/>
    <n v="-113.39176999999999"/>
    <x v="0"/>
    <x v="2"/>
    <x v="19"/>
    <n v="-7"/>
    <n v="1737.090909"/>
    <n v="3.6991345999999998"/>
    <s v="Moderate"/>
    <n v="0.98176925999999998"/>
    <n v="32.835778419999997"/>
    <n v="1053.685479"/>
    <n v="1411.938472"/>
    <n v="0.74626869364035575"/>
    <n v="0.22319185999999999"/>
    <n v="0.16656108"/>
    <n v="42.80785418"/>
    <x v="509"/>
    <n v="264.80497389999999"/>
    <n v="713346.37890000001"/>
    <n v="851531.75"/>
    <n v="35.234400000000001"/>
    <n v="78.04225418"/>
  </r>
  <r>
    <n v="541"/>
    <x v="540"/>
    <n v="48.706985000000003"/>
    <n v="-113.228874"/>
    <x v="0"/>
    <x v="2"/>
    <x v="19"/>
    <n v="-7"/>
    <n v="1553.666667"/>
    <n v="3.7146256000000002"/>
    <s v="Moderate"/>
    <n v="0.9818405"/>
    <n v="79.794966799999997"/>
    <n v="2560.5842739999998"/>
    <n v="3431.1835719999999"/>
    <n v="0.74626851646630576"/>
    <n v="0.22497908999999999"/>
    <n v="0.16789486000000001"/>
    <n v="42.470196540000003"/>
    <x v="510"/>
    <n v="264.80497389999999"/>
    <n v="713346.37890000001"/>
    <n v="793493.44"/>
    <n v="32.572085999999999"/>
    <n v="75.042282540000002"/>
  </r>
  <r>
    <n v="542"/>
    <x v="541"/>
    <n v="48.724589999999999"/>
    <n v="-113.06589"/>
    <x v="0"/>
    <x v="2"/>
    <x v="19"/>
    <n v="-7"/>
    <n v="1422.705882"/>
    <n v="3.7216182"/>
    <s v="Moderate"/>
    <n v="0.98192405999999999"/>
    <n v="97.048852729999993"/>
    <n v="3114.2536439999999"/>
    <n v="4173.100668"/>
    <n v="0.74626851632901947"/>
    <n v="0.22638161000000001"/>
    <n v="0.16894150999999999"/>
    <n v="42.20989471"/>
    <x v="511"/>
    <n v="258.90755180000002"/>
    <n v="696410.63489999995"/>
    <n v="756986.44"/>
    <n v="30.881"/>
    <n v="73.090894710000001"/>
  </r>
  <r>
    <n v="543"/>
    <x v="542"/>
    <n v="48.74203"/>
    <n v="-112.90279"/>
    <x v="0"/>
    <x v="2"/>
    <x v="19"/>
    <n v="-7"/>
    <n v="1319.7777779999999"/>
    <n v="3.7296903000000001"/>
    <s v="Moderate"/>
    <n v="0.98202394999999998"/>
    <n v="92.487429489999997"/>
    <n v="2967.8796419999999"/>
    <n v="3976.959468"/>
    <n v="0.746268516408224"/>
    <n v="0.22752652000000001"/>
    <n v="0.16979591999999999"/>
    <n v="42.00085163"/>
    <x v="512"/>
    <n v="248.27366219999999"/>
    <n v="664851.3787"/>
    <n v="771257.9"/>
    <n v="31.304876"/>
    <n v="73.305727630000007"/>
  </r>
  <r>
    <n v="544"/>
    <x v="543"/>
    <n v="48.759309999999999"/>
    <n v="-112.739586"/>
    <x v="0"/>
    <x v="2"/>
    <x v="19"/>
    <n v="-7"/>
    <n v="1288.444444"/>
    <n v="3.7361664999999999"/>
    <s v="Moderate"/>
    <n v="0.98210039999999998"/>
    <n v="68.752309569999994"/>
    <n v="2206.230939"/>
    <n v="2956.3493119999998"/>
    <n v="0.74626869363670112"/>
    <n v="0.22847008999999999"/>
    <n v="0.17050004999999999"/>
    <n v="41.829958740000002"/>
    <x v="513"/>
    <n v="220.15683749999999"/>
    <n v="592084.61399999994"/>
    <n v="720836.94"/>
    <n v="29.137487"/>
    <n v="70.967445740000002"/>
  </r>
  <r>
    <n v="545"/>
    <x v="544"/>
    <n v="48.776420000000002"/>
    <n v="-112.57629"/>
    <x v="0"/>
    <x v="2"/>
    <x v="19"/>
    <n v="-7"/>
    <n v="1219.176471"/>
    <n v="3.7422366"/>
    <s v="Moderate"/>
    <n v="0.98217964000000002"/>
    <n v="69.836578419999995"/>
    <n v="2241.0243759999998"/>
    <n v="3002.9728719999998"/>
    <n v="0.74626860498658543"/>
    <n v="0.22897324999999999"/>
    <n v="0.17087556000000001"/>
    <n v="41.740672549999999"/>
    <x v="514"/>
    <n v="202.83096739999999"/>
    <n v="539757.50859999994"/>
    <n v="669221.43999999994"/>
    <n v="26.991652999999999"/>
    <n v="68.732325549999999"/>
  </r>
  <r>
    <n v="546"/>
    <x v="545"/>
    <n v="48.793365000000001"/>
    <n v="-112.41289"/>
    <x v="0"/>
    <x v="2"/>
    <x v="19"/>
    <n v="-7"/>
    <n v="1197.666667"/>
    <n v="3.7309581999999999"/>
    <s v="Moderate"/>
    <n v="0.98222509999999996"/>
    <n v="69.305862300000001"/>
    <n v="2223.9941990000002"/>
    <n v="2980.152079"/>
    <n v="0.74626869369239335"/>
    <n v="0.22830199000000001"/>
    <n v="0.17037462"/>
    <n v="41.864922149999998"/>
    <x v="515"/>
    <n v="203.80552589999999"/>
    <n v="541895.89150000003"/>
    <n v="634356.6"/>
    <n v="25.660679999999999"/>
    <n v="67.525602149999997"/>
  </r>
  <r>
    <n v="547"/>
    <x v="546"/>
    <n v="48.81015"/>
    <n v="-112.24939000000001"/>
    <x v="0"/>
    <x v="2"/>
    <x v="19"/>
    <n v="-7"/>
    <n v="1234.875"/>
    <n v="3.7290334999999999"/>
    <s v="Moderate"/>
    <n v="0.98228939999999998"/>
    <n v="52.62966694"/>
    <n v="1688.8623299999999"/>
    <n v="2263.075679"/>
    <n v="0.74626860501027015"/>
    <n v="0.22806261"/>
    <n v="0.17019598"/>
    <n v="41.911019860000003"/>
    <x v="516"/>
    <n v="214.17206479999999"/>
    <n v="571916.85609999998"/>
    <n v="615735.69999999995"/>
    <n v="24.933579999999999"/>
    <n v="66.844599860000002"/>
  </r>
  <r>
    <n v="548"/>
    <x v="547"/>
    <n v="48.82676"/>
    <n v="-112.08579"/>
    <x v="0"/>
    <x v="2"/>
    <x v="21"/>
    <n v="-7"/>
    <n v="1207.6500000000001"/>
    <n v="3.7277985"/>
    <s v="Moderate"/>
    <n v="0.98233366"/>
    <n v="65.449139059999993"/>
    <n v="2100.2331720000002"/>
    <n v="2814.3129800000002"/>
    <n v="0.74626851630411062"/>
    <n v="0.22795509"/>
    <n v="0.17011573999999999"/>
    <n v="41.9322661"/>
    <x v="125"/>
    <n v="223.29404529999999"/>
    <n v="595331.98699999996"/>
    <n v="631024.80000000005"/>
    <n v="25.56475"/>
    <n v="67.497016099999996"/>
  </r>
  <r>
    <n v="549"/>
    <x v="548"/>
    <n v="48.843209999999999"/>
    <n v="-111.922104"/>
    <x v="0"/>
    <x v="2"/>
    <x v="21"/>
    <n v="-7"/>
    <n v="1077.333333"/>
    <n v="3.7215897999999998"/>
    <s v="Moderate"/>
    <n v="0.98232143999999999"/>
    <n v="57.850686469999999"/>
    <n v="1856.402497"/>
    <n v="2487.579518"/>
    <n v="0.74626860511077742"/>
    <n v="0.22692491000000001"/>
    <n v="0.16934693000000001"/>
    <n v="42.122223650000002"/>
    <x v="517"/>
    <n v="225.32411680000001"/>
    <n v="600320.38060000003"/>
    <n v="699720.7"/>
    <n v="28.476521999999999"/>
    <n v="70.598745649999998"/>
  </r>
  <r>
    <n v="550"/>
    <x v="549"/>
    <n v="48.859490000000001"/>
    <n v="-111.75830999999999"/>
    <x v="0"/>
    <x v="2"/>
    <x v="21"/>
    <n v="-7"/>
    <n v="1091.421053"/>
    <n v="3.7138822"/>
    <s v="Moderate"/>
    <n v="0.98235612999999999"/>
    <n v="45.430384570000001"/>
    <n v="1457.8407709999999"/>
    <n v="1953.506537"/>
    <n v="0.74626869344333291"/>
    <n v="0.22646037999999999"/>
    <n v="0.16900029999999999"/>
    <n v="42.209788959999997"/>
    <x v="518"/>
    <n v="225.32411680000001"/>
    <n v="600320.38060000003"/>
    <n v="744787.1"/>
    <n v="30.372765000000001"/>
    <n v="72.582553959999998"/>
  </r>
  <r>
    <n v="551"/>
    <x v="550"/>
    <n v="48.875610000000002"/>
    <n v="-111.59443"/>
    <x v="0"/>
    <x v="2"/>
    <x v="21"/>
    <n v="-7"/>
    <n v="1195"/>
    <n v="3.7025435"/>
    <s v="Moderate"/>
    <n v="0.98226743999999999"/>
    <n v="72.046502050000001"/>
    <n v="2311.940106"/>
    <n v="3097.9995880000001"/>
    <n v="0.74626869382269267"/>
    <n v="0.22577952000000001"/>
    <n v="0.16849217"/>
    <n v="42.334079780000003"/>
    <x v="519"/>
    <n v="225.32411680000001"/>
    <n v="600320.38060000003"/>
    <n v="806918.25"/>
    <n v="33.005732999999999"/>
    <n v="75.339812780000003"/>
  </r>
  <r>
    <n v="552"/>
    <x v="551"/>
    <n v="48.891556000000001"/>
    <n v="-111.43044999999999"/>
    <x v="0"/>
    <x v="2"/>
    <x v="21"/>
    <n v="-7"/>
    <n v="1241.4000000000001"/>
    <n v="3.6864400000000002"/>
    <s v="Moderate"/>
    <n v="0.9822031"/>
    <n v="56.68047773"/>
    <n v="1818.8510249999999"/>
    <n v="2437.2605429999999"/>
    <n v="0.74626860481694512"/>
    <n v="0.22434749000000001"/>
    <n v="0.1674235"/>
    <n v="42.602119170000002"/>
    <x v="520"/>
    <n v="225.32411680000001"/>
    <n v="600320.38060000003"/>
    <n v="869944.5"/>
    <n v="35.810859999999998"/>
    <n v="78.41297917"/>
  </r>
  <r>
    <n v="553"/>
    <x v="552"/>
    <n v="48.907336999999998"/>
    <n v="-111.26639"/>
    <x v="0"/>
    <x v="2"/>
    <x v="24"/>
    <n v="-7"/>
    <n v="1247.380952"/>
    <n v="3.6400929999999998"/>
    <s v="Moderate"/>
    <n v="0.98210109999999995"/>
    <n v="70.164304099999995"/>
    <n v="2251.5409460000001"/>
    <n v="3017.0650759999999"/>
    <n v="0.74626860517873705"/>
    <n v="0.22105648"/>
    <n v="0.16496749999999999"/>
    <n v="43.232834160000003"/>
    <x v="521"/>
    <n v="222.70927259999999"/>
    <n v="580943.85210000002"/>
    <n v="827108.4"/>
    <n v="34.554417000000001"/>
    <n v="77.787251160000011"/>
  </r>
  <r>
    <n v="554"/>
    <x v="553"/>
    <n v="48.92295"/>
    <n v="-111.10222"/>
    <x v="0"/>
    <x v="2"/>
    <x v="24"/>
    <n v="-7"/>
    <n v="1263.2666670000001"/>
    <n v="3.6620054"/>
    <s v="Moderate"/>
    <n v="0.98192630000000003"/>
    <n v="62.00858101"/>
    <n v="1989.827462"/>
    <n v="2666.3689829999998"/>
    <n v="0.74626860524052241"/>
    <n v="0.22314503999999999"/>
    <n v="0.16652615000000001"/>
    <n v="42.82220161"/>
    <x v="522"/>
    <n v="222.70927259999999"/>
    <n v="580943.85210000002"/>
    <n v="856628.9"/>
    <n v="35.452747000000002"/>
    <n v="78.274948609999996"/>
  </r>
  <r>
    <n v="555"/>
    <x v="554"/>
    <n v="48.938400000000001"/>
    <n v="-110.93797000000001"/>
    <x v="0"/>
    <x v="2"/>
    <x v="24"/>
    <n v="-7"/>
    <n v="1045.7333329999999"/>
    <n v="3.7135231000000002"/>
    <s v="Moderate"/>
    <n v="0.98179609999999995"/>
    <n v="62.095410790000003"/>
    <n v="1992.613554"/>
    <n v="2670.102664"/>
    <n v="0.74626851651274184"/>
    <n v="0.22677483000000001"/>
    <n v="0.16923495"/>
    <n v="42.13240278"/>
    <x v="523"/>
    <n v="248.6803634"/>
    <n v="622544.8077"/>
    <n v="880667.9"/>
    <n v="35.864246000000001"/>
    <n v="77.996648780000001"/>
  </r>
  <r>
    <n v="556"/>
    <x v="555"/>
    <n v="48.953682000000001"/>
    <n v="-110.77361999999999"/>
    <x v="0"/>
    <x v="2"/>
    <x v="24"/>
    <n v="-7"/>
    <n v="977.8125"/>
    <n v="3.7248703999999999"/>
    <s v="Moderate"/>
    <n v="0.98155110000000001"/>
    <n v="70.705137300000004"/>
    <n v="2268.8960400000001"/>
    <n v="3040.3209040000002"/>
    <n v="0.74626860507222303"/>
    <n v="0.22759412000000001"/>
    <n v="0.16984637"/>
    <n v="41.972511869999998"/>
    <x v="524"/>
    <n v="239.42845439999999"/>
    <n v="600424.26329999999"/>
    <n v="863900.5"/>
    <n v="35.054768000000003"/>
    <n v="77.027279870000001"/>
  </r>
  <r>
    <n v="557"/>
    <x v="556"/>
    <n v="48.968795999999998"/>
    <n v="-110.60919"/>
    <x v="0"/>
    <x v="2"/>
    <x v="25"/>
    <n v="-7"/>
    <n v="929"/>
    <n v="3.7275689000000001"/>
    <s v="Moderate"/>
    <n v="0.98007160000000004"/>
    <n v="51.906255469999998"/>
    <n v="1665.648381"/>
    <n v="2231.968985"/>
    <n v="0.74626860507203685"/>
    <n v="0.22771272000000001"/>
    <n v="0.16993484"/>
    <n v="41.901021659999998"/>
    <x v="525"/>
    <n v="223.87919460000001"/>
    <n v="563673.65949999995"/>
    <n v="835820.94"/>
    <n v="33.897713000000003"/>
    <n v="75.798734660000008"/>
  </r>
  <r>
    <n v="558"/>
    <x v="557"/>
    <n v="48.983739999999997"/>
    <n v="-110.44467"/>
    <x v="0"/>
    <x v="2"/>
    <x v="25"/>
    <n v="-7"/>
    <n v="878.54545450000001"/>
    <n v="3.7226446000000002"/>
    <s v="Moderate"/>
    <n v="0.97968049999999995"/>
    <n v="32.78863784"/>
    <n v="1052.172634"/>
    <n v="1409.911427"/>
    <n v="0.74626860514125049"/>
    <n v="0.22705711000000001"/>
    <n v="0.16944561999999999"/>
    <n v="42.008839279999997"/>
    <x v="526"/>
    <n v="212.1908894"/>
    <n v="535912.68099999998"/>
    <n v="816464.25"/>
    <n v="33.208286000000001"/>
    <n v="75.217125280000005"/>
  </r>
  <r>
    <n v="559"/>
    <x v="558"/>
    <n v="48.998524000000003"/>
    <n v="-110.28006000000001"/>
    <x v="0"/>
    <x v="2"/>
    <x v="25"/>
    <n v="-7"/>
    <n v="858.44444439999995"/>
    <n v="3.7247254999999999"/>
    <s v="Moderate"/>
    <n v="0.97923269999999996"/>
    <n v="15.91633685"/>
    <n v="510.74808760000002"/>
    <n v="684.40248469999995"/>
    <n v="0.74626860512331517"/>
    <n v="0.22702283000000001"/>
    <n v="0.16942004999999999"/>
    <n v="42.000112280000003"/>
    <x v="527"/>
    <n v="204.0562596"/>
    <n v="514912.26809999999"/>
    <n v="803959.56"/>
    <n v="32.704619999999998"/>
    <n v="74.704732280000002"/>
  </r>
  <r>
    <n v="560"/>
    <x v="559"/>
    <n v="47.351272999999999"/>
    <n v="-69.184510000000003"/>
    <x v="0"/>
    <x v="3"/>
    <x v="22"/>
    <n v="-5"/>
    <n v="349"/>
    <n v="3.5612469"/>
    <s v="Moderate"/>
    <n v="1.0300560000000001"/>
    <n v="80.468959569999996"/>
    <n v="2582.2127030000001"/>
    <n v="3460.165262"/>
    <n v="0.7462686049589039"/>
    <n v="0.20850015"/>
    <n v="0.15559713999999999"/>
    <n v="47.593440440000002"/>
    <x v="528"/>
    <n v="330.50379850000002"/>
    <n v="2701813.4870000002"/>
    <n v="5285089"/>
    <n v="234.09402"/>
    <n v="281.68746044"/>
  </r>
  <r>
    <n v="561"/>
    <x v="560"/>
    <n v="47.241010000000003"/>
    <n v="-68.564390000000003"/>
    <x v="0"/>
    <x v="3"/>
    <x v="22"/>
    <n v="-5"/>
    <n v="260.7692308"/>
    <n v="3.5501144"/>
    <s v="Moderate"/>
    <n v="1.0305774999999999"/>
    <n v="24.706779789999999"/>
    <n v="792.82953999999995"/>
    <n v="1062.391531"/>
    <n v="0.74626869366487825"/>
    <n v="0.20731701"/>
    <n v="0.15471418000000001"/>
    <n v="47.884268939999998"/>
    <x v="529"/>
    <n v="337.08129200000002"/>
    <n v="2749877.8250000002"/>
    <n v="4773286"/>
    <n v="212.63118"/>
    <n v="260.51544894"/>
  </r>
  <r>
    <n v="562"/>
    <x v="561"/>
    <n v="47.213062000000001"/>
    <n v="-68.409744000000003"/>
    <x v="0"/>
    <x v="3"/>
    <x v="22"/>
    <n v="-5"/>
    <n v="248.05882349999999"/>
    <n v="3.5440263999999999"/>
    <s v="Moderate"/>
    <n v="1.0308462"/>
    <n v="39.593282520000002"/>
    <n v="1270.53062"/>
    <n v="1702.511148"/>
    <n v="0.74626860534366379"/>
    <n v="0.2080234"/>
    <n v="0.15524134000000001"/>
    <n v="47.73152941"/>
    <x v="530"/>
    <n v="336.64673349999998"/>
    <n v="2745965.7030000002"/>
    <n v="4737137.5"/>
    <n v="210.30431999999999"/>
    <n v="258.03584940999997"/>
  </r>
  <r>
    <n v="563"/>
    <x v="562"/>
    <n v="47.184963000000003"/>
    <n v="-68.255250000000004"/>
    <x v="0"/>
    <x v="3"/>
    <x v="22"/>
    <n v="-5"/>
    <n v="219.68421050000001"/>
    <n v="3.5271792"/>
    <s v="Moderate"/>
    <n v="1.0311383000000001"/>
    <n v="48.607289209999998"/>
    <n v="1559.786038"/>
    <n v="2090.1134360000001"/>
    <n v="0.7462686049160443"/>
    <n v="0.20810888999999999"/>
    <n v="0.15530513000000001"/>
    <n v="47.722651509999999"/>
    <x v="531"/>
    <n v="344.12422700000002"/>
    <n v="2806523.0419999999"/>
    <n v="4724859.5"/>
    <n v="209.67308"/>
    <n v="257.39573151000002"/>
  </r>
  <r>
    <n v="564"/>
    <x v="563"/>
    <n v="47.156714999999998"/>
    <n v="-68.100890000000007"/>
    <x v="0"/>
    <x v="3"/>
    <x v="22"/>
    <n v="-5"/>
    <n v="239.2105263"/>
    <n v="3.5661499999999999"/>
    <s v="Moderate"/>
    <n v="1.0313650000000001"/>
    <n v="81.374862300000004"/>
    <n v="2611.282404"/>
    <n v="3499.1190790000001"/>
    <n v="0.74626851645936798"/>
    <n v="0.21157831999999999"/>
    <n v="0.15789428"/>
    <n v="46.948275359999997"/>
    <x v="532"/>
    <n v="344.12422700000002"/>
    <n v="2806523.0419999999"/>
    <n v="4504055"/>
    <n v="196.59700000000001"/>
    <n v="243.54527536000001"/>
  </r>
  <r>
    <n v="565"/>
    <x v="564"/>
    <n v="47.128315000000001"/>
    <n v="-67.946700000000007"/>
    <x v="0"/>
    <x v="3"/>
    <x v="22"/>
    <n v="-5"/>
    <n v="219.35714290000001"/>
    <n v="3.5473528000000001"/>
    <s v="Moderate"/>
    <n v="1.0316130999999999"/>
    <n v="43.66904194"/>
    <n v="1401.320072"/>
    <n v="1877.768804"/>
    <n v="0.74626869347010405"/>
    <n v="0.21002881000000001"/>
    <n v="0.15673791000000001"/>
    <n v="47.303661380000001"/>
    <x v="533"/>
    <n v="344.12422700000002"/>
    <n v="2806523.0419999999"/>
    <n v="4304743.5"/>
    <n v="189.28352000000001"/>
    <n v="236.58718138"/>
  </r>
  <r>
    <n v="566"/>
    <x v="565"/>
    <n v="47.010886999999997"/>
    <n v="-124.13611"/>
    <x v="0"/>
    <x v="0"/>
    <x v="15"/>
    <n v="-8"/>
    <n v="11.2"/>
    <n v="3.2327015000000001"/>
    <s v="Moderate"/>
    <n v="1.0208063000000001"/>
    <n v="5.8856219599999999"/>
    <n v="188.86696029999999"/>
    <n v="253.0817443"/>
    <n v="0.74626860511961468"/>
    <n v="0.18788746000000001"/>
    <n v="0.14021449999999999"/>
    <n v="52.438717680000003"/>
    <x v="534"/>
    <n v="244.79454530000001"/>
    <n v="848902.56389999995"/>
    <n v="895615.7"/>
    <n v="44.021850000000001"/>
    <n v="96.460567679999997"/>
  </r>
  <r>
    <n v="567"/>
    <x v="566"/>
    <n v="47.039368000000003"/>
    <n v="-123.98227"/>
    <x v="0"/>
    <x v="0"/>
    <x v="15"/>
    <n v="-8"/>
    <n v="44.466666670000002"/>
    <n v="3.1667755"/>
    <s v="Moderate"/>
    <n v="1.0206647"/>
    <n v="42.231454100000001"/>
    <n v="1355.1885199999999"/>
    <n v="1815.952526"/>
    <n v="0.74626869403082619"/>
    <n v="0.18222041"/>
    <n v="0.13598539000000001"/>
    <n v="54.063625119999998"/>
    <x v="360"/>
    <n v="230.86793489999999"/>
    <n v="787082.64740000002"/>
    <n v="837627.4"/>
    <n v="42.452007000000002"/>
    <n v="96.515632119999992"/>
  </r>
  <r>
    <n v="568"/>
    <x v="567"/>
    <n v="47.067689999999999"/>
    <n v="-123.82828000000001"/>
    <x v="0"/>
    <x v="0"/>
    <x v="15"/>
    <n v="-8"/>
    <n v="69.888888890000004"/>
    <n v="3.1065855"/>
    <s v="Moderate"/>
    <n v="1.0205622999999999"/>
    <n v="37.485178419999997"/>
    <n v="1202.8825079999999"/>
    <n v="1611.862672"/>
    <n v="0.74626860519541827"/>
    <n v="0.17781739999999999"/>
    <n v="0.13269953000000001"/>
    <n v="55.397923990000002"/>
    <x v="535"/>
    <n v="275.23282449999999"/>
    <n v="963596.39179999998"/>
    <n v="1055796.5"/>
    <n v="54.834057000000001"/>
    <n v="110.23198099000001"/>
  </r>
  <r>
    <n v="569"/>
    <x v="568"/>
    <n v="47.095869999999998"/>
    <n v="-123.67413000000001"/>
    <x v="0"/>
    <x v="0"/>
    <x v="15"/>
    <n v="-8"/>
    <n v="99.157894740000003"/>
    <n v="3.1139695999999999"/>
    <s v="Moderate"/>
    <n v="1.0204947"/>
    <n v="47.901133739999999"/>
    <n v="1537.1258270000001"/>
    <n v="2059.7487510000001"/>
    <n v="0.74626860497122838"/>
    <n v="0.17834131"/>
    <n v="0.13309054000000001"/>
    <n v="55.23226502"/>
    <x v="536"/>
    <n v="274.88826610000001"/>
    <n v="961965.36289999995"/>
    <n v="1080297"/>
    <n v="55.941692000000003"/>
    <n v="111.17395702"/>
  </r>
  <r>
    <n v="570"/>
    <x v="569"/>
    <n v="47.123894"/>
    <n v="-123.51983"/>
    <x v="0"/>
    <x v="0"/>
    <x v="15"/>
    <n v="-8"/>
    <n v="109.2222222"/>
    <n v="3.1473258"/>
    <s v="Moderate"/>
    <n v="1.0204656000000001"/>
    <n v="45.95041011"/>
    <n v="1474.5279840000001"/>
    <n v="1975.8676350000001"/>
    <n v="0.74626860518417271"/>
    <n v="0.17920765"/>
    <n v="0.13373705999999999"/>
    <n v="54.964028310000003"/>
    <x v="537"/>
    <n v="200.0670064"/>
    <n v="650358.62580000004"/>
    <n v="772293.8"/>
    <n v="39.798839999999998"/>
    <n v="94.762868310000002"/>
  </r>
  <r>
    <n v="571"/>
    <x v="570"/>
    <n v="47.151769999999999"/>
    <n v="-123.36539"/>
    <x v="0"/>
    <x v="0"/>
    <x v="17"/>
    <n v="-8"/>
    <n v="120.44444439999999"/>
    <n v="3.1695163000000002"/>
    <s v="Moderate"/>
    <n v="1.0204960000000001"/>
    <n v="70.356845210000003"/>
    <n v="2257.719235"/>
    <n v="3025.3443440000001"/>
    <n v="0.7462685163352103"/>
    <n v="0.17920189"/>
    <n v="0.13373277"/>
    <n v="54.967081610000001"/>
    <x v="538"/>
    <n v="161.65555190000001"/>
    <n v="515105.23749999999"/>
    <n v="653423.43999999994"/>
    <n v="33.674145000000003"/>
    <n v="88.641226610000004"/>
  </r>
  <r>
    <n v="572"/>
    <x v="571"/>
    <n v="47.179493000000001"/>
    <n v="-123.210785"/>
    <x v="0"/>
    <x v="0"/>
    <x v="17"/>
    <n v="-8"/>
    <n v="112.68421050000001"/>
    <n v="3.2555272999999998"/>
    <s v="Moderate"/>
    <n v="1.0205488"/>
    <n v="47.318902729999998"/>
    <n v="1518.4422959999999"/>
    <n v="2034.712818"/>
    <n v="0.74626860487001656"/>
    <n v="0.184201"/>
    <n v="0.13746342"/>
    <n v="53.477501840000002"/>
    <x v="539"/>
    <n v="161.65555190000001"/>
    <n v="515105.23749999999"/>
    <n v="591488.9"/>
    <n v="29.655073000000002"/>
    <n v="83.132574840000004"/>
  </r>
  <r>
    <n v="573"/>
    <x v="572"/>
    <n v="47.207059999999998"/>
    <n v="-123.05604"/>
    <x v="0"/>
    <x v="0"/>
    <x v="17"/>
    <n v="-8"/>
    <n v="52.125"/>
    <n v="3.3094277000000001"/>
    <s v="Moderate"/>
    <n v="1.0206492"/>
    <n v="37.214880469999997"/>
    <n v="1194.208768"/>
    <n v="1600.2398599999999"/>
    <n v="0.74626860500775183"/>
    <n v="0.18735114"/>
    <n v="0.13981426999999999"/>
    <n v="52.582430559999999"/>
    <x v="535"/>
    <n v="170.1629739"/>
    <n v="542529.25760000001"/>
    <n v="620661.80000000005"/>
    <n v="30.594481999999999"/>
    <n v="83.176912560000005"/>
  </r>
  <r>
    <n v="574"/>
    <x v="573"/>
    <n v="47.234478000000003"/>
    <n v="-122.901146"/>
    <x v="0"/>
    <x v="0"/>
    <x v="17"/>
    <n v="-8"/>
    <n v="51.777777780000001"/>
    <n v="3.2929156000000002"/>
    <s v="Moderate"/>
    <n v="1.020753"/>
    <n v="11.895174320000001"/>
    <n v="381.71079120000002"/>
    <n v="511.49249559999998"/>
    <n v="0.74626860507941351"/>
    <n v="0.18567768000000001"/>
    <n v="0.13856544000000001"/>
    <n v="53.060603380000003"/>
    <x v="540"/>
    <n v="106.3042662"/>
    <n v="357991.22249999997"/>
    <n v="441028.47"/>
    <n v="21.935692"/>
    <n v="74.996295380000007"/>
  </r>
  <r>
    <n v="575"/>
    <x v="574"/>
    <n v="47.261744999999998"/>
    <n v="-122.74611"/>
    <x v="0"/>
    <x v="0"/>
    <x v="23"/>
    <n v="-8"/>
    <n v="44.625"/>
    <n v="3.3946402"/>
    <s v="Moderate"/>
    <n v="1.0208735"/>
    <n v="15.14586489"/>
    <n v="486.02404680000001"/>
    <n v="651.2721904"/>
    <n v="0.7462686937415407"/>
    <n v="0.19354383999999999"/>
    <n v="0.14443566999999999"/>
    <n v="50.908847379999997"/>
    <x v="541"/>
    <n v="211.9077207"/>
    <n v="702295.39159999997"/>
    <n v="744050.7"/>
    <n v="35.503210000000003"/>
    <n v="86.412057379999993"/>
  </r>
  <r>
    <n v="576"/>
    <x v="575"/>
    <n v="47.288857"/>
    <n v="-122.59090999999999"/>
    <x v="0"/>
    <x v="0"/>
    <x v="23"/>
    <n v="-8"/>
    <n v="66.125"/>
    <n v="3.3918694999999999"/>
    <s v="Moderate"/>
    <n v="1.0209744999999999"/>
    <n v="5.3031511780000002"/>
    <n v="170.175735"/>
    <n v="228.0355007"/>
    <n v="0.74626860500936032"/>
    <n v="0.19377509000000001"/>
    <n v="0.14460825999999999"/>
    <n v="50.852064319999997"/>
    <x v="26"/>
    <n v="70.649733729999994"/>
    <n v="255527.18799999999"/>
    <n v="297619.21999999997"/>
    <n v="14.184284999999999"/>
    <n v="65.036349319999999"/>
  </r>
  <r>
    <n v="577"/>
    <x v="576"/>
    <n v="47.34263"/>
    <n v="-122.280106"/>
    <x v="0"/>
    <x v="0"/>
    <x v="18"/>
    <n v="-8"/>
    <n v="90.875"/>
    <n v="3.2835252000000001"/>
    <s v="Moderate"/>
    <n v="1.0210927999999999"/>
    <n v="10.16323176"/>
    <n v="326.13357280000002"/>
    <n v="437.01896579999999"/>
    <n v="0.74626869386088335"/>
    <n v="0.18575159999999999"/>
    <n v="0.13862062"/>
    <n v="53.053449020000002"/>
    <x v="122"/>
    <n v="38.335344139999997"/>
    <n v="127986.2749"/>
    <n v="164255.10999999999"/>
    <n v="8.1664010000000005"/>
    <n v="61.219850020000003"/>
  </r>
  <r>
    <n v="578"/>
    <x v="577"/>
    <n v="47.369278000000001"/>
    <n v="-122.12447"/>
    <x v="0"/>
    <x v="0"/>
    <x v="18"/>
    <n v="-8"/>
    <n v="137.2352941"/>
    <n v="3.1584089999999998"/>
    <s v="Moderate"/>
    <n v="1.0210425999999999"/>
    <n v="15.89519795"/>
    <n v="510.06974960000002"/>
    <n v="683.49351179999996"/>
    <n v="0.74626860503286496"/>
    <n v="0.17796692"/>
    <n v="0.13281113999999999"/>
    <n v="55.371973859999997"/>
    <x v="218"/>
    <n v="31.149688300000001"/>
    <n v="116705.11350000001"/>
    <n v="143994.17000000001"/>
    <n v="7.472226"/>
    <n v="62.844199859999996"/>
  </r>
  <r>
    <n v="579"/>
    <x v="578"/>
    <n v="47.395780000000002"/>
    <n v="-121.968704"/>
    <x v="0"/>
    <x v="0"/>
    <x v="18"/>
    <n v="-8"/>
    <n v="258.26315790000001"/>
    <n v="3.0691752000000001"/>
    <s v="Moderate"/>
    <n v="1.0209087999999999"/>
    <n v="20.413943920000001"/>
    <n v="655.0742745"/>
    <n v="877.79958859999999"/>
    <n v="0.74626860505229453"/>
    <n v="0.17231081000000001"/>
    <n v="0.12859017"/>
    <n v="57.18364158"/>
    <x v="542"/>
    <n v="40.676441529999998"/>
    <n v="157745.6464"/>
    <n v="188159.17"/>
    <n v="10.084567"/>
    <n v="67.268208579999992"/>
  </r>
  <r>
    <n v="580"/>
    <x v="579"/>
    <n v="47.422127000000003"/>
    <n v="-121.81279000000001"/>
    <x v="0"/>
    <x v="0"/>
    <x v="18"/>
    <n v="-8"/>
    <n v="477.84615380000002"/>
    <n v="3.032794"/>
    <s v="Moderate"/>
    <n v="1.0207081"/>
    <n v="5.6596317630000001"/>
    <n v="181.6150581"/>
    <n v="243.36416579999999"/>
    <n v="0.74626869367963455"/>
    <n v="0.17113143"/>
    <n v="0.12771003"/>
    <n v="57.56877214"/>
    <x v="543"/>
    <n v="65.208707759999996"/>
    <n v="250200.6612"/>
    <n v="306715.75"/>
    <n v="16.552009999999999"/>
    <n v="74.120782140000003"/>
  </r>
  <r>
    <n v="581"/>
    <x v="580"/>
    <n v="47.448320000000002"/>
    <n v="-121.65673"/>
    <x v="0"/>
    <x v="0"/>
    <x v="18"/>
    <n v="-8"/>
    <n v="475"/>
    <n v="3.052152"/>
    <s v="Moderate"/>
    <n v="1.0201768"/>
    <n v="1.8812249999999999"/>
    <n v="60.367670910000001"/>
    <n v="80.892674999999997"/>
    <n v="0.74626869379705896"/>
    <n v="0.17253099999999999"/>
    <n v="0.12875448"/>
    <n v="57.964681519999999"/>
    <x v="544"/>
    <n v="64.890831120000001"/>
    <n v="290588.72960000002"/>
    <n v="337584.4"/>
    <n v="18.070063000000001"/>
    <n v="76.034744520000004"/>
  </r>
  <r>
    <n v="582"/>
    <x v="581"/>
    <n v="47.602234000000003"/>
    <n v="-120.71741"/>
    <x v="0"/>
    <x v="0"/>
    <x v="12"/>
    <n v="-8"/>
    <n v="585"/>
    <n v="3.8696606"/>
    <s v="Moderate"/>
    <n v="1.0122651"/>
    <n v="0.60701402000000004"/>
    <n v="19.47880675"/>
    <n v="26.101602849999999"/>
    <n v="0.74626860510981996"/>
    <n v="0.22847982"/>
    <n v="0.17050731"/>
    <n v="49.171471109999999"/>
    <x v="545"/>
    <n v="143.98996740000001"/>
    <n v="448254.83419999998"/>
    <n v="540627.75"/>
    <n v="21.852188000000002"/>
    <n v="71.023659109999997"/>
  </r>
  <r>
    <n v="583"/>
    <x v="582"/>
    <n v="47.627341999999999"/>
    <n v="-120.56036"/>
    <x v="0"/>
    <x v="0"/>
    <x v="12"/>
    <n v="-8"/>
    <n v="757.92857140000001"/>
    <n v="3.9457605"/>
    <s v="Moderate"/>
    <n v="1.0112281999999999"/>
    <n v="0.84636904400000001"/>
    <n v="27.15960179"/>
    <n v="36.393868910000002"/>
    <n v="0.74626860521930694"/>
    <n v="0.23502079000000001"/>
    <n v="0.17538865000000001"/>
    <n v="46.056773739999997"/>
    <x v="546"/>
    <n v="141.30166220000001"/>
    <n v="445859.02860000002"/>
    <n v="541949.9"/>
    <n v="21.295960999999998"/>
    <n v="67.352734739999988"/>
  </r>
  <r>
    <n v="584"/>
    <x v="583"/>
    <n v="47.652293999999998"/>
    <n v="-120.40318000000001"/>
    <x v="0"/>
    <x v="0"/>
    <x v="12"/>
    <n v="-8"/>
    <n v="1130.8"/>
    <n v="4.1022889999999999"/>
    <s v="High"/>
    <n v="1.0096309000000001"/>
    <n v="0.14806799000000001"/>
    <n v="4.7514357399999998"/>
    <n v="6.3669235750000004"/>
    <n v="0.74626869382518068"/>
    <n v="0.24979240999999999"/>
    <n v="0.18641226"/>
    <n v="52.540266860000003"/>
    <x v="547"/>
    <n v="155.5434999"/>
    <n v="505324.6912"/>
    <n v="607397.06000000006"/>
    <n v="22.456282000000002"/>
    <n v="74.996548860000004"/>
  </r>
  <r>
    <n v="585"/>
    <x v="584"/>
    <n v="47.677093999999997"/>
    <n v="-120.24586499999999"/>
    <x v="0"/>
    <x v="0"/>
    <x v="12"/>
    <n v="-8"/>
    <n v="594.1176471"/>
    <n v="3.9979222000000001"/>
    <s v="Moderate"/>
    <n v="1.0069144999999999"/>
    <n v="3.5230140200000002"/>
    <n v="113.0519346"/>
    <n v="151.48960289999999"/>
    <n v="0.74626860481393475"/>
    <n v="0.24112571999999999"/>
    <n v="0.17994457"/>
    <n v="40.420626159999998"/>
    <x v="548"/>
    <n v="133.23035060000001"/>
    <n v="435217.92589999997"/>
    <n v="491931.47"/>
    <n v="18.841066000000001"/>
    <n v="59.261692159999996"/>
  </r>
  <r>
    <n v="586"/>
    <x v="585"/>
    <n v="47.701732999999997"/>
    <n v="-120.08841"/>
    <x v="0"/>
    <x v="0"/>
    <x v="20"/>
    <n v="-8"/>
    <n v="801.625"/>
    <n v="4.0374689999999998"/>
    <s v="High"/>
    <n v="1.0050631999999999"/>
    <n v="9.6399709720000004"/>
    <n v="309.3423674"/>
    <n v="414.51875180000002"/>
    <n v="0.74626869365189474"/>
    <n v="0.24536707999999999"/>
    <n v="0.18310978999999999"/>
    <n v="39.664284610000003"/>
    <x v="549"/>
    <n v="141.09342849999999"/>
    <n v="436188.55780000001"/>
    <n v="494135.6"/>
    <n v="18.598344999999998"/>
    <n v="58.262629610000005"/>
  </r>
  <r>
    <n v="587"/>
    <x v="586"/>
    <n v="47.726215000000003"/>
    <n v="-119.93082"/>
    <x v="0"/>
    <x v="0"/>
    <x v="20"/>
    <n v="-8"/>
    <n v="795.64705879999997"/>
    <n v="4.0169066999999998"/>
    <s v="High"/>
    <n v="1.0028596999999999"/>
    <n v="28.604823710000002"/>
    <n v="917.91603020000002"/>
    <n v="1230.007419"/>
    <n v="0.74626869401021068"/>
    <n v="0.24474346999999999"/>
    <n v="0.18264440000000001"/>
    <n v="39.696579149999998"/>
    <x v="550"/>
    <n v="150.79378560000001"/>
    <n v="462296.30099999998"/>
    <n v="524527.43999999994"/>
    <n v="19.792538"/>
    <n v="59.489117149999998"/>
  </r>
  <r>
    <n v="588"/>
    <x v="587"/>
    <n v="47.750546"/>
    <n v="-119.77309"/>
    <x v="0"/>
    <x v="0"/>
    <x v="20"/>
    <n v="-8"/>
    <n v="775.75"/>
    <n v="4.0056476999999999"/>
    <s v="High"/>
    <n v="1.0006942999999999"/>
    <n v="74.205397270000006"/>
    <n v="2381.217807"/>
    <n v="3190.8320819999999"/>
    <n v="0.74626860511803017"/>
    <n v="0.2443418"/>
    <n v="0.18234462000000001"/>
    <n v="39.694125640000003"/>
    <x v="17"/>
    <n v="170.43690900000001"/>
    <n v="479282.75290000002"/>
    <n v="518949"/>
    <n v="19.614231"/>
    <n v="59.30835664"/>
  </r>
  <r>
    <n v="589"/>
    <x v="588"/>
    <n v="47.774720000000002"/>
    <n v="-119.615234"/>
    <x v="0"/>
    <x v="0"/>
    <x v="20"/>
    <n v="-8"/>
    <n v="680.44444439999995"/>
    <n v="3.9746359999999998"/>
    <s v="Moderate"/>
    <n v="0.99827529999999998"/>
    <n v="74.292875679999995"/>
    <n v="2384.02495"/>
    <n v="3194.5936539999998"/>
    <n v="0.74626860509001691"/>
    <n v="0.24221614"/>
    <n v="0.18075830000000001"/>
    <n v="39.966197749999999"/>
    <x v="551"/>
    <n v="161.63015569999999"/>
    <n v="456376.26980000001"/>
    <n v="536577.30000000005"/>
    <n v="20.458492"/>
    <n v="60.424689749999999"/>
  </r>
  <r>
    <n v="590"/>
    <x v="589"/>
    <n v="47.798732999999999"/>
    <n v="-119.45723"/>
    <x v="0"/>
    <x v="0"/>
    <x v="20"/>
    <n v="-8"/>
    <n v="665.94444439999995"/>
    <n v="3.9584408"/>
    <s v="Moderate"/>
    <n v="0.99599260000000001"/>
    <n v="82.302960940000006"/>
    <n v="2641.0652960000002"/>
    <n v="3539.0273200000001"/>
    <n v="0.7462686939641936"/>
    <n v="0.24134205"/>
    <n v="0.18010598"/>
    <n v="40.038691329999999"/>
    <x v="552"/>
    <n v="146.581422"/>
    <n v="398287.772"/>
    <n v="498675.12"/>
    <n v="19.082228000000001"/>
    <n v="59.12091933"/>
  </r>
  <r>
    <n v="591"/>
    <x v="590"/>
    <n v="47.822594000000002"/>
    <n v="-119.2991"/>
    <x v="0"/>
    <x v="0"/>
    <x v="20"/>
    <n v="-8"/>
    <n v="670.83333330000005"/>
    <n v="3.9475950000000002"/>
    <s v="Moderate"/>
    <n v="0.99355656000000003"/>
    <n v="80.370383200000006"/>
    <n v="2579.0497380000002"/>
    <n v="3455.9264779999999"/>
    <n v="0.74626869362467962"/>
    <n v="0.24040710000000001"/>
    <n v="0.17940829999999999"/>
    <n v="40.116987510000001"/>
    <x v="553"/>
    <n v="141.0530454"/>
    <n v="384841.1029"/>
    <n v="442053.2"/>
    <n v="16.981328999999999"/>
    <n v="57.098316510000004"/>
  </r>
  <r>
    <n v="592"/>
    <x v="591"/>
    <n v="47.846290000000003"/>
    <n v="-119.14084"/>
    <x v="0"/>
    <x v="0"/>
    <x v="20"/>
    <n v="-8"/>
    <n v="645.75"/>
    <n v="3.9256123999999999"/>
    <s v="Moderate"/>
    <n v="0.99163040000000002"/>
    <n v="6.004692554"/>
    <n v="192.6878591"/>
    <n v="258.2017798"/>
    <n v="0.74626851623274515"/>
    <n v="0.23863864000000001"/>
    <n v="0.17808855000000001"/>
    <n v="40.352616439999998"/>
    <x v="554"/>
    <n v="91.386103829999996"/>
    <n v="251409.9809"/>
    <n v="331072.09999999998"/>
    <n v="12.812275"/>
    <n v="53.164891439999998"/>
  </r>
  <r>
    <n v="593"/>
    <x v="592"/>
    <n v="47.869835000000002"/>
    <n v="-118.98245"/>
    <x v="0"/>
    <x v="0"/>
    <x v="14"/>
    <n v="-8"/>
    <n v="716.5"/>
    <n v="3.9458259999999998"/>
    <s v="Moderate"/>
    <n v="0.98906689999999997"/>
    <n v="12.937725"/>
    <n v="415.1657735"/>
    <n v="556.32217500000002"/>
    <n v="0.74626860505785153"/>
    <n v="0.23906694000000001"/>
    <n v="0.17840818"/>
    <n v="40.198409589999997"/>
    <x v="555"/>
    <n v="101.6855778"/>
    <n v="276957.69669999997"/>
    <n v="335602.6"/>
    <n v="12.9643345"/>
    <n v="53.162744089999997"/>
  </r>
  <r>
    <n v="594"/>
    <x v="593"/>
    <n v="47.893219999999999"/>
    <n v="-118.82393"/>
    <x v="0"/>
    <x v="0"/>
    <x v="14"/>
    <n v="-8"/>
    <n v="657.29411760000005"/>
    <n v="3.9022019999999999"/>
    <s v="Moderate"/>
    <n v="0.98701919999999999"/>
    <n v="19.86354734"/>
    <n v="637.41237160000003"/>
    <n v="854.13253559999998"/>
    <n v="0.74626869371301818"/>
    <n v="0.23586792000000001"/>
    <n v="0.17602085000000001"/>
    <n v="40.677289500000001"/>
    <x v="556"/>
    <n v="121.9490129"/>
    <n v="331091.20240000001"/>
    <n v="384978.1"/>
    <n v="15.073411999999999"/>
    <n v="55.750701499999998"/>
  </r>
  <r>
    <n v="595"/>
    <x v="594"/>
    <n v="47.916443000000001"/>
    <n v="-118.66528"/>
    <x v="0"/>
    <x v="0"/>
    <x v="14"/>
    <n v="-8"/>
    <n v="640"/>
    <n v="3.8662350000000001"/>
    <s v="Moderate"/>
    <n v="0.98533289999999996"/>
    <n v="17.557885110000001"/>
    <n v="563.42463239999995"/>
    <n v="754.98905960000002"/>
    <n v="0.74626860513516236"/>
    <n v="0.23345104"/>
    <n v="0.17421719999999999"/>
    <n v="41.043231540000001"/>
    <x v="557"/>
    <n v="110.7270584"/>
    <n v="350696.44910000003"/>
    <n v="433289.7"/>
    <n v="17.140636000000001"/>
    <n v="58.183867540000001"/>
  </r>
  <r>
    <n v="596"/>
    <x v="595"/>
    <n v="47.939514000000003"/>
    <n v="-118.50649"/>
    <x v="0"/>
    <x v="0"/>
    <x v="5"/>
    <n v="-8"/>
    <n v="758.4375"/>
    <n v="3.8273160000000002"/>
    <s v="Moderate"/>
    <n v="0.98384970000000005"/>
    <n v="10.400237840000001"/>
    <n v="333.73895240000002"/>
    <n v="447.21022720000002"/>
    <n v="0.74626860501279701"/>
    <n v="0.23098013000000001"/>
    <n v="0.17237324000000001"/>
    <n v="41.433239880000002"/>
    <x v="558"/>
    <n v="145.19304539999999"/>
    <n v="450701.7818"/>
    <n v="637219.93999999994"/>
    <n v="25.477637999999999"/>
    <n v="66.910877880000001"/>
  </r>
  <r>
    <n v="597"/>
    <x v="596"/>
    <n v="47.962425000000003"/>
    <n v="-118.34757999999999"/>
    <x v="0"/>
    <x v="0"/>
    <x v="7"/>
    <n v="-8"/>
    <n v="629.9375"/>
    <n v="3.7791393000000002"/>
    <s v="Moderate"/>
    <n v="0.98239255000000003"/>
    <n v="25.856497269999998"/>
    <n v="829.72336229999996"/>
    <n v="1111.8293819999999"/>
    <n v="0.7462686053569324"/>
    <n v="0.22306184000000001"/>
    <n v="0.16646405"/>
    <n v="42.85414402"/>
    <x v="559"/>
    <n v="73.080188280000002"/>
    <n v="246068.20420000001"/>
    <n v="645394.19999999995"/>
    <n v="26.720476000000001"/>
    <n v="69.574620019999998"/>
  </r>
  <r>
    <n v="598"/>
    <x v="597"/>
    <n v="47.985176000000003"/>
    <n v="-118.18854"/>
    <x v="0"/>
    <x v="0"/>
    <x v="7"/>
    <n v="-8"/>
    <n v="702.10526319999997"/>
    <n v="3.7637958999999999"/>
    <s v="Moderate"/>
    <n v="0.98132353999999999"/>
    <n v="20.497050000000002"/>
    <n v="657.74111119999998"/>
    <n v="881.37315000000001"/>
    <n v="0.74626860507379877"/>
    <n v="0.22117982999999999"/>
    <n v="0.16505958000000001"/>
    <n v="43.181855210000002"/>
    <x v="560"/>
    <n v="72.772909060000003"/>
    <n v="245088.9363"/>
    <n v="582218.4"/>
    <n v="24.309989999999999"/>
    <n v="67.491845210000008"/>
  </r>
  <r>
    <n v="599"/>
    <x v="598"/>
    <n v="48.007767000000001"/>
    <n v="-118.02937"/>
    <x v="0"/>
    <x v="0"/>
    <x v="7"/>
    <n v="-8"/>
    <n v="881.35714289999999"/>
    <n v="3.6868820000000002"/>
    <s v="Moderate"/>
    <n v="0.98019310000000004"/>
    <n v="25.976213529999999"/>
    <n v="833.56490410000004"/>
    <n v="1116.9771820000001"/>
    <n v="0.746268516074306"/>
    <n v="0.21765271"/>
    <n v="0.1624274"/>
    <n v="43.841962359999997"/>
    <x v="561"/>
    <n v="77.678324630000006"/>
    <n v="285946.31209999998"/>
    <n v="463844.25"/>
    <n v="19.681244"/>
    <n v="63.523206359999996"/>
  </r>
  <r>
    <n v="600"/>
    <x v="599"/>
    <n v="48.030200000000001"/>
    <n v="-117.87009"/>
    <x v="0"/>
    <x v="0"/>
    <x v="7"/>
    <n v="-8"/>
    <n v="767.21052629999997"/>
    <n v="3.6752570000000002"/>
    <s v="Moderate"/>
    <n v="0.97985529999999998"/>
    <n v="63.332523629999997"/>
    <n v="2032.3119429999999"/>
    <n v="2723.2985159999998"/>
    <n v="0.74626851630833113"/>
    <n v="0.21624811999999999"/>
    <n v="0.16137919000000001"/>
    <n v="44.11479696"/>
    <x v="562"/>
    <n v="77.678324630000006"/>
    <n v="285946.31209999998"/>
    <n v="383891.4"/>
    <n v="16.394584999999999"/>
    <n v="60.509381959999999"/>
  </r>
  <r>
    <n v="601"/>
    <x v="600"/>
    <n v="48.052480000000003"/>
    <n v="-117.71066"/>
    <x v="0"/>
    <x v="0"/>
    <x v="7"/>
    <n v="-8"/>
    <n v="741.6875"/>
    <n v="3.6733177000000001"/>
    <s v="Moderate"/>
    <n v="0.97954196000000004"/>
    <n v="38.174572269999999"/>
    <n v="1225.0047010000001"/>
    <n v="1641.506607"/>
    <n v="0.74626851684673123"/>
    <n v="0.2154114"/>
    <n v="0.16075476999999999"/>
    <n v="44.275037060000002"/>
    <x v="563"/>
    <n v="78.60016229"/>
    <n v="290177.45860000001"/>
    <n v="372030.9"/>
    <n v="15.949782000000001"/>
    <n v="60.224819060000002"/>
  </r>
  <r>
    <n v="602"/>
    <x v="601"/>
    <n v="48.074593"/>
    <n v="-117.55112"/>
    <x v="0"/>
    <x v="0"/>
    <x v="7"/>
    <n v="-8"/>
    <n v="798.7"/>
    <n v="3.6617424000000001"/>
    <s v="Moderate"/>
    <n v="0.9793385"/>
    <n v="20.257127050000001"/>
    <n v="650.04209170000001"/>
    <n v="871.05646320000005"/>
    <n v="0.74626860503616543"/>
    <n v="0.21548424999999999"/>
    <n v="0.16080913999999999"/>
    <n v="44.252849599999998"/>
    <x v="564"/>
    <n v="73.857753209999998"/>
    <n v="277844.73739999998"/>
    <n v="351315.25"/>
    <n v="15.056564"/>
    <n v="59.309413599999999"/>
  </r>
  <r>
    <n v="603"/>
    <x v="602"/>
    <n v="48.096545999999996"/>
    <n v="-117.39145000000001"/>
    <x v="0"/>
    <x v="0"/>
    <x v="8"/>
    <n v="-8"/>
    <n v="754.52941180000005"/>
    <n v="3.6218895999999998"/>
    <s v="Moderate"/>
    <n v="0.97936434000000006"/>
    <n v="26.857899320000001"/>
    <n v="861.85780099999999"/>
    <n v="1154.8896709999999"/>
    <n v="0.74626851606849298"/>
    <n v="0.21243293999999999"/>
    <n v="0.15853204000000001"/>
    <n v="44.889412530000001"/>
    <x v="565"/>
    <n v="69.153266200000004"/>
    <n v="238267.93359999999"/>
    <n v="360339.4"/>
    <n v="15.665141"/>
    <n v="60.55455353"/>
  </r>
  <r>
    <n v="604"/>
    <x v="603"/>
    <n v="48.118343000000003"/>
    <n v="-117.23165"/>
    <x v="0"/>
    <x v="0"/>
    <x v="8"/>
    <n v="-8"/>
    <n v="743.36842109999998"/>
    <n v="3.5952951999999998"/>
    <s v="Moderate"/>
    <n v="0.97955513000000005"/>
    <n v="35.71370684"/>
    <n v="1146.036918"/>
    <n v="1535.689394"/>
    <n v="0.74626869370695159"/>
    <n v="0.20891662"/>
    <n v="0.15590791000000001"/>
    <n v="45.65194279"/>
    <x v="566"/>
    <n v="109.22309730000001"/>
    <n v="438541.36959999998"/>
    <n v="490690.94"/>
    <n v="21.690992000000001"/>
    <n v="67.342934790000001"/>
  </r>
  <r>
    <n v="605"/>
    <x v="604"/>
    <n v="48.139980000000001"/>
    <n v="-117.07174000000001"/>
    <x v="0"/>
    <x v="0"/>
    <x v="8"/>
    <n v="-8"/>
    <n v="739.27777779999997"/>
    <n v="3.5744443000000001"/>
    <s v="Moderate"/>
    <n v="0.97988750000000002"/>
    <n v="55.399787840000002"/>
    <n v="1777.754263"/>
    <n v="2382.190877"/>
    <n v="0.74626860515846061"/>
    <n v="0.20629863000000001"/>
    <n v="0.15395422"/>
    <n v="46.243573759999997"/>
    <x v="567"/>
    <n v="102.6802337"/>
    <n v="407882.33639999997"/>
    <n v="477354.5"/>
    <n v="21.369240000000001"/>
    <n v="67.612813759999995"/>
  </r>
  <r>
    <n v="606"/>
    <x v="605"/>
    <n v="48.161453000000002"/>
    <n v="-116.9117"/>
    <x v="0"/>
    <x v="1"/>
    <x v="13"/>
    <n v="-8"/>
    <n v="790.94117649999998"/>
    <n v="3.5351710000000001"/>
    <s v="Moderate"/>
    <n v="0.98030627000000004"/>
    <n v="17.192574319999999"/>
    <n v="551.70203909999998"/>
    <n v="739.28069559999994"/>
    <n v="0.74626869385820871"/>
    <n v="0.20423783000000001"/>
    <n v="0.15241629000000001"/>
    <n v="46.72584741"/>
    <x v="568"/>
    <n v="307.3061687"/>
    <n v="1122696.2490000001"/>
    <n v="1197964.6000000001"/>
    <n v="54.169173999999998"/>
    <n v="100.89502141"/>
  </r>
  <r>
    <n v="607"/>
    <x v="606"/>
    <n v="48.182769999999998"/>
    <n v="-116.75154000000001"/>
    <x v="0"/>
    <x v="1"/>
    <x v="13"/>
    <n v="-8"/>
    <n v="765.36842109999998"/>
    <n v="3.4909363"/>
    <s v="Moderate"/>
    <n v="0.98076664999999996"/>
    <n v="15.7318196"/>
    <n v="504.82701209999999"/>
    <n v="676.46824300000003"/>
    <n v="0.74626860510287096"/>
    <n v="0.20147013999999999"/>
    <n v="0.15035084000000001"/>
    <n v="47.385207450000003"/>
    <x v="314"/>
    <n v="322.15196739999999"/>
    <n v="1191808.439"/>
    <n v="1234310.6000000001"/>
    <n v="56.57938"/>
    <n v="103.96458745000001"/>
  </r>
  <r>
    <n v="608"/>
    <x v="607"/>
    <n v="48.203921999999999"/>
    <n v="-116.59126000000001"/>
    <x v="0"/>
    <x v="1"/>
    <x v="13"/>
    <n v="-8"/>
    <n v="738.16666669999995"/>
    <n v="3.4877850000000001"/>
    <s v="Moderate"/>
    <n v="0.98051124999999995"/>
    <n v="22.003974320000001"/>
    <n v="706.09763439999995"/>
    <n v="946.17089559999999"/>
    <n v="0.74626860505177428"/>
    <n v="0.20096220000000001"/>
    <n v="0.14997179999999999"/>
    <n v="47.495256730000001"/>
    <x v="17"/>
    <n v="345.99091540000001"/>
    <n v="1330242.1629999999"/>
    <n v="1370566.5"/>
    <n v="62.983986000000002"/>
    <n v="110.47924273000001"/>
  </r>
  <r>
    <n v="609"/>
    <x v="608"/>
    <n v="48.224919999999997"/>
    <n v="-116.43086"/>
    <x v="0"/>
    <x v="1"/>
    <x v="13"/>
    <n v="-8"/>
    <n v="716"/>
    <n v="3.4718626000000001"/>
    <s v="Moderate"/>
    <n v="0.98086249999999997"/>
    <n v="13.16120372"/>
    <n v="422.33715539999997"/>
    <n v="565.93176010000002"/>
    <n v="0.74626869381809047"/>
    <n v="0.19943839999999999"/>
    <n v="0.14883462"/>
    <n v="47.871603810000003"/>
    <x v="569"/>
    <n v="349.70914920000001"/>
    <n v="1343769.6359999999"/>
    <n v="1490937.8"/>
    <n v="69.039100000000005"/>
    <n v="116.91070381"/>
  </r>
  <r>
    <n v="610"/>
    <x v="609"/>
    <n v="48.245750000000001"/>
    <n v="-116.27034999999999"/>
    <x v="0"/>
    <x v="1"/>
    <x v="13"/>
    <n v="-8"/>
    <n v="994.2"/>
    <n v="3.4466839999999999"/>
    <s v="Moderate"/>
    <n v="0.98132549999999996"/>
    <n v="1.955501862"/>
    <n v="62.75118226"/>
    <n v="84.086580049999995"/>
    <n v="0.74626869379973082"/>
    <n v="0.19768177000000001"/>
    <n v="0.14752372"/>
    <n v="48.858215309999999"/>
    <x v="570"/>
    <n v="301.58609730000001"/>
    <n v="1108469.328"/>
    <n v="1256183.1000000001"/>
    <n v="58.685490000000001"/>
    <n v="107.54370531000001"/>
  </r>
  <r>
    <n v="611"/>
    <x v="610"/>
    <n v="48.266419999999997"/>
    <n v="-116.10971000000001"/>
    <x v="0"/>
    <x v="1"/>
    <x v="13"/>
    <n v="-8"/>
    <n v="1536.4"/>
    <n v="3.4303659999999998"/>
    <s v="Moderate"/>
    <n v="0.98174309999999998"/>
    <n v="0.17172000600000001"/>
    <n v="5.5104177270000001"/>
    <n v="7.3839602659999999"/>
    <n v="0.74626860498872571"/>
    <n v="0.19910748"/>
    <n v="0.14858766000000001"/>
    <n v="63.312373860000001"/>
    <x v="571"/>
    <n v="303.30888950000002"/>
    <n v="1112920.79"/>
    <n v="1290780"/>
    <n v="59.869971999999997"/>
    <n v="123.18234586"/>
  </r>
  <r>
    <n v="612"/>
    <x v="611"/>
    <n v="48.286929999999998"/>
    <n v="-115.94896"/>
    <x v="0"/>
    <x v="2"/>
    <x v="14"/>
    <n v="-7"/>
    <n v="1108.142857"/>
    <n v="3.4747732"/>
    <s v="Moderate"/>
    <n v="0.98219084999999995"/>
    <n v="2.520720099"/>
    <n v="80.888773700000002"/>
    <n v="108.39096429999999"/>
    <n v="0.74626860478996593"/>
    <n v="0.20008973999999999"/>
    <n v="0.14932069000000001"/>
    <n v="47.766478929999998"/>
    <x v="572"/>
    <n v="333.76480500000002"/>
    <n v="1447217.798"/>
    <n v="1656268.1"/>
    <n v="76.445205999999999"/>
    <n v="124.21168492999999"/>
  </r>
  <r>
    <n v="613"/>
    <x v="612"/>
    <n v="48.307279999999999"/>
    <n v="-115.78808600000001"/>
    <x v="0"/>
    <x v="2"/>
    <x v="14"/>
    <n v="-7"/>
    <n v="1034.857143"/>
    <n v="3.4614815999999999"/>
    <s v="Moderate"/>
    <n v="0.98247534000000003"/>
    <n v="8.0808841190000003"/>
    <n v="259.31193510000003"/>
    <n v="347.47801709999999"/>
    <n v="0.74626860503055414"/>
    <n v="0.19827949"/>
    <n v="0.14796978"/>
    <n v="48.213534680000002"/>
    <x v="573"/>
    <n v="333.76480500000002"/>
    <n v="1447217.798"/>
    <n v="1627050.4"/>
    <n v="75.782269999999997"/>
    <n v="123.99580467999999"/>
  </r>
  <r>
    <n v="614"/>
    <x v="613"/>
    <n v="48.327464999999997"/>
    <n v="-115.627106"/>
    <x v="0"/>
    <x v="2"/>
    <x v="14"/>
    <n v="-7"/>
    <n v="964.125"/>
    <n v="3.4840629999999999"/>
    <s v="Moderate"/>
    <n v="0.98284229999999995"/>
    <n v="13.45304696"/>
    <n v="431.70222330000001"/>
    <n v="578.48101929999996"/>
    <n v="0.74626860501384829"/>
    <n v="0.19777241000000001"/>
    <n v="0.14759133999999999"/>
    <n v="48.351340999999998"/>
    <x v="574"/>
    <n v="305.93497389999999"/>
    <n v="1295964.9110000001"/>
    <n v="1435190.6"/>
    <n v="67.017510000000001"/>
    <n v="115.36885100000001"/>
  </r>
  <r>
    <n v="615"/>
    <x v="614"/>
    <n v="48.347490000000001"/>
    <n v="-115.46599999999999"/>
    <x v="0"/>
    <x v="2"/>
    <x v="14"/>
    <n v="-7"/>
    <n v="1007.333333"/>
    <n v="3.5072432"/>
    <s v="Moderate"/>
    <n v="0.98308200000000001"/>
    <n v="17.045882450000001"/>
    <n v="546.99469739999995"/>
    <n v="732.97294520000003"/>
    <n v="0.74626860511303894"/>
    <n v="0.19948214"/>
    <n v="0.14886727999999999"/>
    <n v="47.946095020000001"/>
    <x v="575"/>
    <n v="305.93497389999999"/>
    <n v="1295964.9110000001"/>
    <n v="1402847.4"/>
    <n v="64.945760000000007"/>
    <n v="112.89185502000001"/>
  </r>
  <r>
    <n v="616"/>
    <x v="615"/>
    <n v="48.367350000000002"/>
    <n v="-115.30479"/>
    <x v="0"/>
    <x v="2"/>
    <x v="14"/>
    <n v="-7"/>
    <n v="1024.909091"/>
    <n v="3.5402809999999998"/>
    <s v="Moderate"/>
    <n v="0.98339469999999995"/>
    <n v="3.326832257"/>
    <n v="106.7565501"/>
    <n v="143.05378709999999"/>
    <n v="0.74626860472678813"/>
    <n v="0.20359938"/>
    <n v="0.15193982"/>
    <n v="46.988254220000002"/>
    <x v="576"/>
    <n v="285.9117531"/>
    <n v="1181860.8600000001"/>
    <n v="1255187.2"/>
    <n v="56.934627999999996"/>
    <n v="103.92288221999999"/>
  </r>
  <r>
    <n v="617"/>
    <x v="616"/>
    <n v="48.387053999999999"/>
    <n v="-115.14346"/>
    <x v="0"/>
    <x v="2"/>
    <x v="14"/>
    <n v="-7"/>
    <n v="1254.1111109999999"/>
    <n v="3.5257117999999998"/>
    <s v="Moderate"/>
    <n v="0.98362123999999995"/>
    <n v="5.0177878419999997"/>
    <n v="161.0185731"/>
    <n v="215.7648772"/>
    <n v="0.74626869391141104"/>
    <n v="0.20353177"/>
    <n v="0.15188940000000001"/>
    <n v="47.012368789999996"/>
    <x v="577"/>
    <n v="271.43125309999999"/>
    <n v="1119774.9739999999"/>
    <n v="1187580.8"/>
    <n v="53.885925"/>
    <n v="100.89829379"/>
  </r>
  <r>
    <n v="618"/>
    <x v="617"/>
    <n v="48.406593000000001"/>
    <n v="-114.98202499999999"/>
    <x v="0"/>
    <x v="2"/>
    <x v="14"/>
    <n v="-7"/>
    <n v="1299.333333"/>
    <n v="3.4975328000000001"/>
    <s v="Moderate"/>
    <n v="0.98375994"/>
    <n v="9.437472949"/>
    <n v="302.84422419999999"/>
    <n v="405.81133679999999"/>
    <n v="0.74626851627177115"/>
    <n v="0.20134735000000001"/>
    <n v="0.15025921"/>
    <n v="47.527665130000003"/>
    <x v="578"/>
    <n v="265.87838950000003"/>
    <n v="1098692.1140000001"/>
    <n v="1222340.8"/>
    <n v="56.064869999999999"/>
    <n v="103.59253513"/>
  </r>
  <r>
    <n v="619"/>
    <x v="618"/>
    <n v="48.42597"/>
    <n v="-114.820465"/>
    <x v="0"/>
    <x v="2"/>
    <x v="16"/>
    <n v="-7"/>
    <n v="1465"/>
    <n v="3.4830874999999999"/>
    <s v="Moderate"/>
    <n v="0.98353380000000001"/>
    <n v="0.75718796499999996"/>
    <n v="24.29782398"/>
    <n v="32.559082510000003"/>
    <n v="0.74626869392088402"/>
    <n v="0.20273979"/>
    <n v="0.15129833000000001"/>
    <n v="52.84024496"/>
    <x v="579"/>
    <n v="265.87838950000003"/>
    <n v="1098692.1140000001"/>
    <n v="1284249.2"/>
    <n v="58.499847000000003"/>
    <n v="111.34009196"/>
  </r>
  <r>
    <n v="620"/>
    <x v="619"/>
    <n v="48.445180000000001"/>
    <n v="-114.6588"/>
    <x v="0"/>
    <x v="2"/>
    <x v="16"/>
    <n v="-7"/>
    <n v="1284.272727"/>
    <n v="3.4669797"/>
    <s v="Moderate"/>
    <n v="0.98138579999999997"/>
    <n v="20.052358810000001"/>
    <n v="643.47124759999997"/>
    <n v="862.25142900000003"/>
    <n v="0.74626869374547589"/>
    <n v="0.201211"/>
    <n v="0.15015748000000001"/>
    <n v="47.469730370000001"/>
    <x v="580"/>
    <n v="230.44177909999999"/>
    <n v="847960.74"/>
    <n v="991570.94"/>
    <n v="45.511009999999999"/>
    <n v="92.980740370000007"/>
  </r>
  <r>
    <n v="621"/>
    <x v="620"/>
    <n v="48.464230000000001"/>
    <n v="-114.49702499999999"/>
    <x v="0"/>
    <x v="2"/>
    <x v="16"/>
    <n v="-7"/>
    <n v="1038.2777779999999"/>
    <n v="3.4288846999999998"/>
    <s v="Moderate"/>
    <n v="0.98124504000000001"/>
    <n v="54.427787840000001"/>
    <n v="1746.563013"/>
    <n v="2340.3948770000002"/>
    <n v="0.74626851654999582"/>
    <n v="0.19729804000000001"/>
    <n v="0.14723736000000001"/>
    <n v="48.405737530000003"/>
    <x v="581"/>
    <n v="233.13273369999999"/>
    <n v="859215.15280000004"/>
    <n v="909890.75"/>
    <n v="42.590319999999998"/>
    <n v="90.996057530000002"/>
  </r>
  <r>
    <n v="622"/>
    <x v="621"/>
    <n v="48.483111999999998"/>
    <n v="-114.335144"/>
    <x v="0"/>
    <x v="2"/>
    <x v="16"/>
    <n v="-7"/>
    <n v="1341.9"/>
    <n v="3.4228481999999998"/>
    <s v="Moderate"/>
    <n v="0.98128780000000004"/>
    <n v="5.9389200989999997"/>
    <n v="190.5772509"/>
    <n v="255.3735643"/>
    <n v="0.74626851617311274"/>
    <n v="0.19776645000000001"/>
    <n v="0.14758690999999999"/>
    <n v="48.292728789999998"/>
    <x v="582"/>
    <n v="218.94516870000001"/>
    <n v="788975.05949999997"/>
    <n v="923553.75"/>
    <n v="43.127471999999997"/>
    <n v="91.420200789999996"/>
  </r>
  <r>
    <n v="623"/>
    <x v="622"/>
    <n v="48.501840000000001"/>
    <n v="-114.17316"/>
    <x v="0"/>
    <x v="2"/>
    <x v="16"/>
    <n v="-7"/>
    <n v="1234.666667"/>
    <n v="3.3954399"/>
    <s v="Moderate"/>
    <n v="0.98136789999999996"/>
    <n v="6.7797000000000001"/>
    <n v="217.55754809999999"/>
    <n v="291.52710000000002"/>
    <n v="0.74626869371663895"/>
    <n v="0.19467646"/>
    <n v="0.14528094"/>
    <n v="49.062404690000001"/>
    <x v="583"/>
    <n v="204.14304540000001"/>
    <n v="740732.24109999998"/>
    <n v="894727.4"/>
    <n v="42.44453"/>
    <n v="91.506934690000008"/>
  </r>
  <r>
    <n v="624"/>
    <x v="623"/>
    <n v="48.520392999999999"/>
    <n v="-114.011055"/>
    <x v="0"/>
    <x v="2"/>
    <x v="16"/>
    <n v="-7"/>
    <n v="1060.5999999999999"/>
    <n v="3.408477"/>
    <s v="Moderate"/>
    <n v="0.98144620000000005"/>
    <n v="4.0014000000000003"/>
    <n v="128.40312539999999"/>
    <n v="172.06020000000001"/>
    <n v="0.74626860482552027"/>
    <n v="0.19502776999999999"/>
    <n v="0.14554311"/>
    <n v="48.977093979999999"/>
    <x v="584"/>
    <n v="205.8285583"/>
    <n v="751165.98129999998"/>
    <n v="926386.44"/>
    <n v="43.867226000000002"/>
    <n v="92.844319979999995"/>
  </r>
  <r>
    <n v="625"/>
    <x v="624"/>
    <n v="48.592995000000002"/>
    <n v="-113.3616"/>
    <x v="0"/>
    <x v="2"/>
    <x v="19"/>
    <n v="-7"/>
    <n v="1729.363636"/>
    <n v="3.6839852"/>
    <s v="Moderate"/>
    <n v="0.98183019999999999"/>
    <n v="15.378659799999999"/>
    <n v="493.49433160000001"/>
    <n v="661.28237149999995"/>
    <n v="0.74626869378144323"/>
    <n v="0.22102306999999999"/>
    <n v="0.16494258000000001"/>
    <n v="43.230003930000002"/>
    <x v="585"/>
    <n v="250.19189600000001"/>
    <n v="670054.93370000005"/>
    <n v="837904.25"/>
    <n v="35.010730000000002"/>
    <n v="78.240733930000005"/>
  </r>
  <r>
    <n v="626"/>
    <x v="625"/>
    <n v="48.610729999999997"/>
    <n v="-113.19898000000001"/>
    <x v="0"/>
    <x v="2"/>
    <x v="19"/>
    <n v="-7"/>
    <n v="1517.8125"/>
    <n v="3.7020062999999999"/>
    <s v="Moderate"/>
    <n v="0.98192835000000001"/>
    <n v="87.908975679999998"/>
    <n v="2820.9591369999998"/>
    <n v="3780.0859540000001"/>
    <n v="0.74626851646453318"/>
    <n v="0.22294565"/>
    <n v="0.16637732"/>
    <n v="42.860578869999998"/>
    <x v="586"/>
    <n v="250.19189600000001"/>
    <n v="670054.93370000005"/>
    <n v="766002.75"/>
    <n v="31.730412999999999"/>
    <n v="74.590991869999996"/>
  </r>
  <r>
    <n v="627"/>
    <x v="626"/>
    <n v="48.628304"/>
    <n v="-113.036255"/>
    <x v="0"/>
    <x v="2"/>
    <x v="19"/>
    <n v="-7"/>
    <n v="1355.380952"/>
    <n v="3.7272536999999999"/>
    <s v="Moderate"/>
    <n v="0.98204170000000002"/>
    <n v="100.7962418"/>
    <n v="3234.505658"/>
    <n v="4334.2383970000001"/>
    <n v="0.74626851634160352"/>
    <n v="0.22529563"/>
    <n v="0.16813106999999999"/>
    <n v="42.417353460000001"/>
    <x v="587"/>
    <n v="244.3780778"/>
    <n v="654959.42469999997"/>
    <n v="704850.2"/>
    <n v="28.892721000000002"/>
    <n v="71.31007446000001"/>
  </r>
  <r>
    <n v="628"/>
    <x v="627"/>
    <n v="48.645713999999998"/>
    <n v="-112.87343"/>
    <x v="0"/>
    <x v="2"/>
    <x v="19"/>
    <n v="-7"/>
    <n v="1271"/>
    <n v="3.7370093"/>
    <s v="Moderate"/>
    <n v="0.98215229999999998"/>
    <n v="83.61200479"/>
    <n v="2683.07161"/>
    <n v="3595.316206"/>
    <n v="0.74626860511528537"/>
    <n v="0.22690167"/>
    <n v="0.1693296"/>
    <n v="42.120838300000003"/>
    <x v="588"/>
    <n v="228.27602580000001"/>
    <n v="614227.7243"/>
    <n v="686779.44"/>
    <n v="27.952717"/>
    <n v="70.07355530000001"/>
  </r>
  <r>
    <n v="629"/>
    <x v="628"/>
    <n v="48.662956000000001"/>
    <n v="-112.7105"/>
    <x v="0"/>
    <x v="2"/>
    <x v="19"/>
    <n v="-7"/>
    <n v="1239.684211"/>
    <n v="3.7428088000000002"/>
    <s v="Moderate"/>
    <n v="0.98227315999999998"/>
    <n v="71.898510939999994"/>
    <n v="2307.1908629999998"/>
    <n v="3091.6359699999998"/>
    <n v="0.74626860516181659"/>
    <n v="0.22821253999999999"/>
    <n v="0.17030783999999999"/>
    <n v="41.882941770000002"/>
    <x v="589"/>
    <n v="216.295883"/>
    <n v="582463.91729999997"/>
    <n v="668017.80000000005"/>
    <n v="27.032919"/>
    <n v="68.915860769999995"/>
  </r>
  <r>
    <n v="630"/>
    <x v="629"/>
    <n v="48.680039999999998"/>
    <n v="-112.54747"/>
    <x v="0"/>
    <x v="2"/>
    <x v="19"/>
    <n v="-7"/>
    <n v="1200.0526319999999"/>
    <n v="3.7275502999999999"/>
    <s v="Moderate"/>
    <n v="0.98234456999999997"/>
    <n v="37.552489889999997"/>
    <n v="1205.0425029999999"/>
    <n v="1614.757065"/>
    <n v="0.74626860542641438"/>
    <n v="0.22649652000000001"/>
    <n v="0.16902724999999999"/>
    <n v="42.202670959999999"/>
    <x v="590"/>
    <n v="203.16118169999999"/>
    <n v="550850.91799999995"/>
    <n v="640962.4"/>
    <n v="26.134573"/>
    <n v="68.337243959999995"/>
  </r>
  <r>
    <n v="631"/>
    <x v="630"/>
    <n v="48.696950000000001"/>
    <n v="-112.38435"/>
    <x v="0"/>
    <x v="2"/>
    <x v="19"/>
    <n v="-7"/>
    <n v="1170.941176"/>
    <n v="3.7369667999999998"/>
    <s v="Moderate"/>
    <n v="0.98245640000000001"/>
    <n v="57.981904100000001"/>
    <n v="1860.613212"/>
    <n v="2493.2218760000001"/>
    <n v="0.74626860525749694"/>
    <n v="0.22753594999999999"/>
    <n v="0.16980295000000001"/>
    <n v="42.013634959999997"/>
    <x v="591"/>
    <n v="189.40442849999999"/>
    <n v="507963.73149999999"/>
    <n v="588215.5"/>
    <n v="23.874310000000001"/>
    <n v="65.887944959999999"/>
  </r>
  <r>
    <n v="632"/>
    <x v="631"/>
    <n v="48.713700000000003"/>
    <n v="-112.22113"/>
    <x v="0"/>
    <x v="2"/>
    <x v="19"/>
    <n v="-7"/>
    <n v="1174.8947370000001"/>
    <n v="3.7448359"/>
    <s v="Moderate"/>
    <n v="0.98249580000000003"/>
    <n v="42.272519680000002"/>
    <n v="1356.506296"/>
    <n v="1817.7183460000001"/>
    <n v="0.74626869392888873"/>
    <n v="0.22865365000000001"/>
    <n v="0.17063706000000001"/>
    <n v="41.809578360000003"/>
    <x v="116"/>
    <n v="195.3172921"/>
    <n v="521725.29340000002"/>
    <n v="581178.25"/>
    <n v="23.473379999999999"/>
    <n v="65.282958360000009"/>
  </r>
  <r>
    <n v="633"/>
    <x v="632"/>
    <n v="48.73028"/>
    <n v="-112.0578"/>
    <x v="0"/>
    <x v="2"/>
    <x v="21"/>
    <n v="-7"/>
    <n v="1076.5999999999999"/>
    <n v="3.7492684999999999"/>
    <s v="Moderate"/>
    <n v="0.98255990000000004"/>
    <n v="71.868222950000003"/>
    <n v="2306.2189349999999"/>
    <n v="3090.3335870000001"/>
    <n v="0.74626860501451742"/>
    <n v="0.22899786999999999"/>
    <n v="0.17089394999999999"/>
    <n v="41.748861009999999"/>
    <x v="592"/>
    <n v="217.2602986"/>
    <n v="579755.02579999994"/>
    <n v="666626.06000000006"/>
    <n v="26.884084999999999"/>
    <n v="68.632946009999998"/>
  </r>
  <r>
    <n v="634"/>
    <x v="633"/>
    <n v="48.746696"/>
    <n v="-111.89438"/>
    <x v="0"/>
    <x v="2"/>
    <x v="21"/>
    <n v="-7"/>
    <n v="1044.421053"/>
    <n v="3.7282790000000001"/>
    <s v="Moderate"/>
    <n v="0.98259156999999997"/>
    <n v="62.158431010000001"/>
    <n v="1994.6360810000001"/>
    <n v="2672.8125329999998"/>
    <n v="0.7462686052138473"/>
    <n v="0.22705764000000001"/>
    <n v="0.16944600000000001"/>
    <n v="42.106681450000004"/>
    <x v="593"/>
    <n v="225.32411680000001"/>
    <n v="600320.38060000003"/>
    <n v="715888.56"/>
    <n v="29.117476"/>
    <n v="71.224157450000007"/>
  </r>
  <r>
    <n v="635"/>
    <x v="634"/>
    <n v="48.762946999999997"/>
    <n v="-111.73086499999999"/>
    <x v="0"/>
    <x v="2"/>
    <x v="21"/>
    <n v="-7"/>
    <n v="1071.941176"/>
    <n v="3.7355193999999998"/>
    <s v="Moderate"/>
    <n v="0.98258920000000005"/>
    <n v="47.461139209999999"/>
    <n v="1523.006601"/>
    <n v="2040.828986"/>
    <n v="0.74626860528136385"/>
    <n v="0.22751895"/>
    <n v="0.16979025"/>
    <n v="42.021226290000001"/>
    <x v="594"/>
    <n v="225.32411680000001"/>
    <n v="600320.38060000003"/>
    <n v="757837.75"/>
    <n v="30.761187"/>
    <n v="72.782413289999994"/>
  </r>
  <r>
    <n v="636"/>
    <x v="635"/>
    <n v="48.779034000000003"/>
    <n v="-111.56726"/>
    <x v="0"/>
    <x v="2"/>
    <x v="21"/>
    <n v="-7"/>
    <n v="1074.736842"/>
    <n v="3.7464385"/>
    <s v="Moderate"/>
    <n v="0.98256089999999996"/>
    <n v="52.998458200000002"/>
    <n v="1700.6966749999999"/>
    <n v="2278.9337030000002"/>
    <n v="0.74626860481338009"/>
    <n v="0.22858556999999999"/>
    <n v="0.17058624"/>
    <n v="41.824207250000001"/>
    <x v="595"/>
    <n v="225.32411680000001"/>
    <n v="600320.38060000003"/>
    <n v="807668.6"/>
    <n v="32.630882"/>
    <n v="74.45508925"/>
  </r>
  <r>
    <n v="637"/>
    <x v="636"/>
    <n v="48.794952000000002"/>
    <n v="-111.403564"/>
    <x v="0"/>
    <x v="2"/>
    <x v="21"/>
    <n v="-7"/>
    <n v="1166.1500000000001"/>
    <n v="3.762165"/>
    <s v="Moderate"/>
    <n v="0.98246383999999998"/>
    <n v="94.470790429999994"/>
    <n v="3031.5247939999999"/>
    <n v="4062.2439880000002"/>
    <n v="0.74626851635579305"/>
    <n v="0.23035591999999999"/>
    <n v="0.17190741000000001"/>
    <n v="41.499549330000001"/>
    <x v="596"/>
    <n v="219.5155973"/>
    <n v="572980.61820000003"/>
    <n v="789743.94"/>
    <n v="31.661490000000001"/>
    <n v="73.161039329999994"/>
  </r>
  <r>
    <n v="638"/>
    <x v="637"/>
    <n v="48.810707000000001"/>
    <n v="-111.23976999999999"/>
    <x v="0"/>
    <x v="2"/>
    <x v="24"/>
    <n v="-7"/>
    <n v="1284.0625"/>
    <n v="3.7454649999999998"/>
    <s v="Moderate"/>
    <n v="0.98236935999999997"/>
    <n v="71.825943159999994"/>
    <n v="2304.862196"/>
    <n v="3088.5155559999998"/>
    <n v="0.74626860516288762"/>
    <n v="0.22923513000000001"/>
    <n v="0.17107098000000001"/>
    <n v="41.699310339999997"/>
    <x v="597"/>
    <n v="222.70927259999999"/>
    <n v="580943.85210000002"/>
    <n v="769950.2"/>
    <n v="31.018861999999999"/>
    <n v="72.718172339999995"/>
  </r>
  <r>
    <n v="639"/>
    <x v="638"/>
    <n v="48.826286000000003"/>
    <n v="-111.07588"/>
    <x v="0"/>
    <x v="2"/>
    <x v="24"/>
    <n v="-7"/>
    <n v="1290"/>
    <n v="3.752319"/>
    <s v="Moderate"/>
    <n v="0.98223453999999999"/>
    <n v="69.476128419999995"/>
    <n v="2229.4576980000002"/>
    <n v="2987.4735219999998"/>
    <n v="0.74626860508790827"/>
    <n v="0.22975886000000001"/>
    <n v="0.17146185"/>
    <n v="41.599773110000001"/>
    <x v="598"/>
    <n v="222.70927259999999"/>
    <n v="580943.85210000002"/>
    <n v="781780.25"/>
    <n v="31.423663999999999"/>
    <n v="73.023437110000003"/>
  </r>
  <r>
    <n v="640"/>
    <x v="639"/>
    <n v="48.841704999999997"/>
    <n v="-110.9119"/>
    <x v="0"/>
    <x v="2"/>
    <x v="24"/>
    <n v="-7"/>
    <n v="1070.526316"/>
    <n v="3.7456697999999999"/>
    <s v="Moderate"/>
    <n v="0.98198812999999996"/>
    <n v="57.100787840000002"/>
    <n v="1832.3385880000001"/>
    <n v="2455.333877"/>
    <n v="0.74626860532662298"/>
    <n v="0.22886989999999999"/>
    <n v="0.17079844999999999"/>
    <n v="41.753131230000001"/>
    <x v="599"/>
    <n v="248.6803634"/>
    <n v="622544.8077"/>
    <n v="829226.5"/>
    <n v="33.460228000000001"/>
    <n v="75.213359230000009"/>
  </r>
  <r>
    <n v="641"/>
    <x v="640"/>
    <n v="48.856963999999998"/>
    <n v="-110.74784"/>
    <x v="0"/>
    <x v="2"/>
    <x v="25"/>
    <n v="-7"/>
    <n v="967.77777779999997"/>
    <n v="3.7429009999999998"/>
    <s v="Moderate"/>
    <n v="0.98070824000000001"/>
    <n v="57.379909570000002"/>
    <n v="1841.295697"/>
    <n v="2467.336112"/>
    <n v="0.7462686936103986"/>
    <n v="0.22863244999999999"/>
    <n v="0.17062121999999999"/>
    <n v="41.75373467"/>
    <x v="600"/>
    <n v="239.42845439999999"/>
    <n v="600424.26329999999"/>
    <n v="811620.56"/>
    <n v="32.783819999999999"/>
    <n v="74.537554669999992"/>
  </r>
  <r>
    <n v="642"/>
    <x v="641"/>
    <n v="48.872047000000002"/>
    <n v="-110.58368"/>
    <x v="0"/>
    <x v="2"/>
    <x v="25"/>
    <n v="-7"/>
    <n v="923.35"/>
    <n v="3.7346745000000001"/>
    <s v="Moderate"/>
    <n v="0.98031520000000005"/>
    <n v="57.71030889"/>
    <n v="1851.8978440000001"/>
    <n v="2481.5432820000001"/>
    <n v="0.74626860527996219"/>
    <n v="0.22787403000000001"/>
    <n v="0.17005526000000001"/>
    <n v="41.879525399999999"/>
    <x v="601"/>
    <n v="223.87919460000001"/>
    <n v="563673.65949999995"/>
    <n v="782256.75"/>
    <n v="31.702891999999999"/>
    <n v="73.582417399999997"/>
  </r>
  <r>
    <n v="643"/>
    <x v="642"/>
    <n v="48.886966999999999"/>
    <n v="-110.41943000000001"/>
    <x v="0"/>
    <x v="2"/>
    <x v="25"/>
    <n v="-7"/>
    <n v="890.33333330000005"/>
    <n v="3.7421844000000002"/>
    <s v="Moderate"/>
    <n v="0.97998629999999998"/>
    <n v="63.301579099999998"/>
    <n v="2031.3191890000001"/>
    <n v="2721.967901"/>
    <n v="0.74626860524465832"/>
    <n v="0.22842656"/>
    <n v="0.17046759"/>
    <n v="41.767218909999997"/>
    <x v="602"/>
    <n v="212.1008894"/>
    <n v="535678.96059999999"/>
    <n v="764083"/>
    <n v="30.891452999999998"/>
    <n v="72.658671909999995"/>
  </r>
  <r>
    <n v="644"/>
    <x v="643"/>
    <n v="48.901713999999998"/>
    <n v="-110.25511"/>
    <x v="0"/>
    <x v="2"/>
    <x v="25"/>
    <n v="-7"/>
    <n v="848.11111110000002"/>
    <n v="3.7313342"/>
    <s v="Moderate"/>
    <n v="0.97962150000000003"/>
    <n v="49.074818989999997"/>
    <n v="1574.7890460000001"/>
    <n v="2110.2172169999999"/>
    <n v="0.74626869372187488"/>
    <n v="0.22745551"/>
    <n v="0.16974292999999999"/>
    <n v="41.933282040000002"/>
    <x v="603"/>
    <n v="204.0562596"/>
    <n v="514912.26809999999"/>
    <n v="753875.9"/>
    <n v="30.608906000000001"/>
    <n v="72.542188039999999"/>
  </r>
  <r>
    <n v="645"/>
    <x v="644"/>
    <n v="48.916297999999998"/>
    <n v="-110.09068000000001"/>
    <x v="0"/>
    <x v="2"/>
    <x v="25"/>
    <n v="-7"/>
    <n v="852.85"/>
    <n v="3.7202654000000002"/>
    <s v="Moderate"/>
    <n v="0.97915039999999998"/>
    <n v="89.062497949999994"/>
    <n v="2857.9754830000002"/>
    <n v="3829.6874120000002"/>
    <n v="0.74626860512029691"/>
    <n v="0.22696252"/>
    <n v="0.16937501999999999"/>
    <n v="42.008509750000002"/>
    <x v="604"/>
    <n v="187.78699979999999"/>
    <n v="473855.58519999997"/>
    <n v="721825.06"/>
    <n v="29.371237000000001"/>
    <n v="71.37974675000001"/>
  </r>
  <r>
    <n v="646"/>
    <x v="645"/>
    <n v="48.930714000000002"/>
    <n v="-109.92618"/>
    <x v="0"/>
    <x v="2"/>
    <x v="25"/>
    <n v="-7"/>
    <n v="866.58823529999995"/>
    <n v="3.7221549999999999"/>
    <s v="Moderate"/>
    <n v="0.97867124999999999"/>
    <n v="79.484817480000004"/>
    <n v="2550.6320260000002"/>
    <n v="3417.8471519999998"/>
    <n v="0.74626860493379965"/>
    <n v="0.2270596"/>
    <n v="0.16944746999999999"/>
    <n v="41.974424740000003"/>
    <x v="605"/>
    <n v="204.8439673"/>
    <n v="523869.80869999999"/>
    <n v="774585.9"/>
    <n v="31.50461"/>
    <n v="73.479034740000003"/>
  </r>
  <r>
    <n v="647"/>
    <x v="646"/>
    <n v="48.944960000000002"/>
    <n v="-109.7616"/>
    <x v="0"/>
    <x v="2"/>
    <x v="25"/>
    <n v="-7"/>
    <n v="854.64705879999997"/>
    <n v="3.7194626"/>
    <s v="Moderate"/>
    <n v="0.97814000000000001"/>
    <n v="91.609544529999994"/>
    <n v="2939.709061"/>
    <n v="3939.210415"/>
    <n v="0.74626860494833458"/>
    <n v="0.22694491999999999"/>
    <n v="0.16936187"/>
    <n v="41.977742079999999"/>
    <x v="606"/>
    <n v="234.42471420000001"/>
    <n v="610161.39439999999"/>
    <n v="828541.75"/>
    <n v="33.716180000000001"/>
    <n v="75.693922079999993"/>
  </r>
  <r>
    <n v="648"/>
    <x v="647"/>
    <n v="48.959040000000002"/>
    <n v="-109.596924"/>
    <x v="0"/>
    <x v="2"/>
    <x v="25"/>
    <n v="-7"/>
    <n v="833.64285710000001"/>
    <n v="3.6933646000000002"/>
    <s v="Moderate"/>
    <n v="0.97753257000000005"/>
    <n v="72.933048630000002"/>
    <n v="2340.3887119999999"/>
    <n v="3136.121091"/>
    <n v="0.74626860509832271"/>
    <n v="0.22484990999999999"/>
    <n v="0.16779843"/>
    <n v="42.348241489999999"/>
    <x v="607"/>
    <n v="234.42471420000001"/>
    <n v="610161.39439999999"/>
    <n v="798050.56"/>
    <n v="32.777973000000003"/>
    <n v="75.126214489999995"/>
  </r>
  <r>
    <n v="649"/>
    <x v="648"/>
    <n v="48.972949999999997"/>
    <n v="-109.432175"/>
    <x v="0"/>
    <x v="2"/>
    <x v="26"/>
    <n v="-7"/>
    <n v="836.6"/>
    <n v="3.7015397999999999"/>
    <s v="Moderate"/>
    <n v="0.97697069999999997"/>
    <n v="43.44904863"/>
    <n v="1394.260419"/>
    <n v="1868.3090910000001"/>
    <n v="0.74626860497356529"/>
    <n v="0.22568848999999999"/>
    <n v="0.16842423000000001"/>
    <n v="42.171868779999997"/>
    <x v="608"/>
    <n v="234.42471420000001"/>
    <n v="610161.39439999999"/>
    <n v="782388.8"/>
    <n v="32.015304999999998"/>
    <n v="74.187173779999995"/>
  </r>
  <r>
    <n v="650"/>
    <x v="649"/>
    <n v="48.986694"/>
    <n v="-109.26733400000001"/>
    <x v="0"/>
    <x v="2"/>
    <x v="26"/>
    <n v="-7"/>
    <n v="839.1"/>
    <n v="3.6849916"/>
    <s v="Moderate"/>
    <n v="0.97635656999999998"/>
    <n v="41.996071579999999"/>
    <n v="1347.6350399999999"/>
    <n v="1805.8310779999999"/>
    <n v="0.74626860530750039"/>
    <n v="0.22462359000000001"/>
    <n v="0.16762953999999999"/>
    <n v="42.350912399999999"/>
    <x v="609"/>
    <n v="234.42471420000001"/>
    <n v="610161.39439999999"/>
    <n v="780581.5"/>
    <n v="32.092776999999998"/>
    <n v="74.443689399999997"/>
  </r>
  <r>
    <n v="651"/>
    <x v="650"/>
    <n v="47.284619999999997"/>
    <n v="-69.384749999999997"/>
    <x v="0"/>
    <x v="3"/>
    <x v="22"/>
    <n v="-5"/>
    <n v="329.36363640000002"/>
    <n v="3.5631564"/>
    <s v="Moderate"/>
    <n v="1.0293213000000001"/>
    <n v="54.28263647"/>
    <n v="1741.9051710000001"/>
    <n v="2334.1533679999998"/>
    <n v="0.74626851640538827"/>
    <n v="0.20831432999999999"/>
    <n v="0.15545844"/>
    <n v="47.608950309999997"/>
    <x v="610"/>
    <n v="330.28651930000001"/>
    <n v="2700472.0260000001"/>
    <n v="5528355"/>
    <n v="245.08751000000001"/>
    <n v="292.69646031000002"/>
  </r>
  <r>
    <n v="652"/>
    <x v="651"/>
    <n v="47.257480000000001"/>
    <n v="-69.229579999999999"/>
    <x v="0"/>
    <x v="3"/>
    <x v="22"/>
    <n v="-5"/>
    <n v="318.05263159999998"/>
    <n v="3.5515742000000001"/>
    <s v="Moderate"/>
    <n v="1.0292971"/>
    <n v="81.674894530000003"/>
    <n v="2620.9103019999998"/>
    <n v="3512.0204650000001"/>
    <n v="0.74626851640512859"/>
    <n v="0.20724148000000001"/>
    <n v="0.15465781000000001"/>
    <n v="47.854514459999997"/>
    <x v="611"/>
    <n v="335.14761670000001"/>
    <n v="2737709.35"/>
    <n v="5309239.5"/>
    <n v="236.59200000000001"/>
    <n v="284.44651446"/>
  </r>
  <r>
    <n v="653"/>
    <x v="652"/>
    <n v="47.230193999999997"/>
    <n v="-69.074560000000005"/>
    <x v="0"/>
    <x v="3"/>
    <x v="22"/>
    <n v="-5"/>
    <n v="315.25"/>
    <n v="3.5486597999999998"/>
    <s v="Moderate"/>
    <n v="1.0294719999999999"/>
    <n v="57.319167479999997"/>
    <n v="1839.3460729999999"/>
    <n v="2464.7242019999999"/>
    <n v="0.74626851617209866"/>
    <n v="0.20669477"/>
    <n v="0.15424983"/>
    <n v="47.987545279999999"/>
    <x v="612"/>
    <n v="331.14019459999997"/>
    <n v="2707776.8029999998"/>
    <n v="5028612"/>
    <n v="224.67930000000001"/>
    <n v="272.66684528000002"/>
  </r>
  <r>
    <n v="654"/>
    <x v="653"/>
    <n v="47.175156000000001"/>
    <n v="-68.764970000000005"/>
    <x v="0"/>
    <x v="3"/>
    <x v="22"/>
    <n v="-5"/>
    <n v="308.53333329999998"/>
    <n v="3.5640450000000001"/>
    <s v="Moderate"/>
    <n v="1.0298050999999999"/>
    <n v="35.724563529999998"/>
    <n v="1146.385168"/>
    <n v="1536.156232"/>
    <n v="0.74626860479383839"/>
    <n v="0.20782402"/>
    <n v="0.15509255"/>
    <n v="47.739056069999997"/>
    <x v="613"/>
    <n v="337.08129200000002"/>
    <n v="2749877.8250000002"/>
    <n v="4960471"/>
    <n v="220.43044"/>
    <n v="268.16949606999998"/>
  </r>
  <r>
    <n v="655"/>
    <x v="654"/>
    <n v="47.147410000000001"/>
    <n v="-68.610399999999998"/>
    <x v="0"/>
    <x v="3"/>
    <x v="22"/>
    <n v="-5"/>
    <n v="278.55555559999999"/>
    <n v="3.5643593999999998"/>
    <s v="Moderate"/>
    <n v="1.0299662000000001"/>
    <n v="53.759858199999996"/>
    <n v="1725.1296589999999"/>
    <n v="2311.6739029999999"/>
    <n v="0.74626860508361248"/>
    <n v="0.20817551000000001"/>
    <n v="0.15535483999999999"/>
    <n v="47.66437123"/>
    <x v="614"/>
    <n v="335.85217510000001"/>
    <n v="2741246.1749999998"/>
    <n v="4955958.5"/>
    <n v="219.85808"/>
    <n v="267.52245123"/>
  </r>
  <r>
    <n v="656"/>
    <x v="655"/>
    <n v="47.119509999999998"/>
    <n v="-68.455979999999997"/>
    <x v="0"/>
    <x v="3"/>
    <x v="22"/>
    <n v="-5"/>
    <n v="224.63157889999999"/>
    <n v="3.5615929999999998"/>
    <s v="Moderate"/>
    <n v="1.0302210000000001"/>
    <n v="74.88546504"/>
    <n v="2403.0405900000001"/>
    <n v="3220.0749970000002"/>
    <n v="0.74626851618015277"/>
    <n v="0.20941109999999999"/>
    <n v="0.15627694"/>
    <n v="47.392421910000003"/>
    <x v="615"/>
    <n v="336.24945430000002"/>
    <n v="2743189.7850000001"/>
    <n v="4963297.5"/>
    <n v="218.88449"/>
    <n v="266.27691191000002"/>
  </r>
  <r>
    <n v="657"/>
    <x v="656"/>
    <n v="47.091459999999998"/>
    <n v="-68.301699999999997"/>
    <x v="0"/>
    <x v="3"/>
    <x v="22"/>
    <n v="-5"/>
    <n v="216"/>
    <n v="3.5549580000000001"/>
    <s v="Moderate"/>
    <n v="1.0306085"/>
    <n v="55.54947568"/>
    <n v="1782.5576779999999"/>
    <n v="2388.6274539999999"/>
    <n v="0.7462686050162094"/>
    <n v="0.2106527"/>
    <n v="0.15720348000000001"/>
    <n v="47.1271463"/>
    <x v="616"/>
    <n v="334.22577899999999"/>
    <n v="2732097.3960000002"/>
    <n v="4785062.5"/>
    <n v="209.78046000000001"/>
    <n v="256.9076063"/>
  </r>
  <r>
    <n v="658"/>
    <x v="657"/>
    <n v="47.063262999999999"/>
    <n v="-68.147580000000005"/>
    <x v="0"/>
    <x v="3"/>
    <x v="22"/>
    <n v="-5"/>
    <n v="233.8947368"/>
    <n v="3.5713903999999999"/>
    <s v="Moderate"/>
    <n v="1.0307850999999999"/>
    <n v="77.189274319999996"/>
    <n v="2476.968785"/>
    <n v="3319.1387960000002"/>
    <n v="0.74626851639499803"/>
    <n v="0.21212766"/>
    <n v="0.15830421"/>
    <n v="46.805823369999999"/>
    <x v="617"/>
    <n v="344.12422700000002"/>
    <n v="2806523.0419999999"/>
    <n v="4489439"/>
    <n v="195.45157"/>
    <n v="242.25739336999999"/>
  </r>
  <r>
    <n v="659"/>
    <x v="658"/>
    <n v="47.034911999999998"/>
    <n v="-67.993610000000004"/>
    <x v="0"/>
    <x v="3"/>
    <x v="22"/>
    <n v="-5"/>
    <n v="225"/>
    <n v="3.5716874999999999"/>
    <s v="Moderate"/>
    <n v="1.0310975"/>
    <n v="74.978622950000002"/>
    <n v="2406.0296990000002"/>
    <n v="3224.0807869999999"/>
    <n v="0.74626842748528199"/>
    <n v="0.21252692000000001"/>
    <n v="0.1586022"/>
    <n v="46.729109819999998"/>
    <x v="618"/>
    <n v="344.12422700000002"/>
    <n v="2806523.0419999999"/>
    <n v="4383531"/>
    <n v="190.48227"/>
    <n v="237.21137981999999"/>
  </r>
  <r>
    <n v="660"/>
    <x v="659"/>
    <n v="47.006413000000002"/>
    <n v="-67.839780000000005"/>
    <x v="0"/>
    <x v="3"/>
    <x v="22"/>
    <n v="-5"/>
    <n v="228"/>
    <n v="3.5636969000000001"/>
    <s v="Moderate"/>
    <n v="1.0312950000000001"/>
    <n v="36.850301369999997"/>
    <n v="1182.509589"/>
    <n v="1584.5629590000001"/>
    <n v="0.74626860503306758"/>
    <n v="0.21189366000000001"/>
    <n v="0.15812958999999999"/>
    <n v="46.875891590000002"/>
    <x v="619"/>
    <n v="344.12422700000002"/>
    <n v="2806523.0419999999"/>
    <n v="4191812.5"/>
    <n v="182.69568000000001"/>
    <n v="229.57157159000002"/>
  </r>
  <r>
    <n v="661"/>
    <x v="660"/>
    <n v="46.917521999999998"/>
    <n v="-124.08916000000001"/>
    <x v="0"/>
    <x v="0"/>
    <x v="15"/>
    <n v="-8"/>
    <n v="9.4"/>
    <n v="3.209489"/>
    <s v="Moderate"/>
    <n v="1.0206443999999999"/>
    <n v="3.3053670589999999"/>
    <n v="106.0677542"/>
    <n v="142.1307836"/>
    <n v="0.74626869361747472"/>
    <n v="0.18368362999999999"/>
    <n v="0.13707734999999999"/>
    <n v="53.632096959999998"/>
    <x v="620"/>
    <n v="229.69683749999999"/>
    <n v="789782.69539999997"/>
    <n v="825244"/>
    <n v="41.491233999999999"/>
    <n v="95.123330960000004"/>
  </r>
  <r>
    <n v="662"/>
    <x v="661"/>
    <n v="46.945953000000003"/>
    <n v="-123.93555000000001"/>
    <x v="0"/>
    <x v="0"/>
    <x v="15"/>
    <n v="-8"/>
    <n v="51.833333330000002"/>
    <n v="3.1666987"/>
    <s v="Moderate"/>
    <n v="1.0205599999999999"/>
    <n v="13.047641560000001"/>
    <n v="418.69299640000003"/>
    <n v="561.04858730000001"/>
    <n v="0.74626869379517646"/>
    <n v="0.18049459000000001"/>
    <n v="0.13469748000000001"/>
    <n v="54.57611138"/>
    <x v="621"/>
    <n v="211.66750640000001"/>
    <n v="707166.68030000001"/>
    <n v="743401.7"/>
    <n v="38.03678"/>
    <n v="92.612891380000008"/>
  </r>
  <r>
    <n v="663"/>
    <x v="662"/>
    <n v="46.974229999999999"/>
    <n v="-123.78178"/>
    <x v="0"/>
    <x v="0"/>
    <x v="15"/>
    <n v="-8"/>
    <n v="58.9375"/>
    <n v="3.1197059999999999"/>
    <s v="Moderate"/>
    <n v="1.0204572999999999"/>
    <n v="12.95805509"/>
    <n v="415.81820640000001"/>
    <n v="557.19636890000004"/>
    <n v="0.74626869378365757"/>
    <n v="0.17785875000000001"/>
    <n v="0.13273040999999999"/>
    <n v="55.380523109999999"/>
    <x v="622"/>
    <n v="207.1099414"/>
    <n v="707690.50879999995"/>
    <n v="754019.44"/>
    <n v="39.151800000000001"/>
    <n v="94.532323109999993"/>
  </r>
  <r>
    <n v="664"/>
    <x v="663"/>
    <n v="47.002357000000003"/>
    <n v="-123.62785"/>
    <x v="0"/>
    <x v="0"/>
    <x v="15"/>
    <n v="-8"/>
    <n v="72.58823529"/>
    <n v="3.1210387000000002"/>
    <s v="Moderate"/>
    <n v="1.020394"/>
    <n v="22.506012160000001"/>
    <n v="722.20780290000005"/>
    <n v="967.75852280000004"/>
    <n v="0.74626860511695414"/>
    <n v="0.17830715"/>
    <n v="0.13306504"/>
    <n v="55.2385345"/>
    <x v="623"/>
    <n v="187.825909"/>
    <n v="610155.97549999994"/>
    <n v="684083.6"/>
    <n v="35.431117999999998"/>
    <n v="90.669652499999998"/>
  </r>
  <r>
    <n v="665"/>
    <x v="664"/>
    <n v="47.030334000000003"/>
    <n v="-123.47378500000001"/>
    <x v="0"/>
    <x v="0"/>
    <x v="15"/>
    <n v="-8"/>
    <n v="73.157894740000003"/>
    <n v="3.1375196000000001"/>
    <s v="Moderate"/>
    <n v="1.0203660000000001"/>
    <n v="27.928799999999999"/>
    <n v="896.22262460000002"/>
    <n v="1200.9384"/>
    <n v="0.74626860511746484"/>
    <n v="0.17803975999999999"/>
    <n v="0.1328655"/>
    <n v="55.320287290000003"/>
    <x v="624"/>
    <n v="203.13340249999999"/>
    <n v="659136.43700000003"/>
    <n v="722537.8"/>
    <n v="37.478999999999999"/>
    <n v="92.799287289999995"/>
  </r>
  <r>
    <n v="666"/>
    <x v="665"/>
    <n v="47.058160000000001"/>
    <n v="-123.31957"/>
    <x v="0"/>
    <x v="0"/>
    <x v="15"/>
    <n v="-8"/>
    <n v="116.94444439999999"/>
    <n v="3.1343920000000001"/>
    <s v="Moderate"/>
    <n v="1.0203742"/>
    <n v="37.560593849999997"/>
    <n v="1205.302555"/>
    <n v="1615.1055349999999"/>
    <n v="0.7462686052896228"/>
    <n v="0.17620126999999999"/>
    <n v="0.13149348"/>
    <n v="55.897865860000003"/>
    <x v="625"/>
    <n v="170.5101817"/>
    <n v="546241.38679999998"/>
    <n v="644218.19999999995"/>
    <n v="33.765124999999998"/>
    <n v="89.662990860000008"/>
  </r>
  <r>
    <n v="667"/>
    <x v="666"/>
    <n v="47.085835000000003"/>
    <n v="-123.16521"/>
    <x v="0"/>
    <x v="0"/>
    <x v="17"/>
    <n v="-8"/>
    <n v="189.94444440000001"/>
    <n v="3.2322479999999998"/>
    <s v="Moderate"/>
    <n v="1.0204473000000001"/>
    <n v="27.76704324"/>
    <n v="891.03192279999996"/>
    <n v="1193.982859"/>
    <n v="0.74626860518438987"/>
    <n v="0.1828661"/>
    <n v="0.13646722999999999"/>
    <n v="53.863640750000002"/>
    <x v="626"/>
    <n v="153.07731810000001"/>
    <n v="486033.83610000001"/>
    <n v="573178.19999999995"/>
    <n v="28.946819999999999"/>
    <n v="82.810460750000004"/>
  </r>
  <r>
    <n v="668"/>
    <x v="667"/>
    <n v="47.113354000000001"/>
    <n v="-123.0107"/>
    <x v="0"/>
    <x v="0"/>
    <x v="27"/>
    <n v="-8"/>
    <n v="76.857142859999996"/>
    <n v="3.32057"/>
    <s v="Moderate"/>
    <n v="1.0205078000000001"/>
    <n v="18.58796147"/>
    <n v="596.47931949999997"/>
    <n v="799.28234339999995"/>
    <n v="0.74626860511228954"/>
    <n v="0.1884557"/>
    <n v="0.14063856999999999"/>
    <n v="52.268496900000002"/>
    <x v="627"/>
    <n v="159.2974609"/>
    <n v="504842.09989999997"/>
    <n v="550383"/>
    <n v="26.971191000000001"/>
    <n v="79.239687900000007"/>
  </r>
  <r>
    <n v="669"/>
    <x v="668"/>
    <n v="47.140723999999999"/>
    <n v="-122.85602"/>
    <x v="0"/>
    <x v="0"/>
    <x v="27"/>
    <n v="-8"/>
    <n v="34.666666669999998"/>
    <n v="3.353367"/>
    <s v="Moderate"/>
    <n v="1.0206127"/>
    <n v="13.16168921"/>
    <n v="422.35273439999997"/>
    <n v="565.95263599999998"/>
    <n v="0.74626869376397775"/>
    <n v="0.18960689"/>
    <n v="0.14149766999999999"/>
    <n v="51.955385839999998"/>
    <x v="628"/>
    <n v="106.3042662"/>
    <n v="357991.22249999997"/>
    <n v="395892.47"/>
    <n v="19.282686000000002"/>
    <n v="71.238071840000003"/>
  </r>
  <r>
    <n v="670"/>
    <x v="669"/>
    <n v="47.167946000000001"/>
    <n v="-122.70122000000001"/>
    <x v="0"/>
    <x v="0"/>
    <x v="23"/>
    <n v="-8"/>
    <n v="42.5"/>
    <n v="3.3822990000000002"/>
    <s v="Moderate"/>
    <n v="1.0207223000000001"/>
    <n v="3.7059121579999998"/>
    <n v="118.92105359999999"/>
    <n v="159.3542228"/>
    <n v="0.74626860531492611"/>
    <n v="0.19163730000000001"/>
    <n v="0.14301293000000001"/>
    <n v="51.409267120000003"/>
    <x v="629"/>
    <n v="222.51712319999999"/>
    <n v="749858.32440000004"/>
    <n v="903668.6"/>
    <n v="43.548533999999997"/>
    <n v="94.957801119999999"/>
  </r>
  <r>
    <n v="671"/>
    <x v="670"/>
    <n v="47.195010000000003"/>
    <n v="-122.54626500000001"/>
    <x v="0"/>
    <x v="0"/>
    <x v="23"/>
    <n v="-8"/>
    <n v="82.38461538"/>
    <n v="3.3854410000000001"/>
    <s v="Moderate"/>
    <n v="1.0208088"/>
    <n v="9.0973530399999998"/>
    <n v="291.92996540000001"/>
    <n v="391.18618070000002"/>
    <n v="0.74626860508623283"/>
    <n v="0.19197813999999999"/>
    <n v="0.14326727"/>
    <n v="51.321439030000001"/>
    <x v="402"/>
    <n v="73.889733730000003"/>
    <n v="250974.07560000001"/>
    <n v="292196"/>
    <n v="14.056167"/>
    <n v="65.377606029999995"/>
  </r>
  <r>
    <n v="672"/>
    <x v="671"/>
    <n v="47.221924000000001"/>
    <n v="-122.39116"/>
    <x v="0"/>
    <x v="0"/>
    <x v="23"/>
    <n v="-8"/>
    <n v="71.555555560000002"/>
    <n v="3.3042590000000001"/>
    <s v="Moderate"/>
    <n v="1.0208997"/>
    <n v="11.966615880000001"/>
    <n v="384.00331890000001"/>
    <n v="514.56448290000003"/>
    <n v="0.74626860512373694"/>
    <n v="0.18615129999999999"/>
    <n v="0.13891887999999999"/>
    <n v="52.931617690000003"/>
    <x v="630"/>
    <n v="62.849519450000003"/>
    <n v="213890.18890000001"/>
    <n v="262887.34000000003"/>
    <n v="13.042115000000001"/>
    <n v="65.973732690000006"/>
  </r>
  <r>
    <n v="673"/>
    <x v="672"/>
    <n v="47.248683999999997"/>
    <n v="-122.235916"/>
    <x v="0"/>
    <x v="0"/>
    <x v="23"/>
    <n v="-8"/>
    <n v="105.875"/>
    <n v="3.214483"/>
    <s v="Moderate"/>
    <n v="1.0209056000000001"/>
    <n v="14.79238176"/>
    <n v="474.68087450000002"/>
    <n v="636.07241580000004"/>
    <n v="0.74626860512884385"/>
    <n v="0.18098243"/>
    <n v="0.13506151999999999"/>
    <n v="54.443603549999999"/>
    <x v="122"/>
    <n v="47.448279200000002"/>
    <n v="150032.80540000001"/>
    <n v="166302.32999999999"/>
    <n v="8.486065"/>
    <n v="62.929668550000002"/>
  </r>
  <r>
    <n v="674"/>
    <x v="673"/>
    <n v="47.275289999999998"/>
    <n v="-122.08052000000001"/>
    <x v="0"/>
    <x v="0"/>
    <x v="18"/>
    <n v="-8"/>
    <n v="151.15"/>
    <n v="3.1559051999999999"/>
    <s v="Moderate"/>
    <n v="1.0208484"/>
    <n v="28.52982158"/>
    <n v="915.50902780000001"/>
    <n v="1226.782328"/>
    <n v="0.7462685163492182"/>
    <n v="0.17691272"/>
    <n v="0.13202442"/>
    <n v="55.693552590000003"/>
    <x v="631"/>
    <n v="65.314149310000005"/>
    <n v="221977.96669999999"/>
    <n v="287634.12"/>
    <n v="15.015014000000001"/>
    <n v="70.708566590000004"/>
  </r>
  <r>
    <n v="675"/>
    <x v="674"/>
    <n v="47.301746000000001"/>
    <n v="-121.92498999999999"/>
    <x v="0"/>
    <x v="0"/>
    <x v="18"/>
    <n v="-8"/>
    <n v="405.83333329999999"/>
    <n v="3.0636988000000001"/>
    <s v="Moderate"/>
    <n v="1.0207033000000001"/>
    <n v="30.14091079"/>
    <n v="967.20826439999996"/>
    <n v="1296.059164"/>
    <n v="0.74626860506500758"/>
    <n v="0.17166518"/>
    <n v="0.12810835000000001"/>
    <n v="57.389557959999998"/>
    <x v="632"/>
    <n v="53.003792179999998"/>
    <n v="190801.86429999999"/>
    <n v="237906.7"/>
    <n v="12.798788999999999"/>
    <n v="70.18834695999999"/>
  </r>
  <r>
    <n v="676"/>
    <x v="675"/>
    <n v="47.328045000000003"/>
    <n v="-121.7693"/>
    <x v="0"/>
    <x v="0"/>
    <x v="18"/>
    <n v="-8"/>
    <n v="643.9"/>
    <n v="3.0771608000000001"/>
    <s v="Moderate"/>
    <n v="1.0204542000000001"/>
    <n v="5.4061023559999999"/>
    <n v="173.4793713"/>
    <n v="232.46240130000001"/>
    <n v="0.74626851624112511"/>
    <n v="0.17502288999999999"/>
    <n v="0.13061410000000001"/>
    <n v="56.277706510000002"/>
    <x v="633"/>
    <n v="64.625032430000005"/>
    <n v="220370.01850000001"/>
    <n v="291528.28000000003"/>
    <n v="15.382618000000001"/>
    <n v="71.660324510000009"/>
  </r>
  <r>
    <n v="677"/>
    <x v="676"/>
    <n v="47.354190000000003"/>
    <n v="-121.61348"/>
    <x v="0"/>
    <x v="0"/>
    <x v="18"/>
    <n v="-8"/>
    <n v="926"/>
    <n v="3.2077637000000001"/>
    <s v="Moderate"/>
    <n v="1.0193584"/>
    <n v="2.3328001000000001E-2"/>
    <n v="0.74858496399999996"/>
    <n v="1.00310404"/>
    <n v="0.7462685166735048"/>
    <n v="0.18362456999999999"/>
    <n v="0.13703325"/>
    <n v="89.228471429999999"/>
    <x v="634"/>
    <n v="75.236629820000005"/>
    <n v="360059.70909999998"/>
    <n v="475017.8"/>
    <n v="23.890408000000001"/>
    <n v="113.11887942999999"/>
  </r>
  <r>
    <n v="678"/>
    <x v="677"/>
    <n v="47.380184"/>
    <n v="-121.45752"/>
    <x v="0"/>
    <x v="0"/>
    <x v="28"/>
    <n v="-8"/>
    <n v="1015"/>
    <n v="3.2762937999999999"/>
    <s v="Moderate"/>
    <n v="1.0184355"/>
    <n v="0.54075601699999998"/>
    <n v="17.352617259999999"/>
    <n v="23.25250874"/>
    <n v="0.74626860499354442"/>
    <n v="0.18774809000000001"/>
    <n v="0.14011051999999999"/>
    <n v="60.907972950000001"/>
    <x v="635"/>
    <n v="83.682285660000005"/>
    <n v="424927.19"/>
    <n v="470917.66"/>
    <n v="23.164017000000001"/>
    <n v="84.071989950000003"/>
  </r>
  <r>
    <n v="679"/>
    <x v="678"/>
    <n v="47.406025"/>
    <n v="-121.30141399999999"/>
    <x v="0"/>
    <x v="0"/>
    <x v="28"/>
    <n v="-8"/>
    <n v="1038.25"/>
    <n v="3.5913496"/>
    <s v="Moderate"/>
    <n v="1.017784"/>
    <n v="0.149363989"/>
    <n v="4.7930237619999998"/>
    <n v="6.4226515219999998"/>
    <n v="0.7462686937913553"/>
    <n v="0.20880151"/>
    <n v="0.15582202000000001"/>
    <n v="63.22024545"/>
    <x v="636"/>
    <n v="88.186032409999996"/>
    <n v="452911.28629999998"/>
    <n v="585402"/>
    <n v="25.891961999999999"/>
    <n v="89.11220745"/>
  </r>
  <r>
    <n v="680"/>
    <x v="679"/>
    <n v="47.431705000000001"/>
    <n v="-121.14516399999999"/>
    <x v="0"/>
    <x v="0"/>
    <x v="28"/>
    <n v="-8"/>
    <n v="1397"/>
    <n v="3.6740002999999999"/>
    <s v="Moderate"/>
    <n v="1.0167090000000001"/>
    <n v="5.1840000000000002E-3"/>
    <n v="0.16635222399999999"/>
    <n v="0.222911995"/>
    <n v="0.74626860703480757"/>
    <n v="0.2145804"/>
    <n v="0.16013463999999999"/>
    <n v="91.117151410000005"/>
    <x v="637"/>
    <n v="88.186032409999996"/>
    <n v="452911.28629999998"/>
    <n v="675196.4"/>
    <n v="29.059253999999999"/>
    <n v="120.17640541"/>
  </r>
  <r>
    <n v="681"/>
    <x v="680"/>
    <n v="47.507828000000003"/>
    <n v="-120.6756"/>
    <x v="0"/>
    <x v="0"/>
    <x v="12"/>
    <n v="-8"/>
    <n v="663.5"/>
    <n v="3.8941127999999998"/>
    <s v="Moderate"/>
    <n v="1.0122812000000001"/>
    <n v="0.55355396999999995"/>
    <n v="17.763299929999999"/>
    <n v="23.80282072"/>
    <n v="0.74626869390629091"/>
    <n v="0.23088539999999999"/>
    <n v="0.17230250999999999"/>
    <n v="49.15591577"/>
    <x v="638"/>
    <n v="137.66703240000001"/>
    <n v="428321.94099999999"/>
    <n v="546242.80000000005"/>
    <n v="21.849105999999999"/>
    <n v="71.005021769999999"/>
  </r>
  <r>
    <n v="682"/>
    <x v="681"/>
    <n v="47.532893999999999"/>
    <n v="-120.51879"/>
    <x v="0"/>
    <x v="0"/>
    <x v="12"/>
    <n v="-8"/>
    <n v="533.375"/>
    <n v="3.9740647999999998"/>
    <s v="Moderate"/>
    <n v="1.0107481"/>
    <n v="3.6660600489999999"/>
    <n v="117.6422173"/>
    <n v="157.64058209999999"/>
    <n v="0.74626860503073467"/>
    <n v="0.23590934"/>
    <n v="0.17605175000000001"/>
    <n v="41.438545670000003"/>
    <x v="287"/>
    <n v="129.66498039999999"/>
    <n v="399869.20899999997"/>
    <n v="439932.56"/>
    <n v="17.222069999999999"/>
    <n v="58.660615669999999"/>
  </r>
  <r>
    <n v="683"/>
    <x v="682"/>
    <n v="47.557803999999997"/>
    <n v="-120.36185500000001"/>
    <x v="0"/>
    <x v="0"/>
    <x v="12"/>
    <n v="-8"/>
    <n v="593.5"/>
    <n v="4.0436544000000003"/>
    <s v="High"/>
    <n v="1.0085541"/>
    <n v="1.1051638960000001"/>
    <n v="35.464212119999999"/>
    <n v="47.522047540000003"/>
    <n v="0.74626860490700142"/>
    <n v="0.24351074"/>
    <n v="0.18172442999999999"/>
    <n v="43.089712349999999"/>
    <x v="639"/>
    <n v="119.2872012"/>
    <n v="363898.64809999999"/>
    <n v="443331.22"/>
    <n v="16.813364"/>
    <n v="59.903076349999999"/>
  </r>
  <r>
    <n v="684"/>
    <x v="683"/>
    <n v="47.582557999999999"/>
    <n v="-120.20477"/>
    <x v="0"/>
    <x v="0"/>
    <x v="20"/>
    <n v="-8"/>
    <n v="833.41176470000005"/>
    <n v="4.0994052999999999"/>
    <s v="High"/>
    <n v="1.0066651"/>
    <n v="15.14108716"/>
    <n v="485.8706737"/>
    <n v="651.06674780000003"/>
    <n v="0.74626860508817394"/>
    <n v="0.25129449999999998"/>
    <n v="0.18753323"/>
    <n v="38.777399819999999"/>
    <x v="205"/>
    <n v="123.68550639999999"/>
    <n v="371341.89110000001"/>
    <n v="421474.2"/>
    <n v="15.489322"/>
    <n v="54.266721820000001"/>
  </r>
  <r>
    <n v="685"/>
    <x v="684"/>
    <n v="47.607154999999999"/>
    <n v="-120.04756"/>
    <x v="0"/>
    <x v="0"/>
    <x v="20"/>
    <n v="-8"/>
    <n v="870.83333330000005"/>
    <n v="4.0301939999999998"/>
    <s v="High"/>
    <n v="1.0046824000000001"/>
    <n v="32.513399999999997"/>
    <n v="1043.3403760000001"/>
    <n v="1398.0762"/>
    <n v="0.74626860538788953"/>
    <n v="0.24580827"/>
    <n v="0.18343902000000001"/>
    <n v="39.581261019999999"/>
    <x v="640"/>
    <n v="134.11225970000001"/>
    <n v="417665.3112"/>
    <n v="499683.53"/>
    <n v="18.773401"/>
    <n v="58.354662019999999"/>
  </r>
  <r>
    <n v="686"/>
    <x v="685"/>
    <n v="47.631596000000002"/>
    <n v="-119.89021"/>
    <x v="0"/>
    <x v="0"/>
    <x v="20"/>
    <n v="-8"/>
    <n v="754.95"/>
    <n v="4.008661"/>
    <s v="High"/>
    <n v="1.0024434"/>
    <n v="54.290087839999998"/>
    <n v="1742.144489"/>
    <n v="2334.4737770000002"/>
    <n v="0.74626860501247771"/>
    <n v="0.24431618999999999"/>
    <n v="0.18232551"/>
    <n v="39.75298394"/>
    <x v="641"/>
    <n v="143.759896"/>
    <n v="443228.43170000002"/>
    <n v="549904.4"/>
    <n v="20.786404000000001"/>
    <n v="60.539387939999997"/>
  </r>
  <r>
    <n v="687"/>
    <x v="686"/>
    <n v="47.655884"/>
    <n v="-119.73273500000001"/>
    <x v="0"/>
    <x v="0"/>
    <x v="20"/>
    <n v="-8"/>
    <n v="725"/>
    <n v="4.0048136999999997"/>
    <s v="High"/>
    <n v="1.0001879"/>
    <n v="46.06567295"/>
    <n v="1478.2267159999999"/>
    <n v="1980.8239369999999"/>
    <n v="0.74626860489115743"/>
    <n v="0.2444095"/>
    <n v="0.18239516"/>
    <n v="39.667303799999999"/>
    <x v="642"/>
    <n v="163.3375064"/>
    <n v="460797.04670000001"/>
    <n v="555652.6"/>
    <n v="20.995667000000001"/>
    <n v="60.662970799999997"/>
  </r>
  <r>
    <n v="688"/>
    <x v="687"/>
    <n v="47.680008000000001"/>
    <n v="-119.57512"/>
    <x v="0"/>
    <x v="0"/>
    <x v="20"/>
    <n v="-8"/>
    <n v="676.94444439999995"/>
    <n v="3.9904670000000002"/>
    <s v="Moderate"/>
    <n v="0.99793829999999994"/>
    <n v="52.167725679999997"/>
    <n v="1674.038644"/>
    <n v="2243.2122039999999"/>
    <n v="0.74626851664542748"/>
    <n v="0.24369979999999999"/>
    <n v="0.18186553"/>
    <n v="39.712309490000003"/>
    <x v="643"/>
    <n v="153.3697986"/>
    <n v="432904.42200000002"/>
    <n v="482593.28000000003"/>
    <n v="18.288181000000002"/>
    <n v="58.000490490000004"/>
  </r>
  <r>
    <n v="689"/>
    <x v="688"/>
    <n v="47.703980000000001"/>
    <n v="-119.41737000000001"/>
    <x v="0"/>
    <x v="0"/>
    <x v="20"/>
    <n v="-8"/>
    <n v="686.78947370000003"/>
    <n v="3.9650397000000002"/>
    <s v="Moderate"/>
    <n v="0.99539169999999999"/>
    <n v="84.325540430000004"/>
    <n v="2705.9686470000001"/>
    <n v="3625.9982380000001"/>
    <n v="0.74626860505385606"/>
    <n v="0.24144883"/>
    <n v="0.18018569000000001"/>
    <n v="40.001962370000001"/>
    <x v="644"/>
    <n v="145.28944150000001"/>
    <n v="412267.73670000001"/>
    <n v="481251.9"/>
    <n v="18.40737"/>
    <n v="58.409332370000001"/>
  </r>
  <r>
    <n v="690"/>
    <x v="689"/>
    <n v="47.727800000000002"/>
    <n v="-119.25949"/>
    <x v="0"/>
    <x v="0"/>
    <x v="20"/>
    <n v="-8"/>
    <n v="640.33333330000005"/>
    <n v="3.9338549999999999"/>
    <s v="Moderate"/>
    <n v="0.99325739999999996"/>
    <n v="14.88488313"/>
    <n v="477.64920169999999"/>
    <n v="640.04997460000004"/>
    <n v="0.74626860503901649"/>
    <n v="0.23908468999999999"/>
    <n v="0.17842142"/>
    <n v="40.329320129999999"/>
    <x v="645"/>
    <n v="76.600973980000006"/>
    <n v="211177.75510000001"/>
    <n v="324883.25"/>
    <n v="12.549314000000001"/>
    <n v="52.878634130000002"/>
  </r>
  <r>
    <n v="691"/>
    <x v="690"/>
    <n v="47.774951999999999"/>
    <n v="-118.94333"/>
    <x v="0"/>
    <x v="0"/>
    <x v="14"/>
    <n v="-8"/>
    <n v="711"/>
    <n v="3.9384556000000002"/>
    <s v="Moderate"/>
    <n v="0.98822284000000005"/>
    <n v="26.408588600000002"/>
    <n v="847.43982549999998"/>
    <n v="1135.5693100000001"/>
    <n v="0.74626869362998183"/>
    <n v="0.23901263"/>
    <n v="0.17836763"/>
    <n v="40.180579620000003"/>
    <x v="646"/>
    <n v="94.068012920000001"/>
    <n v="257969.72459999999"/>
    <n v="357901.6"/>
    <n v="13.828885"/>
    <n v="54.009464620000003"/>
  </r>
  <r>
    <n v="692"/>
    <x v="691"/>
    <n v="47.798298000000003"/>
    <n v="-118.78505"/>
    <x v="0"/>
    <x v="0"/>
    <x v="14"/>
    <n v="-8"/>
    <n v="722.3"/>
    <n v="3.9172335"/>
    <s v="Moderate"/>
    <n v="0.98650289999999996"/>
    <n v="31.88605342"/>
    <n v="1023.209106"/>
    <n v="1371.100297"/>
    <n v="0.74626860503116066"/>
    <n v="0.23706567000000001"/>
    <n v="0.17691469000000001"/>
    <n v="40.455143880000001"/>
    <x v="647"/>
    <n v="118.86808430000001"/>
    <n v="374468.86359999998"/>
    <n v="436436.4"/>
    <n v="17.00187"/>
    <n v="57.457013880000005"/>
  </r>
  <r>
    <n v="693"/>
    <x v="692"/>
    <n v="47.821480000000001"/>
    <n v="-118.62665"/>
    <x v="0"/>
    <x v="0"/>
    <x v="14"/>
    <n v="-8"/>
    <n v="751.5"/>
    <n v="3.9014785000000001"/>
    <s v="Moderate"/>
    <n v="0.98473834999999998"/>
    <n v="24.98631284"/>
    <n v="801.79953569999998"/>
    <n v="1074.4114520000001"/>
    <n v="0.74626860520470317"/>
    <n v="0.23589257999999999"/>
    <n v="0.17603925000000001"/>
    <n v="40.59917256"/>
    <x v="191"/>
    <n v="104.85677269999999"/>
    <n v="334932.4461"/>
    <n v="374738.25"/>
    <n v="14.670947999999999"/>
    <n v="55.270120559999995"/>
  </r>
  <r>
    <n v="694"/>
    <x v="693"/>
    <n v="47.84451"/>
    <n v="-118.468124"/>
    <x v="0"/>
    <x v="0"/>
    <x v="14"/>
    <n v="-8"/>
    <n v="631.27777779999997"/>
    <n v="3.8482791999999999"/>
    <s v="Moderate"/>
    <n v="0.98313919999999999"/>
    <n v="20.325004100000001"/>
    <n v="652.22031330000004"/>
    <n v="873.97517640000001"/>
    <n v="0.74626869379353233"/>
    <n v="0.23135616000000001"/>
    <n v="0.17265384"/>
    <n v="41.342441970000003"/>
    <x v="648"/>
    <n v="94.448110349999993"/>
    <n v="308131.98349999997"/>
    <n v="381103.56"/>
    <n v="15.212702"/>
    <n v="56.555143970000003"/>
  </r>
  <r>
    <n v="695"/>
    <x v="694"/>
    <n v="47.867379999999997"/>
    <n v="-118.309456"/>
    <x v="0"/>
    <x v="0"/>
    <x v="14"/>
    <n v="-8"/>
    <n v="618.57894739999995"/>
    <n v="3.838533"/>
    <s v="Moderate"/>
    <n v="0.98167230000000005"/>
    <n v="20.683431079999998"/>
    <n v="663.72199620000004"/>
    <n v="889.38753640000004"/>
    <n v="0.74626860511961635"/>
    <n v="0.22804156"/>
    <n v="0.17018026"/>
    <n v="41.894210749999999"/>
    <x v="649"/>
    <n v="84.691285679999993"/>
    <n v="287936.92859999998"/>
    <n v="375450.44"/>
    <n v="15.204881"/>
    <n v="57.099091749999999"/>
  </r>
  <r>
    <n v="696"/>
    <x v="695"/>
    <n v="47.890090000000001"/>
    <n v="-118.15067000000001"/>
    <x v="0"/>
    <x v="0"/>
    <x v="7"/>
    <n v="-8"/>
    <n v="642.6875"/>
    <n v="3.777542"/>
    <s v="Moderate"/>
    <n v="0.98052620000000001"/>
    <n v="31.45861824"/>
    <n v="1009.493023"/>
    <n v="1352.7205839999999"/>
    <n v="0.74626869357966397"/>
    <n v="0.22312245"/>
    <n v="0.1665093"/>
    <n v="42.778600470000001"/>
    <x v="650"/>
    <n v="52.297681779999998"/>
    <n v="184428.9541"/>
    <n v="356629.2"/>
    <n v="14.761077"/>
    <n v="57.539677470000001"/>
  </r>
  <r>
    <n v="697"/>
    <x v="696"/>
    <n v="47.912643000000003"/>
    <n v="-117.99176"/>
    <x v="0"/>
    <x v="0"/>
    <x v="7"/>
    <n v="-8"/>
    <n v="750.15789470000004"/>
    <n v="3.7165222"/>
    <s v="Moderate"/>
    <n v="0.97984236000000002"/>
    <n v="62.235377049999997"/>
    <n v="1997.1050069999999"/>
    <n v="2676.1212129999999"/>
    <n v="0.74626851627591051"/>
    <n v="0.21958558"/>
    <n v="0.16386983999999999"/>
    <n v="43.443847910000002"/>
    <x v="651"/>
    <n v="56.981428530000002"/>
    <n v="208086.2775"/>
    <n v="338436.75"/>
    <n v="14.23371"/>
    <n v="57.677557910000004"/>
  </r>
  <r>
    <n v="698"/>
    <x v="697"/>
    <n v="47.935029999999998"/>
    <n v="-117.83271999999999"/>
    <x v="0"/>
    <x v="0"/>
    <x v="7"/>
    <n v="-8"/>
    <n v="681.11111110000002"/>
    <n v="3.7115146999999999"/>
    <s v="Moderate"/>
    <n v="0.97930799999999996"/>
    <n v="72.157797950000003"/>
    <n v="2315.5109910000001"/>
    <n v="3102.785312"/>
    <n v="0.74626851624080404"/>
    <n v="0.21877015"/>
    <n v="0.16326130999999999"/>
    <n v="43.587115619999999"/>
    <x v="652"/>
    <n v="56.981428530000002"/>
    <n v="208086.2775"/>
    <n v="254013.4"/>
    <n v="10.722918"/>
    <n v="54.310033619999999"/>
  </r>
  <r>
    <n v="699"/>
    <x v="698"/>
    <n v="47.957267999999999"/>
    <n v="-117.67354"/>
    <x v="0"/>
    <x v="0"/>
    <x v="7"/>
    <n v="-8"/>
    <n v="739.31578950000005"/>
    <n v="3.7047119999999998"/>
    <s v="Moderate"/>
    <n v="0.97890955000000002"/>
    <n v="19.851642550000001"/>
    <n v="637.03027669999994"/>
    <n v="853.62062979999996"/>
    <n v="0.74626860511706905"/>
    <n v="0.21784152000000001"/>
    <n v="0.1625683"/>
    <n v="43.758952749999999"/>
    <x v="653"/>
    <n v="67.302740209999996"/>
    <n v="238264.0073"/>
    <n v="337070.12"/>
    <n v="14.289728999999999"/>
    <n v="58.04868175"/>
  </r>
  <r>
    <n v="700"/>
    <x v="699"/>
    <n v="47.979340000000001"/>
    <n v="-117.51425"/>
    <x v="0"/>
    <x v="0"/>
    <x v="29"/>
    <n v="-8"/>
    <n v="677.94736839999996"/>
    <n v="3.6785882000000001"/>
    <s v="Moderate"/>
    <n v="0.97880137"/>
    <n v="36.039407519999997"/>
    <n v="1156.4885079999999"/>
    <n v="1549.6945229999999"/>
    <n v="0.74626869414314889"/>
    <n v="0.21514183000000001"/>
    <n v="0.16055362000000001"/>
    <n v="44.304217149999999"/>
    <x v="654"/>
    <n v="57.627324649999998"/>
    <n v="212223.72440000001"/>
    <n v="242022.6"/>
    <n v="10.389041000000001"/>
    <n v="54.693258149999998"/>
  </r>
  <r>
    <n v="701"/>
    <x v="700"/>
    <n v="48.001260000000002"/>
    <n v="-117.35484"/>
    <x v="0"/>
    <x v="0"/>
    <x v="29"/>
    <n v="-8"/>
    <n v="639.27777779999997"/>
    <n v="3.6444728"/>
    <s v="Moderate"/>
    <n v="0.97886335999999996"/>
    <n v="48.440024999999999"/>
    <n v="1554.4186050000001"/>
    <n v="2082.9210750000002"/>
    <n v="0.74626860501663506"/>
    <n v="0.21306641000000001"/>
    <n v="0.1590048"/>
    <n v="44.737983810000003"/>
    <x v="655"/>
    <n v="56.080331139999998"/>
    <n v="184827.50330000001"/>
    <n v="257982.45"/>
    <n v="11.182002000000001"/>
    <n v="55.91998581"/>
  </r>
  <r>
    <n v="702"/>
    <x v="701"/>
    <n v="48.023014000000003"/>
    <n v="-117.1953"/>
    <x v="0"/>
    <x v="0"/>
    <x v="29"/>
    <n v="-8"/>
    <n v="759.65"/>
    <n v="3.6179787999999999"/>
    <s v="Moderate"/>
    <n v="0.97905933999999994"/>
    <n v="39.206024999999997"/>
    <n v="1258.1036999999999"/>
    <n v="1685.8590750000001"/>
    <n v="0.7462686049247621"/>
    <n v="0.21086131"/>
    <n v="0.1573592"/>
    <n v="45.212940959999997"/>
    <x v="656"/>
    <n v="67.024149309999999"/>
    <n v="231340.83439999999"/>
    <n v="332074.44"/>
    <n v="14.54397"/>
    <n v="59.756910959999999"/>
  </r>
  <r>
    <n v="703"/>
    <x v="702"/>
    <n v="48.044609999999999"/>
    <n v="-117.035645"/>
    <x v="0"/>
    <x v="1"/>
    <x v="13"/>
    <n v="-8"/>
    <n v="827.66666669999995"/>
    <n v="3.592047"/>
    <s v="Moderate"/>
    <n v="0.97943515000000003"/>
    <n v="33.807129789999998"/>
    <n v="1084.8555819999999"/>
    <n v="1453.7065809999999"/>
    <n v="0.74626860480588275"/>
    <n v="0.20798675999999999"/>
    <n v="0.15521399999999999"/>
    <n v="45.85162073"/>
    <x v="657"/>
    <n v="310.7389609"/>
    <n v="1123197.115"/>
    <n v="1192295"/>
    <n v="52.941035999999997"/>
    <n v="98.792656730000004"/>
  </r>
  <r>
    <n v="704"/>
    <x v="703"/>
    <n v="48.066048000000002"/>
    <n v="-116.875854"/>
    <x v="0"/>
    <x v="1"/>
    <x v="13"/>
    <n v="-8"/>
    <n v="838.78947370000003"/>
    <n v="3.5246810000000002"/>
    <s v="Moderate"/>
    <n v="0.97991189999999995"/>
    <n v="31.002749999999999"/>
    <n v="994.86429680000003"/>
    <n v="1333.11825"/>
    <n v="0.74626860505435288"/>
    <n v="0.20357963000000001"/>
    <n v="0.15192509000000001"/>
    <n v="46.86212184"/>
    <x v="658"/>
    <n v="320.90101279999999"/>
    <n v="1148183.9890000001"/>
    <n v="1270601"/>
    <n v="57.639378000000001"/>
    <n v="104.50149984000001"/>
  </r>
  <r>
    <n v="705"/>
    <x v="704"/>
    <n v="48.087322"/>
    <n v="-116.71596"/>
    <x v="0"/>
    <x v="1"/>
    <x v="13"/>
    <n v="-8"/>
    <n v="802.94117649999998"/>
    <n v="3.5184758"/>
    <s v="Moderate"/>
    <n v="0.98043764"/>
    <n v="28.257174320000001"/>
    <n v="906.76000859999999"/>
    <n v="1215.0584960000001"/>
    <n v="0.74626860483266799"/>
    <n v="0.20367673"/>
    <n v="0.15199753999999999"/>
    <n v="46.859507489999999"/>
    <x v="659"/>
    <n v="310.12440249999997"/>
    <n v="1139118.669"/>
    <n v="1292984.5"/>
    <n v="58.626820000000002"/>
    <n v="105.48632749000001"/>
  </r>
  <r>
    <n v="706"/>
    <x v="705"/>
    <n v="48.108437000000002"/>
    <n v="-116.55594000000001"/>
    <x v="0"/>
    <x v="1"/>
    <x v="13"/>
    <n v="-8"/>
    <n v="840.73333330000003"/>
    <n v="3.5085537000000002"/>
    <s v="Moderate"/>
    <n v="0.98025530000000005"/>
    <n v="11.946283810000001"/>
    <n v="383.3509631"/>
    <n v="513.69020399999999"/>
    <n v="0.74626878245861972"/>
    <n v="0.20286787000000001"/>
    <n v="0.15139391999999999"/>
    <n v="47.039478840000001"/>
    <x v="660"/>
    <n v="355.7647336"/>
    <n v="1369717.702"/>
    <n v="1493572.5"/>
    <n v="67.99194"/>
    <n v="115.03141884"/>
  </r>
  <r>
    <n v="707"/>
    <x v="706"/>
    <n v="48.129390000000001"/>
    <n v="-116.39579999999999"/>
    <x v="0"/>
    <x v="1"/>
    <x v="13"/>
    <n v="-8"/>
    <n v="926.66666669999995"/>
    <n v="3.4722059000000001"/>
    <s v="Moderate"/>
    <n v="0.98068624999999998"/>
    <n v="0.70826401999999999"/>
    <n v="22.72787099"/>
    <n v="30.455352850000001"/>
    <n v="0.74626851647197379"/>
    <n v="0.19984742"/>
    <n v="0.14913988"/>
    <n v="53.86940019"/>
    <x v="131"/>
    <n v="287.3985323"/>
    <n v="1027741.527"/>
    <n v="1171999"/>
    <n v="54.159309999999998"/>
    <n v="108.02871019"/>
  </r>
  <r>
    <n v="708"/>
    <x v="707"/>
    <n v="48.150185"/>
    <n v="-116.235535"/>
    <x v="0"/>
    <x v="1"/>
    <x v="13"/>
    <n v="-8"/>
    <n v="843.53846150000004"/>
    <n v="3.4350135000000002"/>
    <s v="Moderate"/>
    <n v="0.98121069999999999"/>
    <n v="3.1019756840000001"/>
    <n v="99.541015689999995"/>
    <n v="133.3849544"/>
    <n v="0.74626869378005345"/>
    <n v="0.19691824999999999"/>
    <n v="0.14695393000000001"/>
    <n v="48.497771749999998"/>
    <x v="661"/>
    <n v="301.15153880000003"/>
    <n v="1107427.6329999999"/>
    <n v="1169456.6000000001"/>
    <n v="54.845694999999999"/>
    <n v="103.34346675"/>
  </r>
  <r>
    <n v="709"/>
    <x v="708"/>
    <n v="48.170822000000001"/>
    <n v="-116.075165"/>
    <x v="0"/>
    <x v="1"/>
    <x v="13"/>
    <n v="-8"/>
    <n v="1133.4000000000001"/>
    <n v="3.4109848"/>
    <s v="Moderate"/>
    <n v="0.98155486999999997"/>
    <n v="5.0812114749999999"/>
    <n v="163.05377039999999"/>
    <n v="218.49209339999999"/>
    <n v="0.74626851646065107"/>
    <n v="0.19617093999999999"/>
    <n v="0.14639622999999999"/>
    <n v="48.695919680000003"/>
    <x v="662"/>
    <n v="316.92027259999998"/>
    <n v="1156053.932"/>
    <n v="1290168.1000000001"/>
    <n v="60.737380000000002"/>
    <n v="109.43329968"/>
  </r>
  <r>
    <n v="710"/>
    <x v="709"/>
    <n v="48.191290000000002"/>
    <n v="-115.914665"/>
    <x v="0"/>
    <x v="2"/>
    <x v="30"/>
    <n v="-7"/>
    <n v="1023.2"/>
    <n v="3.4025979999999998"/>
    <s v="Moderate"/>
    <n v="0.98207250000000001"/>
    <n v="1.9119239459999999"/>
    <n v="61.352786379999998"/>
    <n v="82.212729659999994"/>
    <n v="0.74626869383526562"/>
    <n v="0.19408573000000001"/>
    <n v="0.14484011999999999"/>
    <n v="49.912298470000003"/>
    <x v="663"/>
    <n v="250.5344479"/>
    <n v="915569.31559999997"/>
    <n v="1146129"/>
    <n v="54.53613"/>
    <n v="104.44842847000001"/>
  </r>
  <r>
    <n v="711"/>
    <x v="710"/>
    <n v="48.211599999999997"/>
    <n v="-115.75406"/>
    <x v="0"/>
    <x v="2"/>
    <x v="14"/>
    <n v="-7"/>
    <n v="1134.2"/>
    <n v="3.4104934"/>
    <s v="Moderate"/>
    <n v="0.98233280000000001"/>
    <n v="1.4113439210000001"/>
    <n v="45.289391340000002"/>
    <n v="60.687788599999998"/>
    <n v="0.74626860501554015"/>
    <n v="0.19526461000000001"/>
    <n v="0.14571983999999999"/>
    <n v="51.250853560000003"/>
    <x v="664"/>
    <n v="240.89055830000001"/>
    <n v="866864.88439999998"/>
    <n v="1162931"/>
    <n v="55.001536999999999"/>
    <n v="106.25239056000001"/>
  </r>
  <r>
    <n v="712"/>
    <x v="711"/>
    <n v="48.231749999999998"/>
    <n v="-115.59332999999999"/>
    <x v="0"/>
    <x v="2"/>
    <x v="14"/>
    <n v="-7"/>
    <n v="1051.9000000000001"/>
    <n v="3.4848607"/>
    <s v="Moderate"/>
    <n v="0.98269415000000004"/>
    <n v="8.9712364749999995"/>
    <n v="287.88290740000002"/>
    <n v="385.76316839999998"/>
    <n v="0.74626851649427717"/>
    <n v="0.19877075"/>
    <n v="0.14833637999999999"/>
    <n v="48.102784649999997"/>
    <x v="665"/>
    <n v="305.93497389999999"/>
    <n v="1295964.9110000001"/>
    <n v="1472119.4"/>
    <n v="68.396675000000002"/>
    <n v="116.49945965000001"/>
  </r>
  <r>
    <n v="713"/>
    <x v="712"/>
    <n v="48.251739999999998"/>
    <n v="-115.432495"/>
    <x v="0"/>
    <x v="2"/>
    <x v="14"/>
    <n v="-7"/>
    <n v="1146.3529410000001"/>
    <n v="3.5246751000000001"/>
    <s v="Moderate"/>
    <n v="0.98300880000000002"/>
    <n v="16.29363549"/>
    <n v="522.85549309999999"/>
    <n v="700.62632589999998"/>
    <n v="0.74626869384098315"/>
    <n v="0.20166455"/>
    <n v="0.15049593"/>
    <n v="47.42445506"/>
    <x v="666"/>
    <n v="305.93497389999999"/>
    <n v="1295964.9110000001"/>
    <n v="1458503.6"/>
    <n v="66.791679999999999"/>
    <n v="114.21613506"/>
  </r>
  <r>
    <n v="714"/>
    <x v="713"/>
    <n v="48.271563999999998"/>
    <n v="-115.27153"/>
    <x v="0"/>
    <x v="2"/>
    <x v="14"/>
    <n v="-7"/>
    <n v="1087.0769230000001"/>
    <n v="3.5440938000000002"/>
    <s v="Moderate"/>
    <n v="0.98326789999999997"/>
    <n v="7.7037481379999999"/>
    <n v="247.20981119999999"/>
    <n v="331.26116999999999"/>
    <n v="0.74626860491979785"/>
    <n v="0.20380163000000001"/>
    <n v="0.15209076999999999"/>
    <n v="46.93686873"/>
    <x v="258"/>
    <n v="285.9117531"/>
    <n v="1181860.8600000001"/>
    <n v="1340945.6000000001"/>
    <n v="60.764220000000002"/>
    <n v="107.70108873000001"/>
  </r>
  <r>
    <n v="715"/>
    <x v="714"/>
    <n v="48.291229999999999"/>
    <n v="-115.11047000000001"/>
    <x v="0"/>
    <x v="2"/>
    <x v="14"/>
    <n v="-7"/>
    <n v="1171.5999999999999"/>
    <n v="3.543342"/>
    <s v="Moderate"/>
    <n v="0.98351544000000002"/>
    <n v="20.287098629999999"/>
    <n v="651.00386630000003"/>
    <n v="872.34524120000003"/>
    <n v="0.74626860508171933"/>
    <n v="0.20384578"/>
    <n v="0.15212371999999999"/>
    <n v="46.93598094"/>
    <x v="667"/>
    <n v="257.24743489999997"/>
    <n v="1062509.5109999999"/>
    <n v="1149682.8"/>
    <n v="52.085963999999997"/>
    <n v="99.021944939999997"/>
  </r>
  <r>
    <n v="716"/>
    <x v="715"/>
    <n v="48.31073"/>
    <n v="-114.94929500000001"/>
    <x v="0"/>
    <x v="2"/>
    <x v="14"/>
    <n v="-7"/>
    <n v="1132"/>
    <n v="3.531593"/>
    <s v="Moderate"/>
    <n v="0.9836935"/>
    <n v="16.56255509"/>
    <n v="531.48500320000005"/>
    <n v="712.18986889999996"/>
    <n v="0.74626869379775884"/>
    <n v="0.20388211000000001"/>
    <n v="0.15215081999999999"/>
    <n v="46.934296670000002"/>
    <x v="668"/>
    <n v="258.5974349"/>
    <n v="1067886.43"/>
    <n v="1188555.6000000001"/>
    <n v="53.837490000000003"/>
    <n v="100.77178667000001"/>
  </r>
  <r>
    <n v="717"/>
    <x v="716"/>
    <n v="48.330069999999999"/>
    <n v="-114.78801"/>
    <x v="0"/>
    <x v="2"/>
    <x v="16"/>
    <n v="-7"/>
    <n v="1502.25"/>
    <n v="3.5193705999999998"/>
    <s v="Moderate"/>
    <n v="0.9838886"/>
    <n v="0.35153995100000002"/>
    <n v="11.28076151"/>
    <n v="15.11621787"/>
    <n v="0.7462687827745631"/>
    <n v="0.2053576"/>
    <n v="0.15325192000000001"/>
    <n v="56.767212319999999"/>
    <x v="669"/>
    <n v="227.35354530000001"/>
    <n v="938952.87809999997"/>
    <n v="1107191.6000000001"/>
    <n v="49.791640000000001"/>
    <n v="106.55885232"/>
  </r>
  <r>
    <n v="718"/>
    <x v="717"/>
    <n v="48.349243000000001"/>
    <n v="-114.62661"/>
    <x v="0"/>
    <x v="2"/>
    <x v="16"/>
    <n v="-7"/>
    <n v="1352.166667"/>
    <n v="3.5077552999999999"/>
    <s v="Moderate"/>
    <n v="0.98351080000000002"/>
    <n v="3.0822121579999999"/>
    <n v="98.906801220000006"/>
    <n v="132.53512280000001"/>
    <n v="0.74626860510970905"/>
    <n v="0.20413816000000001"/>
    <n v="0.15234191999999999"/>
    <n v="46.868577809999998"/>
    <x v="670"/>
    <n v="224.85803240000001"/>
    <n v="825191.58900000004"/>
    <n v="1021200.6"/>
    <n v="46.198864"/>
    <n v="93.067441809999991"/>
  </r>
  <r>
    <n v="719"/>
    <x v="718"/>
    <n v="48.368259999999999"/>
    <n v="-114.46510000000001"/>
    <x v="0"/>
    <x v="2"/>
    <x v="16"/>
    <n v="-7"/>
    <n v="1044.8"/>
    <n v="3.4811535"/>
    <s v="Moderate"/>
    <n v="0.98120534000000004"/>
    <n v="30.601556760000001"/>
    <n v="981.99018639999997"/>
    <n v="1315.866941"/>
    <n v="0.74626860498047876"/>
    <n v="0.20089413"/>
    <n v="0.14992099"/>
    <n v="47.537748909999998"/>
    <x v="337"/>
    <n v="224.73075309999999"/>
    <n v="824835.63289999997"/>
    <n v="896093"/>
    <n v="41.193644999999997"/>
    <n v="88.731393909999994"/>
  </r>
  <r>
    <n v="720"/>
    <x v="719"/>
    <n v="48.387107999999998"/>
    <n v="-114.30347999999999"/>
    <x v="0"/>
    <x v="2"/>
    <x v="16"/>
    <n v="-7"/>
    <n v="1035.1052629999999"/>
    <n v="3.4549832"/>
    <s v="Moderate"/>
    <n v="0.98127746999999999"/>
    <n v="47.768290579999999"/>
    <n v="1532.86295"/>
    <n v="2054.0364949999998"/>
    <n v="0.7462686051252464"/>
    <n v="0.19852719999999999"/>
    <n v="0.14815463000000001"/>
    <n v="48.107294889999999"/>
    <x v="671"/>
    <n v="212.7931882"/>
    <n v="761389.42660000001"/>
    <n v="812808.44"/>
    <n v="37.810516"/>
    <n v="85.917810889999998"/>
  </r>
  <r>
    <n v="721"/>
    <x v="720"/>
    <n v="48.405799999999999"/>
    <n v="-114.14176"/>
    <x v="0"/>
    <x v="2"/>
    <x v="16"/>
    <n v="-7"/>
    <n v="1104.625"/>
    <n v="3.4223547000000001"/>
    <s v="Moderate"/>
    <n v="0.98136000000000001"/>
    <n v="29.574638530000001"/>
    <n v="949.03684220000002"/>
    <n v="1271.7094569999999"/>
    <n v="0.74626860481072921"/>
    <n v="0.19619101"/>
    <n v="0.14641121000000001"/>
    <n v="48.683351430000002"/>
    <x v="556"/>
    <n v="204.14304540000001"/>
    <n v="740732.24109999998"/>
    <n v="771872.44"/>
    <n v="36.333799999999997"/>
    <n v="85.017151429999998"/>
  </r>
  <r>
    <n v="722"/>
    <x v="721"/>
    <n v="48.424323999999999"/>
    <n v="-113.979935"/>
    <x v="0"/>
    <x v="2"/>
    <x v="16"/>
    <n v="-7"/>
    <n v="1103.0999999999999"/>
    <n v="3.3906635999999999"/>
    <s v="Moderate"/>
    <n v="0.98144673999999998"/>
    <n v="15.143112159999999"/>
    <n v="485.935655"/>
    <n v="651.15382279999994"/>
    <n v="0.74626860502860592"/>
    <n v="0.19356622000000001"/>
    <n v="0.14445240000000001"/>
    <n v="49.346924639999997"/>
    <x v="672"/>
    <n v="207.1913505"/>
    <n v="760555.15359999996"/>
    <n v="900283.94"/>
    <n v="42.953082999999999"/>
    <n v="92.30000763999999"/>
  </r>
  <r>
    <n v="723"/>
    <x v="722"/>
    <n v="48.442680000000003"/>
    <n v="-113.81798999999999"/>
    <x v="0"/>
    <x v="2"/>
    <x v="16"/>
    <n v="-7"/>
    <n v="1228"/>
    <n v="3.2080000000000002"/>
    <s v="Moderate"/>
    <n v="0.98157053999999999"/>
    <n v="7.1279999999999998E-3"/>
    <n v="0.228734311"/>
    <n v="0.306503998"/>
    <n v="0.74626860495307468"/>
    <n v="0.1824943"/>
    <n v="0.13618975999999999"/>
    <n v="99.942554020000003"/>
    <x v="673"/>
    <n v="205.8285583"/>
    <n v="751165.98129999998"/>
    <n v="1038814.4"/>
    <n v="52.569405000000003"/>
    <n v="152.51195902000001"/>
  </r>
  <r>
    <n v="724"/>
    <x v="723"/>
    <n v="48.460880000000003"/>
    <n v="-113.655945"/>
    <x v="0"/>
    <x v="2"/>
    <x v="16"/>
    <n v="-7"/>
    <n v="1290"/>
    <n v="3.286"/>
    <s v="Moderate"/>
    <n v="0.98165643000000002"/>
    <n v="1.8467999999999998E-2"/>
    <n v="0.59262980200000004"/>
    <n v="0.79412399"/>
    <n v="0.74626860473010015"/>
    <n v="0.18724477"/>
    <n v="0.13973490999999999"/>
    <n v="87.025247820000004"/>
    <x v="674"/>
    <n v="208.71230510000001"/>
    <n v="771585.42350000003"/>
    <n v="1214606.8999999999"/>
    <n v="59.906016999999999"/>
    <n v="146.93126482"/>
  </r>
  <r>
    <n v="725"/>
    <x v="724"/>
    <n v="48.496780000000001"/>
    <n v="-113.33154"/>
    <x v="0"/>
    <x v="2"/>
    <x v="19"/>
    <n v="-7"/>
    <n v="1615"/>
    <n v="3.6468828000000002"/>
    <s v="Moderate"/>
    <n v="0.98192656"/>
    <n v="9.1795682369999998"/>
    <n v="294.56821409999998"/>
    <n v="394.72143419999998"/>
    <n v="0.74626860509111925"/>
    <n v="0.2180684"/>
    <n v="0.16273762"/>
    <n v="43.819107539999997"/>
    <x v="675"/>
    <n v="239.35616870000001"/>
    <n v="641928.82299999997"/>
    <n v="863192.25"/>
    <n v="36.556040000000003"/>
    <n v="80.37514754"/>
  </r>
  <r>
    <n v="726"/>
    <x v="725"/>
    <n v="48.514490000000002"/>
    <n v="-113.1692"/>
    <x v="0"/>
    <x v="2"/>
    <x v="19"/>
    <n v="-7"/>
    <n v="1512.0526319999999"/>
    <n v="3.7009167999999999"/>
    <s v="Moderate"/>
    <n v="0.98202259999999997"/>
    <n v="74.228004490000004"/>
    <n v="2381.942697"/>
    <n v="3191.8041929999999"/>
    <n v="0.74626842781392388"/>
    <n v="0.22230955999999999"/>
    <n v="0.16590263999999999"/>
    <n v="42.986436410000003"/>
    <x v="676"/>
    <n v="239.31888950000001"/>
    <n v="641934.87360000005"/>
    <n v="754368.3"/>
    <n v="31.337886999999998"/>
    <n v="74.324323410000005"/>
  </r>
  <r>
    <n v="727"/>
    <x v="726"/>
    <n v="48.532029999999999"/>
    <n v="-113.006744"/>
    <x v="0"/>
    <x v="2"/>
    <x v="19"/>
    <n v="-7"/>
    <n v="1387.058824"/>
    <n v="3.7355075000000002"/>
    <s v="Moderate"/>
    <n v="0.98215823999999996"/>
    <n v="85.216540429999995"/>
    <n v="2734.5601109999998"/>
    <n v="3664.3112379999998"/>
    <n v="0.74626851634266111"/>
    <n v="0.22540500999999999"/>
    <n v="0.16821269999999999"/>
    <n v="42.400712329999998"/>
    <x v="677"/>
    <n v="239.1016103"/>
    <n v="641308.08100000001"/>
    <n v="723263.9"/>
    <n v="29.633137000000001"/>
    <n v="72.033849329999995"/>
  </r>
  <r>
    <n v="728"/>
    <x v="727"/>
    <n v="48.549404000000003"/>
    <n v="-112.84417999999999"/>
    <x v="0"/>
    <x v="2"/>
    <x v="19"/>
    <n v="-7"/>
    <n v="1294.5714290000001"/>
    <n v="3.7495432000000002"/>
    <s v="Moderate"/>
    <n v="0.98229694000000001"/>
    <n v="103.7998863"/>
    <n v="3330.8912479999999"/>
    <n v="4463.3951120000002"/>
    <n v="0.74626851632399238"/>
    <n v="0.22788887999999999"/>
    <n v="0.17006634000000001"/>
    <n v="41.943216640000003"/>
    <x v="678"/>
    <n v="225.87690900000001"/>
    <n v="607913.74840000004"/>
    <n v="679435.56"/>
    <n v="27.534013999999999"/>
    <n v="69.477230640000002"/>
  </r>
  <r>
    <n v="729"/>
    <x v="728"/>
    <n v="48.56662"/>
    <n v="-112.68152000000001"/>
    <x v="0"/>
    <x v="2"/>
    <x v="19"/>
    <n v="-7"/>
    <n v="1249"/>
    <n v="3.7653606000000002"/>
    <s v="Moderate"/>
    <n v="0.98242490000000005"/>
    <n v="90.653902729999999"/>
    <n v="2909.042946"/>
    <n v="3898.1178180000002"/>
    <n v="0.74626860495779912"/>
    <n v="0.23010074999999999"/>
    <n v="0.17171697"/>
    <n v="41.544287249999996"/>
    <x v="679"/>
    <n v="214.65404530000001"/>
    <n v="578240.55799999996"/>
    <n v="636761.30000000005"/>
    <n v="25.556597"/>
    <n v="67.100884249999993"/>
  </r>
  <r>
    <n v="730"/>
    <x v="729"/>
    <n v="48.583663999999999"/>
    <n v="-112.51877"/>
    <x v="0"/>
    <x v="2"/>
    <x v="19"/>
    <n v="-7"/>
    <n v="1204.6500000000001"/>
    <n v="3.7760414999999998"/>
    <s v="Moderate"/>
    <n v="0.98257494000000001"/>
    <n v="50.422333889999997"/>
    <n v="1618.0301979999999"/>
    <n v="2168.1603570000002"/>
    <n v="0.74626869399955542"/>
    <n v="0.23060449999999999"/>
    <n v="0.17209290999999999"/>
    <n v="41.458502439999997"/>
    <x v="4"/>
    <n v="202.58390249999999"/>
    <n v="549222.33970000001"/>
    <n v="595491.5"/>
    <n v="23.848013000000002"/>
    <n v="65.306515439999998"/>
  </r>
  <r>
    <n v="731"/>
    <x v="730"/>
    <n v="48.600548000000003"/>
    <n v="-112.35590999999999"/>
    <x v="0"/>
    <x v="2"/>
    <x v="19"/>
    <n v="-7"/>
    <n v="1167.8888890000001"/>
    <n v="3.7650502000000001"/>
    <s v="Moderate"/>
    <n v="0.98264074000000001"/>
    <n v="62.43577295"/>
    <n v="2003.5358590000001"/>
    <n v="2684.738237"/>
    <n v="0.74626860503123238"/>
    <n v="0.22965553"/>
    <n v="0.1713847"/>
    <n v="41.632012850000002"/>
    <x v="125"/>
    <n v="188.94273369999999"/>
    <n v="509752.54920000001"/>
    <n v="545559.4"/>
    <n v="21.938631000000001"/>
    <n v="63.570643850000003"/>
  </r>
  <r>
    <n v="732"/>
    <x v="731"/>
    <n v="48.617263999999999"/>
    <n v="-112.19296"/>
    <x v="0"/>
    <x v="2"/>
    <x v="21"/>
    <n v="-7"/>
    <n v="1121.823529"/>
    <n v="3.7627269999999999"/>
    <s v="Moderate"/>
    <n v="0.98274963999999998"/>
    <n v="48.883820360000001"/>
    <n v="1568.659985"/>
    <n v="2102.0042760000001"/>
    <n v="0.74626869360374215"/>
    <n v="0.22963116"/>
    <n v="0.17136654000000001"/>
    <n v="41.64004181"/>
    <x v="680"/>
    <n v="184.404357"/>
    <n v="494989.69040000002"/>
    <n v="570257.1"/>
    <n v="22.934238000000001"/>
    <n v="64.574279810000007"/>
  </r>
  <r>
    <n v="733"/>
    <x v="732"/>
    <n v="48.633811999999999"/>
    <n v="-112.02991"/>
    <x v="0"/>
    <x v="2"/>
    <x v="21"/>
    <n v="-7"/>
    <n v="1039.2857140000001"/>
    <n v="3.739455"/>
    <s v="Moderate"/>
    <n v="0.98278546"/>
    <n v="51.569298629999999"/>
    <n v="1654.8355879999999"/>
    <n v="2217.4798409999999"/>
    <n v="0.74626860519901339"/>
    <n v="0.22758734"/>
    <n v="0.16984126999999999"/>
    <n v="42.01519476"/>
    <x v="681"/>
    <n v="181.7767207"/>
    <n v="482091.22039999999"/>
    <n v="585080.1"/>
    <n v="23.741689999999998"/>
    <n v="65.756884759999991"/>
  </r>
  <r>
    <n v="734"/>
    <x v="733"/>
    <n v="48.650199999999998"/>
    <n v="-111.86676"/>
    <x v="0"/>
    <x v="2"/>
    <x v="21"/>
    <n v="-7"/>
    <n v="1048.8125"/>
    <n v="3.7407859999999999"/>
    <s v="Moderate"/>
    <n v="0.98285149999999999"/>
    <n v="54.479381840000002"/>
    <n v="1748.218848"/>
    <n v="2342.6134189999998"/>
    <n v="0.74626860489267954"/>
    <n v="0.22753109999999999"/>
    <n v="0.16979933999999999"/>
    <n v="42.02779134"/>
    <x v="682"/>
    <n v="170.51657779999999"/>
    <n v="450270.60940000002"/>
    <n v="566308.06000000006"/>
    <n v="22.985627999999998"/>
    <n v="65.013419339999999"/>
  </r>
  <r>
    <n v="735"/>
    <x v="734"/>
    <n v="48.666420000000002"/>
    <n v="-111.70352"/>
    <x v="0"/>
    <x v="2"/>
    <x v="21"/>
    <n v="-7"/>
    <n v="1046.7894739999999"/>
    <n v="3.7668993"/>
    <s v="Moderate"/>
    <n v="0.98287029999999997"/>
    <n v="43.331108200000003"/>
    <n v="1390.475929"/>
    <n v="1863.2376529999999"/>
    <n v="0.7462686935084174"/>
    <n v="0.22942583"/>
    <n v="0.17121330000000001"/>
    <n v="41.681335199999999"/>
    <x v="683"/>
    <n v="180.4267207"/>
    <n v="475197.54840000003"/>
    <n v="613614.9"/>
    <n v="24.700057999999999"/>
    <n v="66.381393199999991"/>
  </r>
  <r>
    <n v="736"/>
    <x v="735"/>
    <n v="48.682471999999997"/>
    <n v="-111.54019"/>
    <x v="0"/>
    <x v="2"/>
    <x v="21"/>
    <n v="-7"/>
    <n v="1024.294118"/>
    <n v="3.7687770999999999"/>
    <s v="Moderate"/>
    <n v="0.98280230000000002"/>
    <n v="63.886558890000003"/>
    <n v="2050.0909270000002"/>
    <n v="2747.1220320000002"/>
    <n v="0.74626860515091964"/>
    <n v="0.22964728000000001"/>
    <n v="0.17137854"/>
    <n v="41.638880530000002"/>
    <x v="684"/>
    <n v="186.37951290000001"/>
    <n v="488631.32030000002"/>
    <n v="634927.4"/>
    <n v="25.533311999999999"/>
    <n v="67.172192530000004"/>
  </r>
  <r>
    <n v="737"/>
    <x v="736"/>
    <n v="48.698360000000001"/>
    <n v="-111.37676"/>
    <x v="0"/>
    <x v="2"/>
    <x v="21"/>
    <n v="-7"/>
    <n v="1064.176471"/>
    <n v="3.7694646999999999"/>
    <s v="Moderate"/>
    <n v="0.98276204"/>
    <n v="46.136785250000003"/>
    <n v="1480.5088539999999"/>
    <n v="1983.881766"/>
    <n v="0.74626869371609517"/>
    <n v="0.22993775"/>
    <n v="0.17159534000000001"/>
    <n v="41.584940809999999"/>
    <x v="685"/>
    <n v="202.84156479999999"/>
    <n v="530633.04350000003"/>
    <n v="694650.1"/>
    <n v="27.899747999999999"/>
    <n v="69.484688809999994"/>
  </r>
  <r>
    <n v="738"/>
    <x v="737"/>
    <n v="48.714084999999997"/>
    <n v="-111.21324"/>
    <x v="0"/>
    <x v="2"/>
    <x v="24"/>
    <n v="-7"/>
    <n v="1129.2"/>
    <n v="3.7847559999999998"/>
    <s v="Moderate"/>
    <n v="0.98263246000000004"/>
    <n v="53.464208200000002"/>
    <n v="1715.642587"/>
    <n v="2298.9609529999998"/>
    <n v="0.74626869358576708"/>
    <n v="0.23144345"/>
    <n v="0.17271897"/>
    <n v="41.310128120000002"/>
    <x v="686"/>
    <n v="222.70927259999999"/>
    <n v="580943.85210000002"/>
    <n v="715153.44"/>
    <n v="28.536370999999999"/>
    <n v="69.846499120000004"/>
  </r>
  <r>
    <n v="739"/>
    <x v="738"/>
    <n v="48.729636999999997"/>
    <n v="-111.04964"/>
    <x v="0"/>
    <x v="2"/>
    <x v="24"/>
    <n v="-7"/>
    <n v="1111.5625"/>
    <n v="3.7842180000000001"/>
    <s v="Moderate"/>
    <n v="0.98248049999999998"/>
    <n v="68.039351370000006"/>
    <n v="2183.351909"/>
    <n v="2925.6921090000001"/>
    <n v="0.74626851618582257"/>
    <n v="0.23164651"/>
    <n v="0.17287056000000001"/>
    <n v="41.268893069999997"/>
    <x v="687"/>
    <n v="222.70927259999999"/>
    <n v="580943.85210000002"/>
    <n v="722127.1"/>
    <n v="28.789380000000001"/>
    <n v="70.058273069999998"/>
  </r>
  <r>
    <n v="740"/>
    <x v="739"/>
    <n v="48.745026000000003"/>
    <n v="-110.88594000000001"/>
    <x v="0"/>
    <x v="2"/>
    <x v="24"/>
    <n v="-7"/>
    <n v="1040.5999999999999"/>
    <n v="3.7670138"/>
    <s v="Moderate"/>
    <n v="0.98230189999999995"/>
    <n v="31.80189133"/>
    <n v="1020.508504"/>
    <n v="1367.481327"/>
    <n v="0.74626869402217444"/>
    <n v="0.23000485000000001"/>
    <n v="0.17164539000000001"/>
    <n v="41.557538960000002"/>
    <x v="688"/>
    <n v="248.6803634"/>
    <n v="622544.8077"/>
    <n v="780490.7"/>
    <n v="31.338280000000001"/>
    <n v="72.89581896"/>
  </r>
  <r>
    <n v="741"/>
    <x v="740"/>
    <n v="48.760254000000003"/>
    <n v="-110.72214"/>
    <x v="0"/>
    <x v="2"/>
    <x v="25"/>
    <n v="-7"/>
    <n v="971.21052629999997"/>
    <n v="3.7490508999999999"/>
    <s v="Moderate"/>
    <n v="0.98103576999999997"/>
    <n v="48.286686619999998"/>
    <n v="1549.4982299999999"/>
    <n v="2076.3275250000002"/>
    <n v="0.74626869380831418"/>
    <n v="0.22869074"/>
    <n v="0.17066474000000001"/>
    <n v="41.754034709999999"/>
    <x v="689"/>
    <n v="237.1193375"/>
    <n v="594882.45030000003"/>
    <n v="757044.2"/>
    <n v="30.571522000000002"/>
    <n v="72.325556710000001"/>
  </r>
  <r>
    <n v="742"/>
    <x v="741"/>
    <n v="48.775306999999998"/>
    <n v="-110.55826"/>
    <x v="0"/>
    <x v="2"/>
    <x v="25"/>
    <n v="-7"/>
    <n v="910.94444439999995"/>
    <n v="3.7417655000000001"/>
    <s v="Moderate"/>
    <n v="0.98071646999999995"/>
    <n v="50.850743989999998"/>
    <n v="1631.777687"/>
    <n v="2186.5819919999999"/>
    <n v="0.74626869377418714"/>
    <n v="0.22804764"/>
    <n v="0.17018484"/>
    <n v="41.861069000000001"/>
    <x v="690"/>
    <n v="227.74014919999999"/>
    <n v="573491.32180000003"/>
    <n v="745766.44"/>
    <n v="30.201025000000001"/>
    <n v="72.062094000000002"/>
  </r>
  <r>
    <n v="743"/>
    <x v="742"/>
    <n v="48.790199999999999"/>
    <n v="-110.3943"/>
    <x v="0"/>
    <x v="2"/>
    <x v="25"/>
    <n v="-7"/>
    <n v="882.61904760000004"/>
    <n v="3.7503676000000001"/>
    <s v="Moderate"/>
    <n v="0.98035410000000001"/>
    <n v="49.190081839999998"/>
    <n v="1578.487779"/>
    <n v="2115.1735189999999"/>
    <n v="0.74626869371278282"/>
    <n v="0.22886918000000001"/>
    <n v="0.1707979"/>
    <n v="41.698719689999997"/>
    <x v="691"/>
    <n v="212.1008894"/>
    <n v="535678.96059999999"/>
    <n v="715414.3"/>
    <n v="28.867868000000001"/>
    <n v="70.566587690000006"/>
  </r>
  <r>
    <n v="744"/>
    <x v="743"/>
    <n v="48.804920000000003"/>
    <n v="-110.23023999999999"/>
    <x v="0"/>
    <x v="2"/>
    <x v="25"/>
    <n v="-7"/>
    <n v="834.58823529999995"/>
    <n v="3.7314227"/>
    <s v="Moderate"/>
    <n v="0.97984815000000003"/>
    <n v="44.602483890000002"/>
    <n v="1431.2738079999999"/>
    <n v="1917.9068070000001"/>
    <n v="0.74626869396162476"/>
    <n v="0.22715537"/>
    <n v="0.16951895"/>
    <n v="41.996308749999997"/>
    <x v="692"/>
    <n v="201.96442189999999"/>
    <n v="509528.13650000002"/>
    <n v="695883.56"/>
    <n v="28.291630000000001"/>
    <n v="70.287938749999995"/>
  </r>
  <r>
    <n v="745"/>
    <x v="744"/>
    <n v="48.819473000000002"/>
    <n v="-110.06610000000001"/>
    <x v="0"/>
    <x v="2"/>
    <x v="25"/>
    <n v="-7"/>
    <n v="852.44444439999995"/>
    <n v="3.741768"/>
    <s v="Moderate"/>
    <n v="0.97942090000000004"/>
    <n v="59.06600684"/>
    <n v="1895.4015810000001"/>
    <n v="2539.8382940000001"/>
    <n v="0.74626860516183713"/>
    <n v="0.22815970999999999"/>
    <n v="0.17026844999999999"/>
    <n v="41.797132169999998"/>
    <x v="693"/>
    <n v="187.78699979999999"/>
    <n v="473855.58519999997"/>
    <n v="671297.75"/>
    <n v="27.171939999999999"/>
    <n v="68.969072170000004"/>
  </r>
  <r>
    <n v="746"/>
    <x v="745"/>
    <n v="48.833862000000003"/>
    <n v="-109.90188000000001"/>
    <x v="0"/>
    <x v="2"/>
    <x v="25"/>
    <n v="-7"/>
    <n v="892.89473680000003"/>
    <n v="3.7397646999999998"/>
    <s v="Moderate"/>
    <n v="0.97886830000000002"/>
    <n v="67.49421504"/>
    <n v="2165.8589889999998"/>
    <n v="2902.2512470000001"/>
    <n v="0.74626860484212232"/>
    <n v="0.22824216"/>
    <n v="0.17032996"/>
    <n v="41.76355092"/>
    <x v="694"/>
    <n v="204.8439673"/>
    <n v="523869.80869999999"/>
    <n v="724573.25"/>
    <n v="29.317764"/>
    <n v="71.081314919999997"/>
  </r>
  <r>
    <n v="747"/>
    <x v="746"/>
    <n v="48.848083000000003"/>
    <n v="-109.73756400000001"/>
    <x v="0"/>
    <x v="2"/>
    <x v="25"/>
    <n v="-7"/>
    <n v="849.66666669999995"/>
    <n v="3.7307804"/>
    <s v="Moderate"/>
    <n v="0.97835079999999996"/>
    <n v="62.565863380000003"/>
    <n v="2007.7099250000001"/>
    <n v="2690.3321249999999"/>
    <n v="0.74626842773176205"/>
    <n v="0.22749205"/>
    <n v="0.16977020000000001"/>
    <n v="41.88387195"/>
    <x v="695"/>
    <n v="204.8439673"/>
    <n v="523869.80869999999"/>
    <n v="717174.94"/>
    <n v="29.114096"/>
    <n v="70.997967950000003"/>
  </r>
  <r>
    <n v="748"/>
    <x v="747"/>
    <n v="48.862136999999997"/>
    <n v="-109.57317"/>
    <x v="0"/>
    <x v="2"/>
    <x v="25"/>
    <n v="-7"/>
    <n v="825.21052629999997"/>
    <n v="3.7136556999999999"/>
    <s v="Moderate"/>
    <n v="0.97785679999999997"/>
    <n v="79.389887700000003"/>
    <n v="2547.5857719999999"/>
    <n v="3413.765171"/>
    <n v="0.7462686050117886"/>
    <n v="0.22601488"/>
    <n v="0.16866782"/>
    <n v="42.140910740000002"/>
    <x v="696"/>
    <n v="234.42471420000001"/>
    <n v="610161.39439999999"/>
    <n v="755562.44"/>
    <n v="30.872921000000002"/>
    <n v="73.013831740000001"/>
  </r>
  <r>
    <n v="749"/>
    <x v="748"/>
    <n v="48.876021999999999"/>
    <n v="-109.40871"/>
    <x v="0"/>
    <x v="2"/>
    <x v="26"/>
    <n v="-7"/>
    <n v="810.35"/>
    <n v="3.7009292"/>
    <s v="Moderate"/>
    <n v="0.97719895999999995"/>
    <n v="59.427433739999998"/>
    <n v="1906.9993810000001"/>
    <n v="2555.3796510000002"/>
    <n v="0.74626851640370984"/>
    <n v="0.22527227"/>
    <n v="0.16811365"/>
    <n v="42.257517319999998"/>
    <x v="697"/>
    <n v="234.42471420000001"/>
    <n v="610161.39439999999"/>
    <n v="732194.9"/>
    <n v="30.016729999999999"/>
    <n v="72.274247320000001"/>
  </r>
  <r>
    <n v="750"/>
    <x v="749"/>
    <n v="48.889740000000003"/>
    <n v="-109.24415"/>
    <x v="0"/>
    <x v="2"/>
    <x v="26"/>
    <n v="-7"/>
    <n v="820.1176471"/>
    <n v="3.6957499999999999"/>
    <s v="Moderate"/>
    <n v="0.97654282999999997"/>
    <n v="71.864006840000002"/>
    <n v="2306.0836420000001"/>
    <n v="3090.152294"/>
    <n v="0.74626860510325388"/>
    <n v="0.22505459999999999"/>
    <n v="0.16795120999999999"/>
    <n v="42.276122999999998"/>
    <x v="698"/>
    <n v="234.42471420000001"/>
    <n v="610161.39439999999"/>
    <n v="730100.9"/>
    <n v="29.959831000000001"/>
    <n v="72.235953999999992"/>
  </r>
  <r>
    <n v="751"/>
    <x v="750"/>
    <n v="48.903289999999998"/>
    <n v="-109.07951"/>
    <x v="0"/>
    <x v="2"/>
    <x v="26"/>
    <n v="-7"/>
    <n v="886.9"/>
    <n v="3.6941090000000001"/>
    <s v="Moderate"/>
    <n v="0.97586729999999999"/>
    <n v="76.817156839999996"/>
    <n v="2465.0279970000001"/>
    <n v="3303.1377440000001"/>
    <n v="0.74626860520049809"/>
    <n v="0.22544326000000001"/>
    <n v="0.16824125000000001"/>
    <n v="42.180355689999999"/>
    <x v="699"/>
    <n v="234.42471420000001"/>
    <n v="610161.39439999999"/>
    <n v="753835.94"/>
    <n v="30.880478"/>
    <n v="73.060833689999995"/>
  </r>
  <r>
    <n v="752"/>
    <x v="751"/>
    <n v="48.916668000000001"/>
    <n v="-108.914795"/>
    <x v="0"/>
    <x v="2"/>
    <x v="26"/>
    <n v="-7"/>
    <n v="980.95"/>
    <n v="3.6830099999999999"/>
    <s v="Moderate"/>
    <n v="0.97514630000000002"/>
    <n v="62.699189060000002"/>
    <n v="2011.9885240000001"/>
    <n v="2696.06513"/>
    <n v="0.74626851614671497"/>
    <n v="0.22498018"/>
    <n v="0.16789564000000001"/>
    <n v="42.242683980000002"/>
    <x v="700"/>
    <n v="234.42471420000001"/>
    <n v="610161.39439999999"/>
    <n v="796394.7"/>
    <n v="32.691025000000003"/>
    <n v="74.933708980000006"/>
  </r>
  <r>
    <n v="753"/>
    <x v="752"/>
    <n v="48.929886000000003"/>
    <n v="-108.75"/>
    <x v="0"/>
    <x v="2"/>
    <x v="26"/>
    <n v="-7"/>
    <n v="966.4375"/>
    <n v="3.7100746999999998"/>
    <s v="Moderate"/>
    <n v="0.97441279999999997"/>
    <n v="53.102785249999997"/>
    <n v="1704.044686"/>
    <n v="2283.419766"/>
    <n v="0.74626869372558458"/>
    <n v="0.22755246000000001"/>
    <n v="0.16981526999999999"/>
    <n v="41.74055628"/>
    <x v="701"/>
    <n v="234.42471420000001"/>
    <n v="610161.39439999999"/>
    <n v="844397.06"/>
    <n v="34.269640000000003"/>
    <n v="76.010196280000002"/>
  </r>
  <r>
    <n v="754"/>
    <x v="753"/>
    <n v="48.942929999999997"/>
    <n v="-108.58513000000001"/>
    <x v="0"/>
    <x v="2"/>
    <x v="26"/>
    <n v="-7"/>
    <n v="931.2142857"/>
    <n v="3.7153063"/>
    <s v="Moderate"/>
    <n v="0.97372700000000001"/>
    <n v="33.289216260000003"/>
    <n v="1068.236097"/>
    <n v="1431.436299"/>
    <n v="0.74626869372131244"/>
    <n v="0.2280991"/>
    <n v="0.17022318"/>
    <n v="41.617563500000003"/>
    <x v="702"/>
    <n v="171.35901290000001"/>
    <n v="459485.95539999998"/>
    <n v="723594.1"/>
    <n v="29.296509"/>
    <n v="70.914072500000003"/>
  </r>
  <r>
    <n v="755"/>
    <x v="754"/>
    <n v="48.955803000000003"/>
    <n v="-108.42018"/>
    <x v="0"/>
    <x v="2"/>
    <x v="26"/>
    <n v="-7"/>
    <n v="900"/>
    <n v="3.6928817999999999"/>
    <s v="Moderate"/>
    <n v="0.97289634000000003"/>
    <n v="31.693356080000001"/>
    <n v="1017.025535"/>
    <n v="1362.8143110000001"/>
    <n v="0.74626860518784199"/>
    <n v="0.22593363999999999"/>
    <n v="0.16860718999999999"/>
    <n v="41.988344789999999"/>
    <x v="703"/>
    <n v="169.949896"/>
    <n v="455430.14270000003"/>
    <n v="737004.1"/>
    <n v="30.125443000000001"/>
    <n v="72.113787790000003"/>
  </r>
  <r>
    <n v="756"/>
    <x v="755"/>
    <n v="48.968513000000002"/>
    <n v="-108.25516"/>
    <x v="0"/>
    <x v="2"/>
    <x v="26"/>
    <n v="-7"/>
    <n v="884.1"/>
    <n v="3.6903486000000001"/>
    <s v="Moderate"/>
    <n v="0.96923239999999999"/>
    <n v="35.848978420000002"/>
    <n v="1150.3777230000001"/>
    <n v="1541.5060719999999"/>
    <n v="0.74626869390625417"/>
    <n v="0.22585379999999999"/>
    <n v="0.16854762000000001"/>
    <n v="41.879261309999997"/>
    <x v="704"/>
    <n v="169.949896"/>
    <n v="455430.14270000003"/>
    <n v="763849.4"/>
    <n v="31.233795000000001"/>
    <n v="73.11305630999999"/>
  </r>
  <r>
    <n v="757"/>
    <x v="756"/>
    <n v="48.981051999999998"/>
    <n v="-108.09005999999999"/>
    <x v="0"/>
    <x v="2"/>
    <x v="31"/>
    <n v="-7"/>
    <n v="880.7"/>
    <n v="3.6833849999999999"/>
    <s v="Moderate"/>
    <n v="0.96772250000000004"/>
    <n v="18.706949999999999"/>
    <n v="600.29760769999996"/>
    <n v="804.39885000000004"/>
    <n v="0.74626860505829906"/>
    <n v="0.22555244999999999"/>
    <n v="0.16832275999999999"/>
    <n v="41.884072840000002"/>
    <x v="705"/>
    <n v="139.8663181"/>
    <n v="375246.76770000003"/>
    <n v="724006"/>
    <n v="29.644151999999998"/>
    <n v="71.528224840000007"/>
  </r>
  <r>
    <n v="758"/>
    <x v="757"/>
    <n v="48.99342"/>
    <n v="-107.92488"/>
    <x v="0"/>
    <x v="2"/>
    <x v="31"/>
    <n v="-7"/>
    <n v="841.55555560000005"/>
    <n v="3.6708647999999999"/>
    <s v="Moderate"/>
    <n v="0.96682805000000005"/>
    <n v="16.13779156"/>
    <n v="517.8545312"/>
    <n v="693.92503729999999"/>
    <n v="0.7462686938273988"/>
    <n v="0.22433583000000001"/>
    <n v="0.1674148"/>
    <n v="42.08076251"/>
    <x v="706"/>
    <n v="139.28903890000001"/>
    <n v="373755.08159999998"/>
    <n v="747094.9"/>
    <n v="30.755410000000001"/>
    <n v="72.836172509999997"/>
  </r>
  <r>
    <n v="759"/>
    <x v="758"/>
    <n v="47.190776999999997"/>
    <n v="-69.42944"/>
    <x v="0"/>
    <x v="3"/>
    <x v="22"/>
    <n v="-5"/>
    <n v="381.1333333"/>
    <n v="3.5755005"/>
    <s v="Moderate"/>
    <n v="1.0285605"/>
    <n v="86.768821579999994"/>
    <n v="2784.3721089999999"/>
    <n v="3731.0593279999998"/>
    <n v="0.74626851631773361"/>
    <n v="0.20872088"/>
    <n v="0.15576187"/>
    <n v="47.488360120000003"/>
    <x v="707"/>
    <n v="298.39919459999999"/>
    <n v="2487328.727"/>
    <n v="5955057"/>
    <n v="263.49016999999998"/>
    <n v="310.97853011999996"/>
  </r>
  <r>
    <n v="760"/>
    <x v="759"/>
    <n v="47.163690000000003"/>
    <n v="-69.274506000000002"/>
    <x v="0"/>
    <x v="3"/>
    <x v="22"/>
    <n v="-5"/>
    <n v="350.73684209999999"/>
    <n v="3.5683346"/>
    <s v="Moderate"/>
    <n v="1.0286325000000001"/>
    <n v="98.154178419999994"/>
    <n v="3149.723418"/>
    <n v="4220.629672"/>
    <n v="0.74626860510779258"/>
    <n v="0.20788852999999999"/>
    <n v="0.15514069999999999"/>
    <n v="47.681154710000001"/>
    <x v="708"/>
    <n v="330.50379850000002"/>
    <n v="2701813.4870000002"/>
    <n v="5444747"/>
    <n v="241.87533999999999"/>
    <n v="289.55649470999998"/>
  </r>
  <r>
    <n v="761"/>
    <x v="760"/>
    <n v="47.136443999999997"/>
    <n v="-69.119720000000001"/>
    <x v="0"/>
    <x v="3"/>
    <x v="22"/>
    <n v="-5"/>
    <n v="308.61111110000002"/>
    <n v="3.5587694999999999"/>
    <s v="Moderate"/>
    <n v="1.0288098000000001"/>
    <n v="57.611736469999997"/>
    <n v="1848.734479"/>
    <n v="2477.3046680000002"/>
    <n v="0.74626851629538837"/>
    <n v="0.20670321999999999"/>
    <n v="0.15425614000000001"/>
    <n v="47.961120149999999"/>
    <x v="709"/>
    <n v="335.14761670000001"/>
    <n v="2737709.35"/>
    <n v="5261402"/>
    <n v="235.07077000000001"/>
    <n v="283.03189014999998"/>
  </r>
  <r>
    <n v="762"/>
    <x v="761"/>
    <n v="47.109054999999998"/>
    <n v="-68.965090000000004"/>
    <x v="0"/>
    <x v="3"/>
    <x v="22"/>
    <n v="-5"/>
    <n v="320.05263159999998"/>
    <n v="3.5524132000000002"/>
    <s v="Moderate"/>
    <n v="1.0289128999999999"/>
    <n v="55.087696579999999"/>
    <n v="1767.7391849999999"/>
    <n v="2368.7709530000002"/>
    <n v="0.74626851649003645"/>
    <n v="0.20640855999999999"/>
    <n v="0.15403623999999999"/>
    <n v="48.033415490000003"/>
    <x v="710"/>
    <n v="331.14019459999997"/>
    <n v="2707776.8029999998"/>
    <n v="5048658"/>
    <n v="225.88774000000001"/>
    <n v="273.92115548999999"/>
  </r>
  <r>
    <n v="763"/>
    <x v="762"/>
    <n v="47.081505"/>
    <n v="-68.810590000000005"/>
    <x v="0"/>
    <x v="3"/>
    <x v="22"/>
    <n v="-5"/>
    <n v="385.52631580000002"/>
    <n v="3.5803742000000001"/>
    <s v="Moderate"/>
    <n v="1.0291262000000001"/>
    <n v="48.880264750000002"/>
    <n v="1568.5453279999999"/>
    <n v="2101.8513840000001"/>
    <n v="0.7462684278918551"/>
    <n v="0.20902914"/>
    <n v="0.15599189999999999"/>
    <n v="47.439001740000002"/>
    <x v="711"/>
    <n v="331.14019459999997"/>
    <n v="2707776.8029999998"/>
    <n v="5244492"/>
    <n v="231.708"/>
    <n v="279.14700174000001"/>
  </r>
  <r>
    <n v="764"/>
    <x v="763"/>
    <n v="47.053809999999999"/>
    <n v="-68.65625"/>
    <x v="0"/>
    <x v="3"/>
    <x v="22"/>
    <n v="-5"/>
    <n v="297.82352939999998"/>
    <n v="3.5927882000000002"/>
    <s v="Moderate"/>
    <n v="1.0292867000000001"/>
    <n v="56.681209420000002"/>
    <n v="1818.8742890000001"/>
    <n v="2437.2920049999998"/>
    <n v="0.74626851656209336"/>
    <n v="0.2099625"/>
    <n v="0.15668844000000001"/>
    <n v="47.233953579999998"/>
    <x v="712"/>
    <n v="337.08129200000002"/>
    <n v="2749877.8250000002"/>
    <n v="4995895.5"/>
    <n v="219.74348000000001"/>
    <n v="266.97743358000002"/>
  </r>
  <r>
    <n v="765"/>
    <x v="764"/>
    <n v="47.025959999999998"/>
    <n v="-68.502044999999995"/>
    <x v="0"/>
    <x v="3"/>
    <x v="22"/>
    <n v="-5"/>
    <n v="234.35"/>
    <n v="3.5810377999999998"/>
    <s v="Moderate"/>
    <n v="1.0295844000000001"/>
    <n v="69.333405470000002"/>
    <n v="2224.8775179999998"/>
    <n v="2981.3364350000002"/>
    <n v="0.74626851632060087"/>
    <n v="0.21039768"/>
    <n v="0.15701319999999999"/>
    <n v="47.147079929999997"/>
    <x v="713"/>
    <n v="335.4548959"/>
    <n v="2738985.051"/>
    <n v="4773714"/>
    <n v="209.53658999999999"/>
    <n v="256.68366993000001"/>
  </r>
  <r>
    <n v="766"/>
    <x v="765"/>
    <n v="46.997959999999999"/>
    <n v="-68.348010000000002"/>
    <x v="0"/>
    <x v="3"/>
    <x v="22"/>
    <n v="-5"/>
    <n v="223.94444440000001"/>
    <n v="3.5661132000000002"/>
    <s v="Moderate"/>
    <n v="1.0297898000000001"/>
    <n v="79.109140429999997"/>
    <n v="2538.5764170000002"/>
    <n v="3401.6930379999999"/>
    <n v="0.74626851648335013"/>
    <n v="0.21131017999999999"/>
    <n v="0.15769416"/>
    <n v="46.950902759999998"/>
    <x v="714"/>
    <n v="334.4430582"/>
    <n v="2733167.84"/>
    <n v="4610851.5"/>
    <n v="201.51394999999999"/>
    <n v="248.46485275999999"/>
  </r>
  <r>
    <n v="767"/>
    <x v="766"/>
    <n v="46.969807000000003"/>
    <n v="-68.194109999999995"/>
    <x v="0"/>
    <x v="3"/>
    <x v="22"/>
    <n v="-5"/>
    <n v="221.55555559999999"/>
    <n v="3.5949996"/>
    <s v="Moderate"/>
    <n v="1.030108"/>
    <n v="82.641056840000005"/>
    <n v="2651.914327"/>
    <n v="3553.5654439999998"/>
    <n v="0.74626860509284043"/>
    <n v="0.21389215"/>
    <n v="0.15962098999999999"/>
    <n v="46.395517650000002"/>
    <x v="715"/>
    <n v="336.64673349999998"/>
    <n v="2745965.7030000002"/>
    <n v="4445036"/>
    <n v="191.92204000000001"/>
    <n v="238.31755765000003"/>
  </r>
  <r>
    <n v="768"/>
    <x v="767"/>
    <n v="46.941504999999999"/>
    <n v="-68.040360000000007"/>
    <x v="0"/>
    <x v="3"/>
    <x v="22"/>
    <n v="-5"/>
    <n v="193.84210529999999"/>
    <n v="3.5827171999999998"/>
    <s v="Moderate"/>
    <n v="1.0303863"/>
    <n v="44.53857773"/>
    <n v="1429.2229179999999"/>
    <n v="1915.1588429999999"/>
    <n v="0.74626860493785163"/>
    <n v="0.21264454999999999"/>
    <n v="0.15868995"/>
    <n v="46.677721429999998"/>
    <x v="716"/>
    <n v="344.12422700000002"/>
    <n v="2806523.0419999999"/>
    <n v="4244837"/>
    <n v="184.35341"/>
    <n v="231.03113142999999"/>
  </r>
  <r>
    <n v="769"/>
    <x v="768"/>
    <n v="46.913055"/>
    <n v="-67.886769999999999"/>
    <x v="0"/>
    <x v="3"/>
    <x v="22"/>
    <n v="-5"/>
    <n v="189.7222222"/>
    <n v="3.5645718999999998"/>
    <s v="Moderate"/>
    <n v="1.0307202"/>
    <n v="35.10871831"/>
    <n v="1126.623106"/>
    <n v="1509.6748869999999"/>
    <n v="0.74626869381049732"/>
    <n v="0.21129744"/>
    <n v="0.15768463999999999"/>
    <n v="46.987385690000004"/>
    <x v="717"/>
    <n v="344.12422700000002"/>
    <n v="2806523.0419999999"/>
    <n v="4177723.5"/>
    <n v="182.59540999999999"/>
    <n v="229.58279568999998"/>
  </r>
  <r>
    <n v="770"/>
    <x v="769"/>
    <n v="46.824154"/>
    <n v="-124.04236"/>
    <x v="0"/>
    <x v="0"/>
    <x v="15"/>
    <n v="-8"/>
    <n v="44.533333329999998"/>
    <n v="3.1774368000000002"/>
    <s v="Moderate"/>
    <n v="1.0205934000000001"/>
    <n v="23.423580399999999"/>
    <n v="751.65206539999997"/>
    <n v="1007.2139570000001"/>
    <n v="0.74626851641214886"/>
    <n v="0.18238802000000001"/>
    <n v="0.13611047000000001"/>
    <n v="54.010941699999997"/>
    <x v="718"/>
    <n v="237.16153879999999"/>
    <n v="810230.2794"/>
    <n v="894381.4"/>
    <n v="45.286715999999998"/>
    <n v="99.297657700000002"/>
  </r>
  <r>
    <n v="771"/>
    <x v="770"/>
    <n v="46.852530000000002"/>
    <n v="-123.88898"/>
    <x v="0"/>
    <x v="0"/>
    <x v="15"/>
    <n v="-8"/>
    <n v="84.944444439999998"/>
    <n v="3.1130716999999999"/>
    <s v="Moderate"/>
    <n v="1.0204607000000001"/>
    <n v="32.515343919999999"/>
    <n v="1043.4027550000001"/>
    <n v="1398.159789"/>
    <n v="0.74626860478248247"/>
    <n v="0.17761189999999999"/>
    <n v="0.1325462"/>
    <n v="55.457633610000002"/>
    <x v="719"/>
    <n v="222.4802986"/>
    <n v="760250.3223"/>
    <n v="881124.25"/>
    <n v="45.815193000000001"/>
    <n v="101.27282661000001"/>
  </r>
  <r>
    <n v="772"/>
    <x v="771"/>
    <n v="46.880763999999999"/>
    <n v="-123.73542999999999"/>
    <x v="0"/>
    <x v="0"/>
    <x v="15"/>
    <n v="-8"/>
    <n v="91.944444439999998"/>
    <n v="3.1126915999999998"/>
    <s v="Moderate"/>
    <n v="1.0203346"/>
    <n v="28.83259863"/>
    <n v="925.22511599999996"/>
    <n v="1239.801741"/>
    <n v="0.74626860521564631"/>
    <n v="0.17740861999999999"/>
    <n v="0.1323945"/>
    <n v="55.515747920000003"/>
    <x v="720"/>
    <n v="210.30361679999999"/>
    <n v="731898.37360000005"/>
    <n v="789361.25"/>
    <n v="41.090885"/>
    <n v="96.60663292000001"/>
  </r>
  <r>
    <n v="773"/>
    <x v="772"/>
    <n v="46.908844000000002"/>
    <n v="-123.58174"/>
    <x v="0"/>
    <x v="0"/>
    <x v="15"/>
    <n v="-8"/>
    <n v="99.555555560000002"/>
    <n v="3.1169216999999998"/>
    <s v="Moderate"/>
    <n v="1.0202594"/>
    <n v="15.211475679999999"/>
    <n v="488.12940980000002"/>
    <n v="654.09345440000004"/>
    <n v="0.74626860506922688"/>
    <n v="0.17790289000000001"/>
    <n v="0.13276336"/>
    <n v="55.358284640000001"/>
    <x v="721"/>
    <n v="187.825909"/>
    <n v="610155.97549999994"/>
    <n v="722222.2"/>
    <n v="37.491447000000001"/>
    <n v="92.849731640000002"/>
  </r>
  <r>
    <n v="774"/>
    <x v="773"/>
    <n v="46.936770000000003"/>
    <n v="-123.42789999999999"/>
    <x v="0"/>
    <x v="0"/>
    <x v="15"/>
    <n v="-8"/>
    <n v="103.3888889"/>
    <n v="3.1531028999999999"/>
    <s v="Moderate"/>
    <n v="1.0202291999999999"/>
    <n v="18.534662839999999"/>
    <n v="594.76899030000004"/>
    <n v="796.99050220000004"/>
    <n v="0.74626860503131354"/>
    <n v="0.17799551999999999"/>
    <n v="0.13283247000000001"/>
    <n v="55.328177429999997"/>
    <x v="722"/>
    <n v="178.13304539999999"/>
    <n v="570811.74120000005"/>
    <n v="650260.56000000006"/>
    <n v="33.738266000000003"/>
    <n v="89.066443429999993"/>
  </r>
  <r>
    <n v="775"/>
    <x v="774"/>
    <n v="46.964550000000003"/>
    <n v="-123.27391"/>
    <x v="0"/>
    <x v="0"/>
    <x v="15"/>
    <n v="-8"/>
    <n v="164.94444440000001"/>
    <n v="3.1314616000000002"/>
    <s v="Moderate"/>
    <n v="1.0202283000000001"/>
    <n v="24.39825205"/>
    <n v="782.92902260000005"/>
    <n v="1049.124838"/>
    <n v="0.74626869390733086"/>
    <n v="0.17598188000000001"/>
    <n v="0.13132975999999999"/>
    <n v="55.961222960000001"/>
    <x v="723"/>
    <n v="179.4713505"/>
    <n v="570777.03729999997"/>
    <n v="654629.80000000005"/>
    <n v="34.353596000000003"/>
    <n v="90.314818959999997"/>
  </r>
  <r>
    <n v="776"/>
    <x v="775"/>
    <n v="46.992176000000001"/>
    <n v="-123.11977"/>
    <x v="0"/>
    <x v="0"/>
    <x v="27"/>
    <n v="-8"/>
    <n v="294.73684209999999"/>
    <n v="3.2479043000000001"/>
    <s v="Moderate"/>
    <n v="1.0202903999999999"/>
    <n v="11.684736470000001"/>
    <n v="374.95793559999998"/>
    <n v="502.44366839999998"/>
    <n v="0.74626860518320348"/>
    <n v="0.18536559"/>
    <n v="0.13833253000000001"/>
    <n v="53.130875320000001"/>
    <x v="724"/>
    <n v="152.08996740000001"/>
    <n v="477542.65950000001"/>
    <n v="583555.25"/>
    <n v="29.073498000000001"/>
    <n v="82.204373320000002"/>
  </r>
  <r>
    <n v="777"/>
    <x v="776"/>
    <n v="47.019649999999999"/>
    <n v="-122.965485"/>
    <x v="0"/>
    <x v="0"/>
    <x v="27"/>
    <n v="-8"/>
    <n v="96.58823529"/>
    <n v="3.2986197000000002"/>
    <s v="Moderate"/>
    <n v="1.0203332000000001"/>
    <n v="17.377414890000001"/>
    <n v="557.63349070000004"/>
    <n v="747.22884039999997"/>
    <n v="0.74626869380669592"/>
    <n v="0.18716447"/>
    <n v="0.13967499"/>
    <n v="52.621963600000001"/>
    <x v="725"/>
    <n v="139.51600640000001"/>
    <n v="437025.6202"/>
    <n v="465189.2"/>
    <n v="22.953588"/>
    <n v="75.575551599999997"/>
  </r>
  <r>
    <n v="778"/>
    <x v="777"/>
    <n v="47.046970000000002"/>
    <n v="-122.81104999999999"/>
    <x v="0"/>
    <x v="0"/>
    <x v="27"/>
    <n v="-8"/>
    <n v="58.5625"/>
    <n v="3.3199245999999998"/>
    <s v="Moderate"/>
    <n v="1.0204344000000001"/>
    <n v="22.020174319999999"/>
    <n v="706.61756909999997"/>
    <n v="946.86749559999998"/>
    <n v="0.74626869375449278"/>
    <n v="0.18753976"/>
    <n v="0.13995504"/>
    <n v="52.520791979999998"/>
    <x v="401"/>
    <n v="134.7832856"/>
    <n v="416468.72220000002"/>
    <n v="447740.2"/>
    <n v="22.048403"/>
    <n v="74.569194979999992"/>
  </r>
  <r>
    <n v="779"/>
    <x v="778"/>
    <n v="47.074142000000002"/>
    <n v="-122.65648"/>
    <x v="0"/>
    <x v="0"/>
    <x v="23"/>
    <n v="-8"/>
    <n v="79.4375"/>
    <n v="3.3132136000000001"/>
    <s v="Moderate"/>
    <n v="1.0204991999999999"/>
    <n v="45.922135249999997"/>
    <n v="1473.6206560000001"/>
    <n v="1974.6518160000001"/>
    <n v="0.74626860495592306"/>
    <n v="0.18737054"/>
    <n v="0.13982876999999999"/>
    <n v="52.570861829999998"/>
    <x v="726"/>
    <n v="93.910305140000006"/>
    <n v="317263.04739999998"/>
    <n v="380982.6"/>
    <n v="18.777951999999999"/>
    <n v="71.348813829999997"/>
  </r>
  <r>
    <n v="780"/>
    <x v="779"/>
    <n v="47.10116"/>
    <n v="-122.501755"/>
    <x v="0"/>
    <x v="0"/>
    <x v="23"/>
    <n v="-8"/>
    <n v="111.3529412"/>
    <n v="3.272688"/>
    <s v="Moderate"/>
    <n v="1.0206021999999999"/>
    <n v="55.824306149999998"/>
    <n v="1791.376865"/>
    <n v="2400.4451650000001"/>
    <n v="0.74626860514016358"/>
    <n v="0.18497369999999999"/>
    <n v="0.13804008000000001"/>
    <n v="53.256315069999999"/>
    <x v="727"/>
    <n v="80.091785669999993"/>
    <n v="265367.51209999999"/>
    <n v="321802.09999999998"/>
    <n v="16.066573999999999"/>
    <n v="69.322889070000002"/>
  </r>
  <r>
    <n v="781"/>
    <x v="780"/>
    <n v="47.128030000000003"/>
    <n v="-122.34688"/>
    <x v="0"/>
    <x v="0"/>
    <x v="23"/>
    <n v="-8"/>
    <n v="125.29411760000001"/>
    <n v="3.2443300000000002"/>
    <s v="Moderate"/>
    <n v="1.0206286"/>
    <n v="15.520086470000001"/>
    <n v="498.03259120000001"/>
    <n v="667.36371840000004"/>
    <n v="0.74626860506296289"/>
    <n v="0.18255695999999999"/>
    <n v="0.13623652999999999"/>
    <n v="53.962440469999997"/>
    <x v="728"/>
    <n v="73.467967490000007"/>
    <n v="233768.1489"/>
    <n v="271809.03000000003"/>
    <n v="13.750227000000001"/>
    <n v="67.71266747"/>
  </r>
  <r>
    <n v="782"/>
    <x v="781"/>
    <n v="47.154743000000003"/>
    <n v="-122.191864"/>
    <x v="0"/>
    <x v="0"/>
    <x v="23"/>
    <n v="-8"/>
    <n v="147.84210529999999"/>
    <n v="3.2032492000000001"/>
    <s v="Moderate"/>
    <n v="1.0206465"/>
    <n v="22.7646446"/>
    <n v="730.5072017"/>
    <n v="978.87971800000003"/>
    <n v="0.74626860508718806"/>
    <n v="0.17973226"/>
    <n v="0.13412856000000001"/>
    <n v="54.811279319999997"/>
    <x v="729"/>
    <n v="61.313123339999997"/>
    <n v="204040.25140000001"/>
    <n v="239355.94"/>
    <n v="12.298795"/>
    <n v="67.110074319999995"/>
  </r>
  <r>
    <n v="783"/>
    <x v="782"/>
    <n v="47.181297000000001"/>
    <n v="-122.03671"/>
    <x v="0"/>
    <x v="0"/>
    <x v="18"/>
    <n v="-8"/>
    <n v="218"/>
    <n v="3.1671388"/>
    <s v="Moderate"/>
    <n v="1.020572"/>
    <n v="27.157274999999998"/>
    <n v="871.46473449999996"/>
    <n v="1167.762825"/>
    <n v="0.74626860509966997"/>
    <n v="0.17701565999999999"/>
    <n v="0.13210124000000001"/>
    <n v="55.64922756"/>
    <x v="730"/>
    <n v="64.711285680000003"/>
    <n v="232117.62409999999"/>
    <n v="275578.65999999997"/>
    <n v="14.377331"/>
    <n v="70.026558559999998"/>
  </r>
  <r>
    <n v="784"/>
    <x v="783"/>
    <n v="47.207706000000002"/>
    <n v="-121.88141"/>
    <x v="0"/>
    <x v="0"/>
    <x v="18"/>
    <n v="-8"/>
    <n v="559.625"/>
    <n v="3.0926619"/>
    <s v="Moderate"/>
    <n v="1.0204172"/>
    <n v="19.766108060000001"/>
    <n v="634.28543769999999"/>
    <n v="849.94264639999994"/>
    <n v="0.74626851633644542"/>
    <n v="0.17368047"/>
    <n v="0.12961230000000001"/>
    <n v="56.711057789999998"/>
    <x v="731"/>
    <n v="74.006870090000007"/>
    <n v="278710.67910000001"/>
    <n v="365435.44"/>
    <n v="19.4314"/>
    <n v="76.142457789999995"/>
  </r>
  <r>
    <n v="785"/>
    <x v="784"/>
    <n v="47.233963000000003"/>
    <n v="-121.72597"/>
    <x v="0"/>
    <x v="0"/>
    <x v="18"/>
    <n v="-8"/>
    <n v="700.30769229999999"/>
    <n v="3.1613397999999999"/>
    <s v="Moderate"/>
    <n v="1.0201344000000001"/>
    <n v="2.6893621579999998"/>
    <n v="86.300421490000005"/>
    <n v="115.6425728"/>
    <n v="0.74626860506859982"/>
    <n v="0.17905591000000001"/>
    <n v="0.13362382"/>
    <n v="54.996474659999997"/>
    <x v="732"/>
    <n v="86.036629820000002"/>
    <n v="314605.65980000002"/>
    <n v="353039.16"/>
    <n v="18.208687000000001"/>
    <n v="73.205161660000002"/>
  </r>
  <r>
    <n v="786"/>
    <x v="785"/>
    <n v="47.260063000000002"/>
    <n v="-121.57037"/>
    <x v="0"/>
    <x v="0"/>
    <x v="18"/>
    <n v="-8"/>
    <n v="959.7"/>
    <n v="3.2366955000000002"/>
    <s v="Moderate"/>
    <n v="1.0188556"/>
    <n v="1.3394158810000001"/>
    <n v="42.981258029999999"/>
    <n v="57.594882900000002"/>
    <n v="0.7462686937766132"/>
    <n v="0.18507007"/>
    <n v="0.13811198"/>
    <n v="55.986409330000001"/>
    <x v="733"/>
    <n v="83.674792159999996"/>
    <n v="285911.77010000002"/>
    <n v="380511.7"/>
    <n v="18.987870000000001"/>
    <n v="74.974279330000002"/>
  </r>
  <r>
    <n v="787"/>
    <x v="786"/>
    <n v="47.286009999999997"/>
    <n v="-121.41464999999999"/>
    <x v="0"/>
    <x v="0"/>
    <x v="28"/>
    <n v="-8"/>
    <n v="1059.75"/>
    <n v="3.4334834000000001"/>
    <s v="Moderate"/>
    <n v="1.0180686999999999"/>
    <n v="0.383049007"/>
    <n v="12.291870279999999"/>
    <n v="16.471107320000002"/>
    <n v="0.74626860484811641"/>
    <n v="0.19777420000000001"/>
    <n v="0.14759268"/>
    <n v="60.053953120000003"/>
    <x v="734"/>
    <n v="103.24801290000001"/>
    <n v="355706.83559999999"/>
    <n v="442160.94"/>
    <n v="20.646915"/>
    <n v="80.700868119999996"/>
  </r>
  <r>
    <n v="788"/>
    <x v="787"/>
    <n v="47.311805999999997"/>
    <n v="-121.25879"/>
    <x v="0"/>
    <x v="0"/>
    <x v="28"/>
    <n v="-8"/>
    <n v="876.09090909999998"/>
    <n v="3.4937623000000002"/>
    <s v="Moderate"/>
    <n v="1.0173596"/>
    <n v="2.4018121579999998"/>
    <n v="77.073062219999997"/>
    <n v="103.2779228"/>
    <n v="0.74626851635323554"/>
    <n v="0.20035374"/>
    <n v="0.14951772999999999"/>
    <n v="49.044475779999999"/>
    <x v="735"/>
    <n v="112.95101940000001"/>
    <n v="393523.92920000001"/>
    <n v="483443.4"/>
    <n v="22.283971999999999"/>
    <n v="71.328447780000005"/>
  </r>
  <r>
    <n v="789"/>
    <x v="788"/>
    <n v="47.337443999999998"/>
    <n v="-121.10277600000001"/>
    <x v="0"/>
    <x v="0"/>
    <x v="28"/>
    <n v="-8"/>
    <n v="827"/>
    <n v="3.8250673000000002"/>
    <s v="Moderate"/>
    <n v="1.0160400000000001"/>
    <n v="0.33777000600000001"/>
    <n v="10.838887509999999"/>
    <n v="14.52411027"/>
    <n v="0.74626860499593273"/>
    <n v="0.22366837000000001"/>
    <n v="0.16691671"/>
    <n v="53.761848430000001"/>
    <x v="736"/>
    <n v="119.806461"/>
    <n v="389266.76040000003"/>
    <n v="516336.9"/>
    <n v="21.319305"/>
    <n v="75.081153430000001"/>
  </r>
  <r>
    <n v="790"/>
    <x v="789"/>
    <n v="47.413429999999998"/>
    <n v="-120.63392"/>
    <x v="0"/>
    <x v="0"/>
    <x v="12"/>
    <n v="-8"/>
    <n v="1055.090909"/>
    <n v="3.9502790000000001"/>
    <s v="Moderate"/>
    <n v="1.012006"/>
    <n v="0.30034801500000002"/>
    <n v="9.6380326449999991"/>
    <n v="12.914964640000001"/>
    <n v="0.74626860495995895"/>
    <n v="0.23774672999999999"/>
    <n v="0.17742297000000001"/>
    <n v="51.076729309999997"/>
    <x v="737"/>
    <n v="131.47137649999999"/>
    <n v="407445.65659999999"/>
    <n v="589359.4"/>
    <n v="22.893387000000001"/>
    <n v="73.970116309999995"/>
  </r>
  <r>
    <n v="791"/>
    <x v="790"/>
    <n v="47.438454"/>
    <n v="-120.477356"/>
    <x v="0"/>
    <x v="0"/>
    <x v="12"/>
    <n v="-8"/>
    <n v="624.7857143"/>
    <n v="3.9591536999999999"/>
    <s v="Moderate"/>
    <n v="1.0106264"/>
    <n v="0.82020601699999995"/>
    <n v="26.320042019999999"/>
    <n v="35.268858739999999"/>
    <n v="0.74626860523131289"/>
    <n v="0.23590597999999999"/>
    <n v="0.17604923"/>
    <n v="46.01908134"/>
    <x v="738"/>
    <n v="114.31911030000001"/>
    <n v="340930.44150000002"/>
    <n v="448667.66"/>
    <n v="17.564274000000001"/>
    <n v="63.583355339999997"/>
  </r>
  <r>
    <n v="792"/>
    <x v="791"/>
    <n v="47.463318000000001"/>
    <n v="-120.32066"/>
    <x v="0"/>
    <x v="0"/>
    <x v="12"/>
    <n v="-8"/>
    <n v="474.125"/>
    <n v="4.0489179999999996"/>
    <s v="High"/>
    <n v="1.0082414"/>
    <n v="9.5040537230000002"/>
    <n v="304.98080729999998"/>
    <n v="408.67431010000001"/>
    <n v="0.74626860500571501"/>
    <n v="0.2438266"/>
    <n v="0.18196014999999999"/>
    <n v="40.014468100000002"/>
    <x v="59"/>
    <n v="112.2235259"/>
    <n v="338744.06069999997"/>
    <n v="378092.2"/>
    <n v="14.320595000000001"/>
    <n v="54.335063099999999"/>
  </r>
  <r>
    <n v="793"/>
    <x v="792"/>
    <n v="47.488025999999998"/>
    <n v="-120.16382"/>
    <x v="0"/>
    <x v="0"/>
    <x v="20"/>
    <n v="-8"/>
    <n v="912.9375"/>
    <n v="4.1048635999999998"/>
    <s v="High"/>
    <n v="1.0063848"/>
    <n v="34.25781885"/>
    <n v="1099.317861"/>
    <n v="1473.0862099999999"/>
    <n v="0.74626851676250505"/>
    <n v="0.25121805000000003"/>
    <n v="0.18747616"/>
    <n v="38.78067746"/>
    <x v="739"/>
    <n v="105.260448"/>
    <n v="311053.73210000002"/>
    <n v="388332.84"/>
    <n v="14.275709000000001"/>
    <n v="53.056386459999999"/>
  </r>
  <r>
    <n v="794"/>
    <x v="793"/>
    <n v="47.512577"/>
    <n v="-120.00686"/>
    <x v="0"/>
    <x v="0"/>
    <x v="20"/>
    <n v="-8"/>
    <n v="842.47368419999998"/>
    <n v="4.0502076000000002"/>
    <s v="High"/>
    <n v="1.0042359999999999"/>
    <n v="29.622427729999998"/>
    <n v="950.57048940000004"/>
    <n v="1273.7643929999999"/>
    <n v="0.74626869350712033"/>
    <n v="0.24730468"/>
    <n v="0.18455572000000001"/>
    <n v="39.327976300000003"/>
    <x v="740"/>
    <n v="120.3080843"/>
    <n v="361074.89279999997"/>
    <n v="489410.38"/>
    <n v="18.276173"/>
    <n v="57.604149300000003"/>
  </r>
  <r>
    <n v="795"/>
    <x v="794"/>
    <n v="47.536976000000003"/>
    <n v="-119.84975"/>
    <x v="0"/>
    <x v="0"/>
    <x v="20"/>
    <n v="-8"/>
    <n v="668.47368419999998"/>
    <n v="4.0039030000000002"/>
    <s v="High"/>
    <n v="1.0020081000000001"/>
    <n v="44.679762160000003"/>
    <n v="1433.753463"/>
    <n v="1921.229773"/>
    <n v="0.74626860521799754"/>
    <n v="0.24304124999999999"/>
    <n v="0.18137407"/>
    <n v="39.947834360000002"/>
    <x v="741"/>
    <n v="103.0951493"/>
    <n v="291170.99420000002"/>
    <n v="416971.8"/>
    <n v="15.84423"/>
    <n v="55.792064359999998"/>
  </r>
  <r>
    <n v="796"/>
    <x v="795"/>
    <n v="47.561219999999999"/>
    <n v="-119.69252"/>
    <x v="0"/>
    <x v="0"/>
    <x v="20"/>
    <n v="-8"/>
    <n v="673"/>
    <n v="4.0117050000000001"/>
    <s v="High"/>
    <n v="0.99969730000000001"/>
    <n v="39.955599319999997"/>
    <n v="1282.15705"/>
    <n v="1718.0907709999999"/>
    <n v="0.74626851598401378"/>
    <n v="0.24449651999999999"/>
    <n v="0.18246009999999999"/>
    <n v="39.637861180000002"/>
    <x v="742"/>
    <n v="115.1791817"/>
    <n v="322792.58630000002"/>
    <n v="427900.06"/>
    <n v="16.162704000000002"/>
    <n v="55.800565180000007"/>
  </r>
  <r>
    <n v="797"/>
    <x v="796"/>
    <n v="47.585304000000001"/>
    <n v="-119.53514"/>
    <x v="0"/>
    <x v="0"/>
    <x v="20"/>
    <n v="-8"/>
    <n v="716.05555560000005"/>
    <n v="4.0051055"/>
    <s v="High"/>
    <n v="0.99736689999999995"/>
    <n v="30.24458723"/>
    <n v="970.53519470000003"/>
    <n v="1300.517251"/>
    <n v="0.7462686050136832"/>
    <n v="0.24418434999999999"/>
    <n v="0.18222712999999999"/>
    <n v="39.615635320000003"/>
    <x v="743"/>
    <n v="126.52777260000001"/>
    <n v="357172.1004"/>
    <n v="428137.62"/>
    <n v="16.192352"/>
    <n v="55.807987320000002"/>
  </r>
  <r>
    <n v="798"/>
    <x v="797"/>
    <n v="47.609229999999997"/>
    <n v="-119.37764"/>
    <x v="0"/>
    <x v="0"/>
    <x v="20"/>
    <n v="-8"/>
    <n v="644.20000000000005"/>
    <n v="3.9629897999999999"/>
    <s v="Moderate"/>
    <n v="0.99514484000000003"/>
    <n v="21.666202729999998"/>
    <n v="695.258779"/>
    <n v="931.64671759999999"/>
    <n v="0.74626869377165295"/>
    <n v="0.24097022000000001"/>
    <n v="0.17982851"/>
    <n v="40.073593799999998"/>
    <x v="744"/>
    <n v="135.1417337"/>
    <n v="385564.93400000001"/>
    <n v="439973.72"/>
    <n v="16.86195"/>
    <n v="56.935543799999998"/>
  </r>
  <r>
    <n v="799"/>
    <x v="798"/>
    <n v="47.656619999999997"/>
    <n v="-119.06224"/>
    <x v="0"/>
    <x v="0"/>
    <x v="32"/>
    <n v="-8"/>
    <n v="555.5"/>
    <n v="3.9597346999999998"/>
    <s v="Moderate"/>
    <n v="0.98877320000000002"/>
    <n v="0.57704398300000004"/>
    <n v="18.517081749999999"/>
    <n v="24.812891260000001"/>
    <n v="0.74626860513634474"/>
    <n v="0.24066911999999999"/>
    <n v="0.17960379000000001"/>
    <n v="46.050438960000001"/>
    <x v="745"/>
    <n v="73.372668790000006"/>
    <n v="201784.35269999999"/>
    <n v="280887.2"/>
    <n v="10.778441000000001"/>
    <n v="56.828879960000002"/>
  </r>
  <r>
    <n v="800"/>
    <x v="799"/>
    <n v="47.680076999999997"/>
    <n v="-118.90434"/>
    <x v="0"/>
    <x v="0"/>
    <x v="14"/>
    <n v="-8"/>
    <n v="604"/>
    <n v="3.9588093999999998"/>
    <s v="Moderate"/>
    <n v="0.98795310000000003"/>
    <n v="55.48272979"/>
    <n v="1780.415833"/>
    <n v="2385.7573809999999"/>
    <n v="0.74626860517297511"/>
    <n v="0.24122848"/>
    <n v="0.18002127000000001"/>
    <n v="39.802934870000001"/>
    <x v="746"/>
    <n v="137.7548376"/>
    <n v="426080.13130000001"/>
    <n v="514300.75"/>
    <n v="19.689425"/>
    <n v="59.492359870000001"/>
  </r>
  <r>
    <n v="801"/>
    <x v="800"/>
    <n v="47.703377000000003"/>
    <n v="-118.746315"/>
    <x v="0"/>
    <x v="0"/>
    <x v="14"/>
    <n v="-8"/>
    <n v="669.94736839999996"/>
    <n v="3.944423"/>
    <s v="Moderate"/>
    <n v="0.98603430000000003"/>
    <n v="59.750781150000002"/>
    <n v="1917.375908"/>
    <n v="2569.28359"/>
    <n v="0.7462686935232401"/>
    <n v="0.24019024"/>
    <n v="0.17924646999999999"/>
    <n v="39.91396469"/>
    <x v="125"/>
    <n v="129.96741549999999"/>
    <n v="404423.04570000002"/>
    <n v="440173.3"/>
    <n v="16.924379999999999"/>
    <n v="56.83834469"/>
  </r>
  <r>
    <n v="802"/>
    <x v="801"/>
    <n v="47.726520000000001"/>
    <n v="-118.58816"/>
    <x v="0"/>
    <x v="0"/>
    <x v="14"/>
    <n v="-8"/>
    <n v="713.63157890000002"/>
    <n v="3.901913"/>
    <s v="Moderate"/>
    <n v="0.98411053000000004"/>
    <n v="40.220146579999998"/>
    <n v="1290.646252"/>
    <n v="1729.4663029999999"/>
    <n v="0.7462685163400955"/>
    <n v="0.23630029999999999"/>
    <n v="0.17634349999999999"/>
    <n v="40.508829079999998"/>
    <x v="747"/>
    <n v="94.448110349999993"/>
    <n v="308131.98349999997"/>
    <n v="369986.2"/>
    <n v="14.459911"/>
    <n v="54.968740079999996"/>
  </r>
  <r>
    <n v="803"/>
    <x v="802"/>
    <n v="47.749507999999999"/>
    <n v="-118.42988"/>
    <x v="0"/>
    <x v="0"/>
    <x v="14"/>
    <n v="-8"/>
    <n v="694.1"/>
    <n v="3.8741436"/>
    <s v="Moderate"/>
    <n v="0.98254870000000005"/>
    <n v="82.777633589999994"/>
    <n v="2656.2966980000001"/>
    <n v="3559.4382449999998"/>
    <n v="0.74626851631190483"/>
    <n v="0.23408143000000001"/>
    <n v="0.17468764000000001"/>
    <n v="40.841838199999998"/>
    <x v="748"/>
    <n v="88.248707760000002"/>
    <n v="291919.92070000002"/>
    <n v="334338.96999999997"/>
    <n v="13.190595999999999"/>
    <n v="54.032434199999997"/>
  </r>
  <r>
    <n v="804"/>
    <x v="803"/>
    <n v="47.772334999999998"/>
    <n v="-118.27146999999999"/>
    <x v="0"/>
    <x v="0"/>
    <x v="14"/>
    <n v="-8"/>
    <n v="683.64705879999997"/>
    <n v="3.8587215000000001"/>
    <s v="Moderate"/>
    <n v="0.98124250000000002"/>
    <n v="26.897345290000001"/>
    <n v="863.12370699999997"/>
    <n v="1156.5858470000001"/>
    <n v="0.74626860534287687"/>
    <n v="0.23217214999999999"/>
    <n v="0.17326279"/>
    <n v="41.134730810000001"/>
    <x v="749"/>
    <n v="76.730259709999999"/>
    <n v="261238.2911"/>
    <n v="333583.56"/>
    <n v="13.269023000000001"/>
    <n v="54.403753809999998"/>
  </r>
  <r>
    <n v="805"/>
    <x v="804"/>
    <n v="47.795006000000001"/>
    <n v="-118.11293000000001"/>
    <x v="0"/>
    <x v="0"/>
    <x v="14"/>
    <n v="-8"/>
    <n v="674.42105260000005"/>
    <n v="3.819674"/>
    <s v="Moderate"/>
    <n v="0.98020260000000003"/>
    <n v="32.662439210000002"/>
    <n v="1048.1231009999999"/>
    <n v="1404.484886"/>
    <n v="0.74626869356001024"/>
    <n v="0.22768287000000001"/>
    <n v="0.16991259"/>
    <n v="41.910895629999999"/>
    <x v="750"/>
    <n v="75.73386361"/>
    <n v="254408.30160000001"/>
    <n v="338256.84"/>
    <n v="13.720205999999999"/>
    <n v="55.631101629999996"/>
  </r>
  <r>
    <n v="806"/>
    <x v="805"/>
    <n v="47.817515999999998"/>
    <n v="-117.95426"/>
    <x v="0"/>
    <x v="0"/>
    <x v="7"/>
    <n v="-8"/>
    <n v="632.63157890000002"/>
    <n v="3.7857449999999999"/>
    <s v="Moderate"/>
    <n v="0.97937655000000001"/>
    <n v="41.647364209999999"/>
    <n v="1336.4451770000001"/>
    <n v="1790.836661"/>
    <n v="0.7462686051187557"/>
    <n v="0.22503944000000001"/>
    <n v="0.16793986"/>
    <n v="42.375178990000002"/>
    <x v="751"/>
    <n v="52.260402560000003"/>
    <n v="184298.63260000001"/>
    <n v="250348.86"/>
    <n v="10.273807"/>
    <n v="52.64898599"/>
  </r>
  <r>
    <n v="807"/>
    <x v="806"/>
    <n v="47.839866999999998"/>
    <n v="-117.79546999999999"/>
    <x v="0"/>
    <x v="0"/>
    <x v="7"/>
    <n v="-8"/>
    <n v="610.15789470000004"/>
    <n v="3.7547581000000001"/>
    <s v="Moderate"/>
    <n v="0.97880180000000006"/>
    <n v="45.853451370000002"/>
    <n v="1471.4166210000001"/>
    <n v="1971.6984090000001"/>
    <n v="0.74626860491624003"/>
    <n v="0.22202714000000001"/>
    <n v="0.16569188000000001"/>
    <n v="42.930309059999999"/>
    <x v="731"/>
    <n v="48.004818149999998"/>
    <n v="170945.9633"/>
    <n v="238936.12"/>
    <n v="9.9384840000000008"/>
    <n v="52.868793060000002"/>
  </r>
  <r>
    <n v="808"/>
    <x v="807"/>
    <n v="47.86206"/>
    <n v="-117.63655"/>
    <x v="0"/>
    <x v="0"/>
    <x v="7"/>
    <n v="-8"/>
    <n v="653.44444439999995"/>
    <n v="3.7219180000000001"/>
    <s v="Moderate"/>
    <n v="0.97842050000000003"/>
    <n v="32.508456150000001"/>
    <n v="1043.18173"/>
    <n v="1397.863615"/>
    <n v="0.74626860503841075"/>
    <n v="0.21915543000000001"/>
    <n v="0.16354883000000001"/>
    <n v="43.479555449999999"/>
    <x v="752"/>
    <n v="52.859974000000001"/>
    <n v="194253.4051"/>
    <n v="294854.62"/>
    <n v="12.425106"/>
    <n v="55.904661449999999"/>
  </r>
  <r>
    <n v="809"/>
    <x v="808"/>
    <n v="47.884093999999997"/>
    <n v="-117.47752"/>
    <x v="0"/>
    <x v="0"/>
    <x v="29"/>
    <n v="-8"/>
    <n v="651.77777779999997"/>
    <n v="3.68303"/>
    <s v="Moderate"/>
    <n v="0.97837317000000001"/>
    <n v="41.002279100000003"/>
    <n v="1315.744686"/>
    <n v="1763.0980010000001"/>
    <n v="0.74626860517891314"/>
    <n v="0.21535351999999999"/>
    <n v="0.16071160000000001"/>
    <n v="44.245475249999998"/>
    <x v="753"/>
    <n v="44.914389589999999"/>
    <n v="170729.70370000001"/>
    <n v="211792.25"/>
    <n v="9.0824379999999998"/>
    <n v="53.327913249999995"/>
  </r>
  <r>
    <n v="810"/>
    <x v="809"/>
    <n v="47.905974999999998"/>
    <n v="-117.31836"/>
    <x v="0"/>
    <x v="0"/>
    <x v="29"/>
    <n v="-8"/>
    <n v="633.70000000000005"/>
    <n v="3.6508189999999998"/>
    <s v="Moderate"/>
    <n v="0.97844730000000002"/>
    <n v="41.032250679999997"/>
    <n v="1316.706461"/>
    <n v="1764.3867789999999"/>
    <n v="0.74626860542803919"/>
    <n v="0.21311960999999999"/>
    <n v="0.15904449000000001"/>
    <n v="44.711906149999997"/>
    <x v="216"/>
    <n v="50.260116859999997"/>
    <n v="169648.68299999999"/>
    <n v="210815.48"/>
    <n v="9.1353150000000003"/>
    <n v="53.847221149999996"/>
  </r>
  <r>
    <n v="811"/>
    <x v="810"/>
    <n v="47.927689999999998"/>
    <n v="-117.15907"/>
    <x v="0"/>
    <x v="0"/>
    <x v="29"/>
    <n v="-8"/>
    <n v="936.9375"/>
    <n v="3.6436380000000002"/>
    <s v="Moderate"/>
    <n v="0.97874760000000005"/>
    <n v="16.148646280000001"/>
    <n v="518.20279240000002"/>
    <n v="694.39178990000005"/>
    <n v="0.74626860504014148"/>
    <n v="0.21366963999999999"/>
    <n v="0.15945493999999999"/>
    <n v="44.60754884"/>
    <x v="754"/>
    <n v="56.080331139999998"/>
    <n v="184827.50330000001"/>
    <n v="315127.09999999998"/>
    <n v="13.62032"/>
    <n v="58.227868839999999"/>
  </r>
  <r>
    <n v="812"/>
    <x v="811"/>
    <n v="47.949244999999998"/>
    <n v="-116.999664"/>
    <x v="0"/>
    <x v="1"/>
    <x v="33"/>
    <n v="-8"/>
    <n v="950.82352939999998"/>
    <n v="3.6099212000000001"/>
    <s v="Moderate"/>
    <n v="0.97908569999999995"/>
    <n v="6.9036299010000004"/>
    <n v="221.5344034"/>
    <n v="296.85608569999999"/>
    <n v="0.74626869406302354"/>
    <n v="0.21107746999999999"/>
    <n v="0.15752049000000001"/>
    <n v="45.167602530000003"/>
    <x v="755"/>
    <n v="320.90101279999999"/>
    <n v="1148183.9890000001"/>
    <n v="1287518"/>
    <n v="56.332090000000001"/>
    <n v="101.49969253"/>
  </r>
  <r>
    <n v="813"/>
    <x v="812"/>
    <n v="47.970641999999998"/>
    <n v="-116.84013"/>
    <x v="0"/>
    <x v="1"/>
    <x v="33"/>
    <n v="-8"/>
    <n v="803.0625"/>
    <n v="3.5729825000000002"/>
    <s v="Moderate"/>
    <n v="0.97960745999999999"/>
    <n v="58.15087295"/>
    <n v="1866.0353459999999"/>
    <n v="2500.487537"/>
    <n v="0.746268604977254"/>
    <n v="0.20700355000000001"/>
    <n v="0.15448026000000001"/>
    <n v="46.07577242"/>
    <x v="756"/>
    <n v="254.00149339999999"/>
    <n v="861842.80980000005"/>
    <n v="895044.06"/>
    <n v="39.931075999999997"/>
    <n v="86.006848419999997"/>
  </r>
  <r>
    <n v="814"/>
    <x v="813"/>
    <n v="47.991880000000002"/>
    <n v="-116.68049999999999"/>
    <x v="0"/>
    <x v="1"/>
    <x v="13"/>
    <n v="-8"/>
    <n v="741.23809519999998"/>
    <n v="3.5488498000000002"/>
    <s v="Moderate"/>
    <n v="0.98014840000000003"/>
    <n v="54.79285342"/>
    <n v="1758.278219"/>
    <n v="2356.092697"/>
    <n v="0.74626869360395121"/>
    <n v="0.20483377999999999"/>
    <n v="0.15286104"/>
    <n v="46.584011220000001"/>
    <x v="757"/>
    <n v="259.75884400000001"/>
    <n v="883897.19460000005"/>
    <n v="946007.7"/>
    <n v="42.651814000000002"/>
    <n v="89.235825220000009"/>
  </r>
  <r>
    <n v="815"/>
    <x v="814"/>
    <n v="48.012954999999998"/>
    <n v="-116.52072"/>
    <x v="0"/>
    <x v="1"/>
    <x v="13"/>
    <n v="-8"/>
    <n v="824.90909090000002"/>
    <n v="3.5297976000000002"/>
    <s v="Moderate"/>
    <n v="0.98010260000000005"/>
    <n v="11.83717903"/>
    <n v="379.84970329999999"/>
    <n v="508.99869819999998"/>
    <n v="0.74626851629146274"/>
    <n v="0.20364694"/>
    <n v="0.15197532"/>
    <n v="46.853781820000002"/>
    <x v="758"/>
    <n v="259.75884400000001"/>
    <n v="883897.19460000005"/>
    <n v="1029972.1"/>
    <n v="46.708075999999998"/>
    <n v="93.56185782"/>
  </r>
  <r>
    <n v="816"/>
    <x v="815"/>
    <n v="48.033875000000002"/>
    <n v="-116.36084"/>
    <x v="0"/>
    <x v="1"/>
    <x v="13"/>
    <n v="-8"/>
    <n v="1136.0999999999999"/>
    <n v="3.5120027"/>
    <s v="Moderate"/>
    <n v="0.98033020000000004"/>
    <n v="1.1074320099999999"/>
    <n v="35.536994870000001"/>
    <n v="47.619576430000002"/>
    <n v="0.74626860493475411"/>
    <n v="0.20279833999999999"/>
    <n v="0.15134202999999999"/>
    <n v="50.564513499999997"/>
    <x v="759"/>
    <n v="273.14920119999999"/>
    <n v="952064.43480000005"/>
    <n v="1080183.6000000001"/>
    <n v="49.190086000000001"/>
    <n v="99.754599499999998"/>
  </r>
  <r>
    <n v="817"/>
    <x v="816"/>
    <n v="48.054625999999999"/>
    <n v="-116.20084"/>
    <x v="0"/>
    <x v="1"/>
    <x v="13"/>
    <n v="-8"/>
    <n v="1200.0714290000001"/>
    <n v="3.4300991999999999"/>
    <s v="Moderate"/>
    <n v="0.98098160000000001"/>
    <n v="2.4504119110000002"/>
    <n v="78.632615580000007"/>
    <n v="105.3677122"/>
    <n v="0.74626860485255941"/>
    <n v="0.19822724"/>
    <n v="0.14793079000000001"/>
    <n v="48.168679779999998"/>
    <x v="760"/>
    <n v="310.41094140000001"/>
    <n v="1133866.8419999999"/>
    <n v="1270951.1000000001"/>
    <n v="59.212029999999999"/>
    <n v="107.38070977999999"/>
  </r>
  <r>
    <n v="818"/>
    <x v="817"/>
    <n v="48.075221999999997"/>
    <n v="-116.04072600000001"/>
    <x v="0"/>
    <x v="1"/>
    <x v="13"/>
    <n v="-8"/>
    <n v="985.2142857"/>
    <n v="3.3990664000000002"/>
    <s v="Moderate"/>
    <n v="0.98144350000000002"/>
    <n v="30.352968239999999"/>
    <n v="974.01309249999997"/>
    <n v="1305.1776339999999"/>
    <n v="0.74626860522802985"/>
    <n v="0.19511248"/>
    <n v="0.14560632000000001"/>
    <n v="48.955730320000001"/>
    <x v="761"/>
    <n v="253.6509154"/>
    <n v="925141.02780000004"/>
    <n v="969907.56"/>
    <n v="45.908141999999998"/>
    <n v="94.863872319999999"/>
  </r>
  <r>
    <n v="819"/>
    <x v="818"/>
    <n v="48.095657000000003"/>
    <n v="-115.88048999999999"/>
    <x v="0"/>
    <x v="2"/>
    <x v="30"/>
    <n v="-7"/>
    <n v="964.5"/>
    <n v="3.3935884999999999"/>
    <s v="Moderate"/>
    <n v="0.98184185999999996"/>
    <n v="4.0120920590000004"/>
    <n v="128.74622880000001"/>
    <n v="172.5199586"/>
    <n v="0.74626860477347701"/>
    <n v="0.19332916"/>
    <n v="0.14427546999999999"/>
    <n v="49.423054290000003"/>
    <x v="762"/>
    <n v="240.89055830000001"/>
    <n v="866864.88439999998"/>
    <n v="1015762.7"/>
    <n v="48.522069999999999"/>
    <n v="97.945124289999995"/>
  </r>
  <r>
    <n v="820"/>
    <x v="819"/>
    <n v="48.115929999999999"/>
    <n v="-115.72014"/>
    <x v="0"/>
    <x v="2"/>
    <x v="30"/>
    <n v="-7"/>
    <n v="1132.333333"/>
    <n v="3.3579473000000002"/>
    <s v="Moderate"/>
    <n v="0.98222816000000002"/>
    <n v="0.57153598000000005"/>
    <n v="18.340334599999998"/>
    <n v="24.576047150000001"/>
    <n v="0.74626869358036685"/>
    <n v="0.19105512999999999"/>
    <n v="0.14257848000000001"/>
    <n v="57.756771180000001"/>
    <x v="763"/>
    <n v="238.87592839999999"/>
    <n v="856595.1605"/>
    <n v="1039362.2"/>
    <n v="50.240344999999998"/>
    <n v="107.99711618000001"/>
  </r>
  <r>
    <n v="821"/>
    <x v="820"/>
    <n v="48.136043999999998"/>
    <n v="-115.55968"/>
    <x v="0"/>
    <x v="2"/>
    <x v="14"/>
    <n v="-7"/>
    <n v="1331.1"/>
    <n v="3.5134807000000001"/>
    <s v="Moderate"/>
    <n v="0.98257899999999998"/>
    <n v="8.8473871580000001"/>
    <n v="283.90867270000001"/>
    <n v="380.43764779999998"/>
    <n v="0.74626860496533653"/>
    <n v="0.20146202999999999"/>
    <n v="0.15034481999999999"/>
    <n v="47.45582624"/>
    <x v="764"/>
    <n v="248.04688300000001"/>
    <n v="951632.97389999998"/>
    <n v="1179755.5"/>
    <n v="54.080813999999997"/>
    <n v="101.53664024"/>
  </r>
  <r>
    <n v="822"/>
    <x v="821"/>
    <n v="48.155994"/>
    <n v="-115.39909"/>
    <x v="0"/>
    <x v="2"/>
    <x v="14"/>
    <n v="-7"/>
    <n v="1191.7894739999999"/>
    <n v="3.5544055000000001"/>
    <s v="Moderate"/>
    <n v="0.98290290000000002"/>
    <n v="6.8927756840000001"/>
    <n v="221.18607009999999"/>
    <n v="296.3893544"/>
    <n v="0.74626860518577387"/>
    <n v="0.20513745999999999"/>
    <n v="0.15308765999999999"/>
    <n v="46.617636070000003"/>
    <x v="765"/>
    <n v="248.04688300000001"/>
    <n v="951632.97389999998"/>
    <n v="1103649.8999999999"/>
    <n v="49.685623"/>
    <n v="96.303259069999996"/>
  </r>
  <r>
    <n v="823"/>
    <x v="822"/>
    <n v="48.175784999999998"/>
    <n v="-115.2384"/>
    <x v="0"/>
    <x v="2"/>
    <x v="14"/>
    <n v="-7"/>
    <n v="1176.857143"/>
    <n v="3.5573315999999999"/>
    <s v="Moderate"/>
    <n v="0.98319524999999997"/>
    <n v="9.8541354860000006"/>
    <n v="316.21481119999999"/>
    <n v="423.72782590000003"/>
    <n v="0.74626869389178807"/>
    <n v="0.20468658000000001"/>
    <n v="0.15275119000000001"/>
    <n v="46.731226130000003"/>
    <x v="766"/>
    <n v="267.40282450000001"/>
    <n v="1036350.326"/>
    <n v="1178367.2"/>
    <n v="53.16621"/>
    <n v="99.897436130000003"/>
  </r>
  <r>
    <n v="824"/>
    <x v="823"/>
    <n v="48.195410000000003"/>
    <n v="-115.07761000000001"/>
    <x v="0"/>
    <x v="2"/>
    <x v="14"/>
    <n v="-7"/>
    <n v="1271.2666670000001"/>
    <n v="3.5886936"/>
    <s v="Moderate"/>
    <n v="0.98341626000000004"/>
    <n v="9.5408290279999992"/>
    <n v="306.16087390000001"/>
    <n v="410.2556482"/>
    <n v="0.74626851633434743"/>
    <n v="0.20817867000000001"/>
    <n v="0.15535723000000001"/>
    <n v="45.955435540000003"/>
    <x v="767"/>
    <n v="247.35648040000001"/>
    <n v="1006648.578"/>
    <n v="1082195"/>
    <n v="48.008006999999999"/>
    <n v="93.963442540000003"/>
  </r>
  <r>
    <n v="825"/>
    <x v="824"/>
    <n v="48.214877999999999"/>
    <n v="-114.91669"/>
    <x v="0"/>
    <x v="2"/>
    <x v="16"/>
    <n v="-7"/>
    <n v="1208.3846149999999"/>
    <n v="3.5757167000000001"/>
    <s v="Moderate"/>
    <n v="0.98363566000000002"/>
    <n v="11.23048784"/>
    <n v="360.3813442"/>
    <n v="482.91097719999999"/>
    <n v="0.74626869384819605"/>
    <n v="0.20759148999999999"/>
    <n v="0.15491904000000001"/>
    <n v="46.093503269999999"/>
    <x v="768"/>
    <n v="231.0281038"/>
    <n v="953477.14619999996"/>
    <n v="1071983.6000000001"/>
    <n v="47.689529999999998"/>
    <n v="93.783033270000004"/>
  </r>
  <r>
    <n v="826"/>
    <x v="825"/>
    <n v="48.234180000000002"/>
    <n v="-114.75566000000001"/>
    <x v="0"/>
    <x v="2"/>
    <x v="16"/>
    <n v="-7"/>
    <n v="1508.1"/>
    <n v="3.5523527000000001"/>
    <s v="Moderate"/>
    <n v="0.98372800000000005"/>
    <n v="2.4837841190000001"/>
    <n v="79.703505239999998"/>
    <n v="106.8027171"/>
    <n v="0.74626851642147973"/>
    <n v="0.20778606999999999"/>
    <n v="0.15506423"/>
    <n v="46.053736919999999"/>
    <x v="769"/>
    <n v="226.88170769999999"/>
    <n v="936859.43220000004"/>
    <n v="1036601.1"/>
    <n v="46.072277"/>
    <n v="92.126013919999991"/>
  </r>
  <r>
    <n v="827"/>
    <x v="826"/>
    <n v="48.253323000000002"/>
    <n v="-114.59453000000001"/>
    <x v="0"/>
    <x v="2"/>
    <x v="16"/>
    <n v="-7"/>
    <n v="1369.4666669999999"/>
    <n v="3.5554041999999999"/>
    <s v="Moderate"/>
    <n v="0.98390359999999999"/>
    <n v="7.6230719599999999"/>
    <n v="244.620949"/>
    <n v="327.79209429999997"/>
    <n v="0.74626860517300775"/>
    <n v="0.20885997000000001"/>
    <n v="0.15586564999999999"/>
    <n v="45.823366759999999"/>
    <x v="770"/>
    <n v="191.05357129999999"/>
    <n v="743314.69"/>
    <n v="905732"/>
    <n v="40.048748000000003"/>
    <n v="85.872114760000002"/>
  </r>
  <r>
    <n v="828"/>
    <x v="827"/>
    <n v="48.272300000000001"/>
    <n v="-114.43328"/>
    <x v="0"/>
    <x v="2"/>
    <x v="16"/>
    <n v="-7"/>
    <n v="1043.25"/>
    <n v="3.5317178"/>
    <s v="Moderate"/>
    <n v="0.98119204999999998"/>
    <n v="43.94168921"/>
    <n v="1410.069201"/>
    <n v="1889.4926359999999"/>
    <n v="0.74626869358171977"/>
    <n v="0.20426080999999999"/>
    <n v="0.15243344"/>
    <n v="46.753722850000003"/>
    <x v="771"/>
    <n v="185.57526609999999"/>
    <n v="718662.88529999997"/>
    <n v="803131.2"/>
    <n v="36.311638000000002"/>
    <n v="83.065360850000005"/>
  </r>
  <r>
    <n v="829"/>
    <x v="828"/>
    <n v="48.291110000000003"/>
    <n v="-114.27193"/>
    <x v="0"/>
    <x v="2"/>
    <x v="16"/>
    <n v="-7"/>
    <n v="923.17647060000002"/>
    <n v="3.5018113"/>
    <s v="Moderate"/>
    <n v="0.98125320000000005"/>
    <n v="34.750941939999997"/>
    <n v="1115.1422219999999"/>
    <n v="1494.2905040000001"/>
    <n v="0.74626869341331226"/>
    <n v="0.20139492000000001"/>
    <n v="0.1502947"/>
    <n v="47.421364560000001"/>
    <x v="401"/>
    <n v="195.76555189999999"/>
    <n v="742332.75349999999"/>
    <n v="787620.5"/>
    <n v="36.117103999999998"/>
    <n v="83.538468559999998"/>
  </r>
  <r>
    <n v="830"/>
    <x v="829"/>
    <n v="48.30977"/>
    <n v="-114.110466"/>
    <x v="0"/>
    <x v="2"/>
    <x v="16"/>
    <n v="-7"/>
    <n v="964.77777779999997"/>
    <n v="3.4470622999999998"/>
    <s v="Moderate"/>
    <n v="0.98133990000000004"/>
    <n v="10.776563530000001"/>
    <n v="345.81511540000002"/>
    <n v="463.3922316"/>
    <n v="0.74626869381467642"/>
    <n v="0.19706380000000001"/>
    <n v="0.14706253999999999"/>
    <n v="48.466954520000002"/>
    <x v="772"/>
    <n v="194.2137142"/>
    <n v="706896.14350000001"/>
    <n v="789264.1"/>
    <n v="36.987920000000003"/>
    <n v="85.454874520000004"/>
  </r>
  <r>
    <n v="831"/>
    <x v="830"/>
    <n v="48.32826"/>
    <n v="-113.94889999999999"/>
    <x v="0"/>
    <x v="2"/>
    <x v="16"/>
    <n v="-7"/>
    <n v="1283.7777779999999"/>
    <n v="3.3518238"/>
    <s v="Moderate"/>
    <n v="0.98145294000000005"/>
    <n v="1.2755879649999999"/>
    <n v="40.933048679999999"/>
    <n v="54.85028251"/>
    <n v="0.74626869373986016"/>
    <n v="0.19258555999999999"/>
    <n v="0.14372057999999999"/>
    <n v="52.491866190000003"/>
    <x v="773"/>
    <n v="213.3278895"/>
    <n v="797324.3112"/>
    <n v="949481.9"/>
    <n v="45.531019999999998"/>
    <n v="98.022886190000008"/>
  </r>
  <r>
    <n v="832"/>
    <x v="831"/>
    <n v="48.346589999999999"/>
    <n v="-113.78722999999999"/>
    <x v="0"/>
    <x v="2"/>
    <x v="16"/>
    <n v="-7"/>
    <n v="1220"/>
    <n v="3.3048573000000001"/>
    <s v="Moderate"/>
    <n v="0.98158276"/>
    <n v="2.7216001E-2"/>
    <n v="0.87334922800000003"/>
    <n v="1.1702880470000001"/>
    <n v="0.74626860475829504"/>
    <n v="0.18934677999999999"/>
    <n v="0.14130354000000001"/>
    <n v="82.23183779"/>
    <x v="774"/>
    <n v="213.3278895"/>
    <n v="797324.3112"/>
    <n v="1062444.5"/>
    <n v="51.819443"/>
    <n v="134.05128078999999"/>
  </r>
  <r>
    <n v="833"/>
    <x v="832"/>
    <n v="48.364745999999997"/>
    <n v="-113.62546"/>
    <x v="0"/>
    <x v="2"/>
    <x v="16"/>
    <n v="-7"/>
    <n v="1393.666667"/>
    <n v="3.3108686999999999"/>
    <s v="Moderate"/>
    <n v="0.98168330000000004"/>
    <n v="0.40435201599999998"/>
    <n v="12.975472699999999"/>
    <n v="17.387136689999998"/>
    <n v="0.74626851627977853"/>
    <n v="0.18816972000000001"/>
    <n v="0.14042515999999999"/>
    <n v="60.888433220000003"/>
    <x v="775"/>
    <n v="213.20061029999999"/>
    <n v="796745.88260000001"/>
    <n v="1298258"/>
    <n v="63.717052000000002"/>
    <n v="124.60548522000001"/>
  </r>
  <r>
    <n v="834"/>
    <x v="833"/>
    <n v="48.400579999999998"/>
    <n v="-113.30159"/>
    <x v="0"/>
    <x v="2"/>
    <x v="19"/>
    <n v="-7"/>
    <n v="1552"/>
    <n v="3.6641536000000001"/>
    <s v="Moderate"/>
    <n v="0.98201780000000005"/>
    <n v="10.67709529"/>
    <n v="342.62318329999999"/>
    <n v="459.11509740000002"/>
    <n v="0.7462686050628663"/>
    <n v="0.2186786"/>
    <n v="0.16319299000000001"/>
    <n v="43.70002058"/>
    <x v="776"/>
    <n v="239.31888950000001"/>
    <n v="641934.87360000005"/>
    <n v="880910.4"/>
    <n v="37.202305000000003"/>
    <n v="80.902325579999996"/>
  </r>
  <r>
    <n v="835"/>
    <x v="834"/>
    <n v="48.418255000000002"/>
    <n v="-113.1395"/>
    <x v="0"/>
    <x v="2"/>
    <x v="19"/>
    <n v="-7"/>
    <n v="1513.3125"/>
    <n v="3.7045028000000002"/>
    <s v="Moderate"/>
    <n v="0.98215187000000004"/>
    <n v="60.816018159999999"/>
    <n v="1951.5584249999999"/>
    <n v="2615.0887809999999"/>
    <n v="0.74626851645691794"/>
    <n v="0.22236949"/>
    <n v="0.16594738000000001"/>
    <n v="42.97929938"/>
    <x v="777"/>
    <n v="239.22888950000001"/>
    <n v="641654.40899999999"/>
    <n v="800277.2"/>
    <n v="33.236065000000004"/>
    <n v="76.215364380000011"/>
  </r>
  <r>
    <n v="836"/>
    <x v="835"/>
    <n v="48.435763999999999"/>
    <n v="-112.97732499999999"/>
    <x v="0"/>
    <x v="2"/>
    <x v="19"/>
    <n v="-7"/>
    <n v="1412.0526319999999"/>
    <n v="3.7396332999999999"/>
    <s v="Moderate"/>
    <n v="0.98228514"/>
    <n v="82.156116800000007"/>
    <n v="2636.3525060000002"/>
    <n v="3532.7130219999999"/>
    <n v="0.74626851645805725"/>
    <n v="0.22563216"/>
    <n v="0.16838220000000001"/>
    <n v="42.362335960000003"/>
    <x v="778"/>
    <n v="235.6379349"/>
    <n v="632636.89560000005"/>
    <n v="763748.25"/>
    <n v="31.260334"/>
    <n v="73.622669959999996"/>
  </r>
  <r>
    <n v="837"/>
    <x v="836"/>
    <n v="48.453105999999998"/>
    <n v="-112.81502999999999"/>
    <x v="0"/>
    <x v="2"/>
    <x v="19"/>
    <n v="-7"/>
    <n v="1296.2666670000001"/>
    <n v="3.7460846999999999"/>
    <s v="Moderate"/>
    <n v="0.98245249999999995"/>
    <n v="86.876716110000004"/>
    <n v="2787.8340640000001"/>
    <n v="3735.698793"/>
    <n v="0.74626842753593492"/>
    <n v="0.22760937000000001"/>
    <n v="0.16985774000000001"/>
    <n v="41.999941479999997"/>
    <x v="779"/>
    <n v="222.1059544"/>
    <n v="597137.27509999997"/>
    <n v="721814.9"/>
    <n v="29.287354000000001"/>
    <n v="71.287295479999997"/>
  </r>
  <r>
    <n v="838"/>
    <x v="837"/>
    <n v="48.470286999999999"/>
    <n v="-112.65264000000001"/>
    <x v="0"/>
    <x v="2"/>
    <x v="19"/>
    <n v="-7"/>
    <n v="1217.7619050000001"/>
    <n v="3.7573295"/>
    <s v="Moderate"/>
    <n v="0.9825931"/>
    <n v="91.971616109999999"/>
    <n v="2951.3274249999999"/>
    <n v="3954.779493"/>
    <n v="0.74626851641763581"/>
    <n v="0.22929849999999999"/>
    <n v="0.17111829000000001"/>
    <n v="41.695240130000002"/>
    <x v="780"/>
    <n v="214.65404530000001"/>
    <n v="578240.55799999996"/>
    <n v="694800"/>
    <n v="27.983561999999999"/>
    <n v="69.678802130000008"/>
  </r>
  <r>
    <n v="839"/>
    <x v="838"/>
    <n v="48.487299999999998"/>
    <n v="-112.49016"/>
    <x v="0"/>
    <x v="2"/>
    <x v="19"/>
    <n v="-7"/>
    <n v="1183.0625"/>
    <n v="3.7770638000000001"/>
    <s v="Moderate"/>
    <n v="0.98272866000000003"/>
    <n v="87.0261627"/>
    <n v="2792.6300689999998"/>
    <n v="3742.124996"/>
    <n v="0.74626851641382208"/>
    <n v="0.23083140999999999"/>
    <n v="0.17226225000000001"/>
    <n v="41.422831680000002"/>
    <x v="781"/>
    <n v="201.9166233"/>
    <n v="547129.66059999994"/>
    <n v="655339.43999999994"/>
    <n v="26.218983000000001"/>
    <n v="67.64181468000001"/>
  </r>
  <r>
    <n v="840"/>
    <x v="839"/>
    <n v="48.504150000000003"/>
    <n v="-112.32757599999999"/>
    <x v="0"/>
    <x v="2"/>
    <x v="19"/>
    <n v="-7"/>
    <n v="1138.2857140000001"/>
    <n v="3.7643034000000002"/>
    <s v="Moderate"/>
    <n v="0.98285997000000003"/>
    <n v="46.116535249999998"/>
    <n v="1479.8590409999999"/>
    <n v="1983.0110159999999"/>
    <n v="0.7462686939506139"/>
    <n v="0.22943287000000001"/>
    <n v="0.17121855999999999"/>
    <n v="41.67971387"/>
    <x v="782"/>
    <n v="171.25686350000001"/>
    <n v="456240.8334"/>
    <n v="535144.30000000005"/>
    <n v="21.540694999999999"/>
    <n v="63.22040887"/>
  </r>
  <r>
    <n v="841"/>
    <x v="840"/>
    <n v="48.520836000000003"/>
    <n v="-112.16489"/>
    <x v="0"/>
    <x v="2"/>
    <x v="21"/>
    <n v="-7"/>
    <n v="1120"/>
    <n v="3.7572117"/>
    <s v="Moderate"/>
    <n v="0.98295622999999999"/>
    <n v="47.242597410000002"/>
    <n v="1515.9936929999999"/>
    <n v="2031.431689"/>
    <n v="0.74626860514628901"/>
    <n v="0.22897234999999999"/>
    <n v="0.1708749"/>
    <n v="41.766743990000002"/>
    <x v="783"/>
    <n v="178.34877259999999"/>
    <n v="474287.9252"/>
    <n v="517086"/>
    <n v="20.85567"/>
    <n v="62.622413989999998"/>
  </r>
  <r>
    <n v="842"/>
    <x v="841"/>
    <n v="48.537357"/>
    <n v="-112.00211"/>
    <x v="0"/>
    <x v="2"/>
    <x v="21"/>
    <n v="-7"/>
    <n v="1062.1111109999999"/>
    <n v="3.7488703999999999"/>
    <s v="Moderate"/>
    <n v="0.98306506999999999"/>
    <n v="48.24473115"/>
    <n v="1548.151713"/>
    <n v="2074.5234399999999"/>
    <n v="0.74626860470663081"/>
    <n v="0.22799388000000001"/>
    <n v="0.17014468999999999"/>
    <n v="41.949636849999997"/>
    <x v="784"/>
    <n v="177.21120769999999"/>
    <n v="469180.84350000002"/>
    <n v="527318"/>
    <n v="21.359635999999998"/>
    <n v="63.309272849999999"/>
  </r>
  <r>
    <n v="843"/>
    <x v="842"/>
    <n v="48.553710000000002"/>
    <n v="-111.83923"/>
    <x v="0"/>
    <x v="2"/>
    <x v="21"/>
    <n v="-7"/>
    <n v="1039.4000000000001"/>
    <n v="3.7564706999999999"/>
    <s v="Moderate"/>
    <n v="0.98309709999999995"/>
    <n v="61.671778420000003"/>
    <n v="1979.019618"/>
    <n v="2651.8864720000001"/>
    <n v="0.74626860497065806"/>
    <n v="0.22848287"/>
    <n v="0.17050962"/>
    <n v="41.860927719999999"/>
    <x v="785"/>
    <n v="169.2720194"/>
    <n v="447022.56530000002"/>
    <n v="524612.30000000005"/>
    <n v="21.204560000000001"/>
    <n v="63.06548772"/>
  </r>
  <r>
    <n v="844"/>
    <x v="843"/>
    <n v="48.569899999999997"/>
    <n v="-111.67627"/>
    <x v="0"/>
    <x v="2"/>
    <x v="21"/>
    <n v="-7"/>
    <n v="1012.705882"/>
    <n v="3.7695956000000002"/>
    <s v="Moderate"/>
    <n v="0.9831202"/>
    <n v="51.120555469999999"/>
    <n v="1640.435817"/>
    <n v="2198.1838849999999"/>
    <n v="0.74626869398599016"/>
    <n v="0.22929447999999999"/>
    <n v="0.1711153"/>
    <n v="41.713534699999997"/>
    <x v="786"/>
    <n v="178.42488299999999"/>
    <n v="469977.41369999998"/>
    <n v="565545.25"/>
    <n v="22.778134999999999"/>
    <n v="64.491669699999989"/>
  </r>
  <r>
    <n v="845"/>
    <x v="844"/>
    <n v="48.585926000000001"/>
    <n v="-111.513214"/>
    <x v="0"/>
    <x v="2"/>
    <x v="21"/>
    <n v="-7"/>
    <n v="992.4"/>
    <n v="3.7717494999999999"/>
    <s v="Moderate"/>
    <n v="0.98311079999999995"/>
    <n v="41.34968525"/>
    <n v="1326.892951"/>
    <n v="1778.036466"/>
    <n v="0.74626869379404503"/>
    <n v="0.22959246"/>
    <n v="0.17133766"/>
    <n v="41.659076689999999"/>
    <x v="787"/>
    <n v="186.37951290000001"/>
    <n v="488631.32030000002"/>
    <n v="588914.56000000006"/>
    <n v="23.688583000000001"/>
    <n v="65.34765969"/>
  </r>
  <r>
    <n v="846"/>
    <x v="845"/>
    <n v="48.601784000000002"/>
    <n v="-111.35007"/>
    <x v="0"/>
    <x v="2"/>
    <x v="21"/>
    <n v="-7"/>
    <n v="1008.8421049999999"/>
    <n v="3.7631109"/>
    <s v="Moderate"/>
    <n v="0.9830139"/>
    <n v="51.526362300000002"/>
    <n v="1653.457977"/>
    <n v="2215.6335789999998"/>
    <n v="0.74626869382719363"/>
    <n v="0.22901975999999999"/>
    <n v="0.17091028"/>
    <n v="41.760024170000001"/>
    <x v="788"/>
    <n v="222.70927259999999"/>
    <n v="580943.85210000002"/>
    <n v="689997.1"/>
    <n v="27.823945999999999"/>
    <n v="69.583970170000001"/>
  </r>
  <r>
    <n v="847"/>
    <x v="846"/>
    <n v="48.617474000000001"/>
    <n v="-111.18680999999999"/>
    <x v="0"/>
    <x v="2"/>
    <x v="24"/>
    <n v="-7"/>
    <n v="1052.666667"/>
    <n v="3.7874590000000001"/>
    <s v="Moderate"/>
    <n v="0.98292416000000005"/>
    <n v="47.373170360000003"/>
    <n v="1520.1839010000001"/>
    <n v="2037.0463259999999"/>
    <n v="0.74626869384216454"/>
    <n v="0.23106458999999999"/>
    <n v="0.17243627"/>
    <n v="41.387496929999998"/>
    <x v="789"/>
    <n v="222.70927259999999"/>
    <n v="580943.85210000002"/>
    <n v="665396.30000000005"/>
    <n v="26.594474999999999"/>
    <n v="67.98197193"/>
  </r>
  <r>
    <n v="848"/>
    <x v="847"/>
    <n v="48.633000000000003"/>
    <n v="-111.02348000000001"/>
    <x v="0"/>
    <x v="2"/>
    <x v="24"/>
    <n v="-7"/>
    <n v="1026.3"/>
    <n v="3.7832932000000001"/>
    <s v="Moderate"/>
    <n v="0.98269653000000001"/>
    <n v="38.97282173"/>
    <n v="1250.620461"/>
    <n v="1675.831334"/>
    <n v="0.74626869400688745"/>
    <n v="0.23066863000000001"/>
    <n v="0.17214075000000001"/>
    <n v="41.451012210000002"/>
    <x v="790"/>
    <n v="222.70927259999999"/>
    <n v="580943.85210000002"/>
    <n v="673226.06"/>
    <n v="26.953600000000002"/>
    <n v="68.40461221000001"/>
  </r>
  <r>
    <n v="849"/>
    <x v="848"/>
    <n v="48.648359999999997"/>
    <n v="-110.86005400000001"/>
    <x v="0"/>
    <x v="2"/>
    <x v="24"/>
    <n v="-7"/>
    <n v="1039.5999999999999"/>
    <n v="3.7764446999999999"/>
    <s v="Moderate"/>
    <n v="0.98187610000000003"/>
    <n v="32.707796039999998"/>
    <n v="1049.5784570000001"/>
    <n v="1406.43523"/>
    <n v="0.74626860491826563"/>
    <n v="0.23021444999999999"/>
    <n v="0.17180184000000001"/>
    <n v="41.505562019999999"/>
    <x v="791"/>
    <n v="248.6803634"/>
    <n v="622544.8077"/>
    <n v="730274.44"/>
    <n v="29.295297999999999"/>
    <n v="70.800860020000002"/>
  </r>
  <r>
    <n v="850"/>
    <x v="849"/>
    <n v="48.663555000000002"/>
    <n v="-110.69653"/>
    <x v="0"/>
    <x v="2"/>
    <x v="25"/>
    <n v="-7"/>
    <n v="979.68421049999995"/>
    <n v="3.7625709000000001"/>
    <s v="Moderate"/>
    <n v="0.98145760000000004"/>
    <n v="46.238683889999997"/>
    <n v="1483.778736"/>
    <n v="1988.2634069999999"/>
    <n v="0.74626869396485351"/>
    <n v="0.22921968000000001"/>
    <n v="0.17105946"/>
    <n v="41.671732650000003"/>
    <x v="792"/>
    <n v="237.1193375"/>
    <n v="594882.45030000003"/>
    <n v="708102"/>
    <n v="28.529115999999998"/>
    <n v="70.200848649999998"/>
  </r>
  <r>
    <n v="851"/>
    <x v="850"/>
    <n v="48.678584999999998"/>
    <n v="-110.53292999999999"/>
    <x v="0"/>
    <x v="2"/>
    <x v="25"/>
    <n v="-7"/>
    <n v="927.52631580000002"/>
    <n v="3.7538415999999999"/>
    <s v="Moderate"/>
    <n v="0.98108065"/>
    <n v="39.861958889999997"/>
    <n v="1279.1523239999999"/>
    <n v="1714.0642319999999"/>
    <n v="0.74626860541128193"/>
    <n v="0.22854559999999999"/>
    <n v="0.17055643000000001"/>
    <n v="41.78204539"/>
    <x v="793"/>
    <n v="223.87919460000001"/>
    <n v="563673.65949999995"/>
    <n v="683832.56"/>
    <n v="27.632572"/>
    <n v="69.414617390000004"/>
  </r>
  <r>
    <n v="852"/>
    <x v="851"/>
    <n v="48.693443000000002"/>
    <n v="-110.36924999999999"/>
    <x v="0"/>
    <x v="2"/>
    <x v="25"/>
    <n v="-7"/>
    <n v="889.9375"/>
    <n v="3.7599084"/>
    <s v="Moderate"/>
    <n v="0.98069733000000003"/>
    <n v="51.498660940000001"/>
    <n v="1652.5690520000001"/>
    <n v="2214.4424199999999"/>
    <n v="0.74626869367865534"/>
    <n v="0.2291782"/>
    <n v="0.17102848000000001"/>
    <n v="41.653933790000004"/>
    <x v="794"/>
    <n v="212.1008894"/>
    <n v="535678.96059999999"/>
    <n v="666945.43999999994"/>
    <n v="26.875800999999999"/>
    <n v="68.529734790000006"/>
  </r>
  <r>
    <n v="853"/>
    <x v="852"/>
    <n v="48.708137999999998"/>
    <n v="-110.20547000000001"/>
    <x v="0"/>
    <x v="2"/>
    <x v="25"/>
    <n v="-7"/>
    <n v="838.2857143"/>
    <n v="3.7527919999999999"/>
    <s v="Moderate"/>
    <n v="0.98020929999999995"/>
    <n v="26.05478115"/>
    <n v="836.08620299999995"/>
    <n v="1120.3555899999999"/>
    <n v="0.74626860477395396"/>
    <n v="0.2286205"/>
    <n v="0.17061232000000001"/>
    <n v="41.739237060000001"/>
    <x v="795"/>
    <n v="199.92530500000001"/>
    <n v="504008.53259999998"/>
    <n v="641351.75"/>
    <n v="25.907501"/>
    <n v="67.646738060000004"/>
  </r>
  <r>
    <n v="854"/>
    <x v="853"/>
    <n v="48.722664000000002"/>
    <n v="-110.0416"/>
    <x v="0"/>
    <x v="2"/>
    <x v="25"/>
    <n v="-7"/>
    <n v="829.44444439999995"/>
    <n v="3.7479203000000001"/>
    <s v="Moderate"/>
    <n v="0.9796996"/>
    <n v="50.016123630000003"/>
    <n v="1604.9947099999999"/>
    <n v="2150.6933159999999"/>
    <n v="0.74626851632434232"/>
    <n v="0.22826804000000001"/>
    <n v="0.17034928999999999"/>
    <n v="41.786625469999997"/>
    <x v="796"/>
    <n v="187.78699979999999"/>
    <n v="473855.58519999997"/>
    <n v="620976.25"/>
    <n v="25.123161"/>
    <n v="66.90978647"/>
  </r>
  <r>
    <n v="855"/>
    <x v="854"/>
    <n v="48.737026"/>
    <n v="-109.877655"/>
    <x v="0"/>
    <x v="2"/>
    <x v="25"/>
    <n v="-7"/>
    <n v="867"/>
    <n v="3.7461289999999998"/>
    <s v="Moderate"/>
    <n v="0.97920185000000004"/>
    <n v="58.026129789999999"/>
    <n v="1862.0323940000001"/>
    <n v="2495.1235809999998"/>
    <n v="0.74626860496173564"/>
    <n v="0.22845845000000001"/>
    <n v="0.17049135000000001"/>
    <n v="41.735169900000002"/>
    <x v="797"/>
    <n v="204.8439673"/>
    <n v="523869.80869999999"/>
    <n v="675219.75"/>
    <n v="27.29495"/>
    <n v="69.030119900000003"/>
  </r>
  <r>
    <n v="856"/>
    <x v="855"/>
    <n v="48.751220000000004"/>
    <n v="-109.71362000000001"/>
    <x v="0"/>
    <x v="2"/>
    <x v="25"/>
    <n v="-7"/>
    <n v="837.57142859999999"/>
    <n v="3.7410884000000002"/>
    <s v="Moderate"/>
    <n v="0.97861480000000001"/>
    <n v="69.455554100000001"/>
    <n v="2228.7974770000001"/>
    <n v="2986.5888260000002"/>
    <n v="0.74626860503763226"/>
    <n v="0.22784473"/>
    <n v="0.17003338000000001"/>
    <n v="41.827888399999999"/>
    <x v="798"/>
    <n v="204.8439673"/>
    <n v="523869.80869999999"/>
    <n v="665728.06000000006"/>
    <n v="26.983750000000001"/>
    <n v="68.811638399999993"/>
  </r>
  <r>
    <n v="857"/>
    <x v="856"/>
    <n v="48.765247000000002"/>
    <n v="-109.549515"/>
    <x v="0"/>
    <x v="2"/>
    <x v="25"/>
    <n v="-7"/>
    <n v="821.25"/>
    <n v="3.7331777000000002"/>
    <s v="Moderate"/>
    <n v="0.97790739999999998"/>
    <n v="42.325090580000001"/>
    <n v="1358.1932730000001"/>
    <n v="1819.978895"/>
    <n v="0.74626869395647588"/>
    <n v="0.22747609999999999"/>
    <n v="0.16975829000000001"/>
    <n v="41.871920930000002"/>
    <x v="799"/>
    <n v="234.42471420000001"/>
    <n v="610161.39439999999"/>
    <n v="722963.4"/>
    <n v="29.351134999999999"/>
    <n v="71.223055930000001"/>
  </r>
  <r>
    <n v="858"/>
    <x v="857"/>
    <n v="48.779105999999999"/>
    <n v="-109.38531500000001"/>
    <x v="0"/>
    <x v="2"/>
    <x v="26"/>
    <n v="-7"/>
    <n v="791.94444439999995"/>
    <n v="3.7149885"/>
    <s v="Moderate"/>
    <n v="0.97733194000000001"/>
    <n v="70.011701369999997"/>
    <n v="2246.6437259999998"/>
    <n v="3010.5031589999999"/>
    <n v="0.74626851637195035"/>
    <n v="0.22595345999999999"/>
    <n v="0.16862199"/>
    <n v="42.134621350000003"/>
    <x v="800"/>
    <n v="234.42471420000001"/>
    <n v="610161.39439999999"/>
    <n v="688430"/>
    <n v="28.13748"/>
    <n v="70.27210135"/>
  </r>
  <r>
    <n v="859"/>
    <x v="858"/>
    <n v="48.792797"/>
    <n v="-109.22104"/>
    <x v="0"/>
    <x v="2"/>
    <x v="26"/>
    <n v="-7"/>
    <n v="808.73684209999999"/>
    <n v="3.7103071000000001"/>
    <s v="Moderate"/>
    <n v="0.97670009999999996"/>
    <n v="63.953553960000001"/>
    <n v="2052.2405250000002"/>
    <n v="2750.0028200000002"/>
    <n v="0.74626851655373938"/>
    <n v="0.22579974999999999"/>
    <n v="0.16850725999999999"/>
    <n v="42.141938379999999"/>
    <x v="801"/>
    <n v="234.42471420000001"/>
    <n v="610161.39439999999"/>
    <n v="687298.3"/>
    <n v="28.110347999999998"/>
    <n v="70.252286380000001"/>
  </r>
  <r>
    <n v="860"/>
    <x v="859"/>
    <n v="48.806319999999999"/>
    <n v="-109.05669"/>
    <x v="0"/>
    <x v="2"/>
    <x v="26"/>
    <n v="-7"/>
    <n v="881.46666670000002"/>
    <n v="3.7202058"/>
    <s v="Moderate"/>
    <n v="0.97603583000000005"/>
    <n v="80.65599521"/>
    <n v="2588.214285"/>
    <n v="3468.2077939999999"/>
    <n v="0.74626851640135605"/>
    <n v="0.22733575"/>
    <n v="0.16965353"/>
    <n v="41.834891210000002"/>
    <x v="802"/>
    <n v="234.42471420000001"/>
    <n v="610161.39439999999"/>
    <n v="715508.9"/>
    <n v="29.066431000000001"/>
    <n v="70.90132221000000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61">
  <r>
    <n v="1"/>
    <x v="0"/>
    <n v="48.994427000000002"/>
    <n v="-122.73455"/>
    <x v="0"/>
    <x v="0"/>
    <x v="0"/>
    <n v="-8"/>
    <n v="23.2"/>
    <n v="3.2631747999999998"/>
    <x v="0"/>
    <n v="1.0187165"/>
    <n v="7.9333018620000004"/>
    <n v="254.5761172"/>
    <n v="341.13198"/>
    <n v="0.74626869401103935"/>
    <n v="0.18772335000000001"/>
    <n v="0.14009205999999999"/>
    <n v="52.399515530000002"/>
    <n v="5.7727922060000001"/>
    <n v="206.93962970000001"/>
    <n v="711147.16330000001"/>
    <n v="740416.25"/>
    <n v="36.42521"/>
    <n v="88.824725529999995"/>
  </r>
  <r>
    <n v="2"/>
    <x v="1"/>
    <n v="48.900374999999997"/>
    <n v="-122.68828600000001"/>
    <x v="0"/>
    <x v="0"/>
    <x v="0"/>
    <n v="-8"/>
    <n v="39.705882350000003"/>
    <n v="3.3171778000000001"/>
    <x v="0"/>
    <n v="1.0188096"/>
    <n v="21.39866147"/>
    <n v="686.67341769999996"/>
    <n v="920.14244340000005"/>
    <n v="0.74626860506802262"/>
    <n v="0.19130403000000001"/>
    <n v="0.14276420000000001"/>
    <n v="51.422456169999997"/>
    <n v="1.288233765"/>
    <n v="204.6768375"/>
    <n v="702294.37849999999"/>
    <n v="727350.1"/>
    <n v="35.112667000000002"/>
    <n v="86.535123169999991"/>
  </r>
  <r>
    <n v="3"/>
    <x v="2"/>
    <n v="48.927494000000003"/>
    <n v="-122.52849999999999"/>
    <x v="0"/>
    <x v="0"/>
    <x v="0"/>
    <n v="-8"/>
    <n v="28.055555559999998"/>
    <n v="3.2327954999999999"/>
    <x v="0"/>
    <n v="1.0162028000000001"/>
    <n v="14.64204529"/>
    <n v="469.85664459999998"/>
    <n v="629.60794739999994"/>
    <n v="0.74626860499505832"/>
    <n v="0.18551946"/>
    <n v="0.13844734"/>
    <n v="52.918499359999998"/>
    <n v="1.213675324"/>
    <n v="203.65860380000001"/>
    <n v="695817.72990000003"/>
    <n v="739177.8"/>
    <n v="36.796275999999999"/>
    <n v="89.714775360000004"/>
  </r>
  <r>
    <n v="4"/>
    <x v="3"/>
    <n v="48.954459999999997"/>
    <n v="-122.36857000000001"/>
    <x v="0"/>
    <x v="0"/>
    <x v="0"/>
    <n v="-8"/>
    <n v="32"/>
    <n v="3.1593312999999998"/>
    <x v="0"/>
    <n v="1.0157673"/>
    <n v="15.599789210000001"/>
    <n v="500.59027559999998"/>
    <n v="670.79093599999999"/>
    <n v="0.74626869376780014"/>
    <n v="0.18066468999999999"/>
    <n v="0.13482441000000001"/>
    <n v="54.32209495"/>
    <n v="1.3036753240000001"/>
    <n v="219.27072709999999"/>
    <n v="739817.25899999996"/>
    <n v="787049.8"/>
    <n v="40.23216"/>
    <n v="94.554254950000001"/>
  </r>
  <r>
    <n v="5"/>
    <x v="4"/>
    <n v="48.981265999999998"/>
    <n v="-122.20847999999999"/>
    <x v="0"/>
    <x v="0"/>
    <x v="0"/>
    <n v="-8"/>
    <n v="277.81818179999999"/>
    <n v="3.0674891"/>
    <x v="0"/>
    <n v="1.0153416"/>
    <n v="13.46284863"/>
    <n v="432.01670319999999"/>
    <n v="578.90249119999999"/>
    <n v="0.74626851631693236"/>
    <n v="0.17470738"/>
    <n v="0.13037863"/>
    <n v="56.155791460000003"/>
    <n v="1.44"/>
    <n v="233.74373360000001"/>
    <n v="775850.31030000001"/>
    <n v="820063.1"/>
    <n v="43.349136000000001"/>
    <n v="99.504927460000005"/>
  </r>
  <r>
    <n v="6"/>
    <x v="5"/>
    <n v="48.806323999999996"/>
    <n v="-122.64218"/>
    <x v="0"/>
    <x v="0"/>
    <x v="0"/>
    <n v="-8"/>
    <n v="34.454545449999998"/>
    <n v="3.3250651000000002"/>
    <x v="0"/>
    <n v="1.0189771999999999"/>
    <n v="18.44928853"/>
    <n v="592.02936690000001"/>
    <n v="793.31940659999998"/>
    <n v="0.7462686050216687"/>
    <n v="0.19148709999999999"/>
    <n v="0.14290079999999999"/>
    <n v="51.379993380000002"/>
    <n v="2.9982337650000002"/>
    <n v="187.34082459999999"/>
    <n v="656295.37690000003"/>
    <n v="689508.44"/>
    <n v="33.254044"/>
    <n v="84.634037379999995"/>
  </r>
  <r>
    <n v="7"/>
    <x v="6"/>
    <n v="48.833393000000001"/>
    <n v="-122.48265000000001"/>
    <x v="0"/>
    <x v="0"/>
    <x v="0"/>
    <n v="-8"/>
    <n v="45.473684210000002"/>
    <n v="3.2710149999999998"/>
    <x v="0"/>
    <n v="1.0165848"/>
    <n v="24.48103381"/>
    <n v="785.58545240000001"/>
    <n v="1052.684454"/>
    <n v="0.74626869373336446"/>
    <n v="0.18753618"/>
    <n v="0.13995237999999999"/>
    <n v="52.364977449999998"/>
    <n v="0.21727922099999999"/>
    <n v="178.7961233"/>
    <n v="631027.03870000003"/>
    <n v="667587.06000000006"/>
    <n v="32.875114000000004"/>
    <n v="85.240091449999994"/>
  </r>
  <r>
    <n v="8"/>
    <x v="7"/>
    <n v="48.860309999999998"/>
    <n v="-122.32295000000001"/>
    <x v="0"/>
    <x v="0"/>
    <x v="0"/>
    <n v="-8"/>
    <n v="120.47368419999999"/>
    <n v="3.1393764000000002"/>
    <x v="0"/>
    <n v="1.0161762999999999"/>
    <n v="23.710883200000001"/>
    <n v="760.87175339999999"/>
    <n v="1019.567978"/>
    <n v="0.74626878228613802"/>
    <n v="0.17926739"/>
    <n v="0.13378163000000001"/>
    <n v="54.762945209999998"/>
    <n v="3.1383051919999998"/>
    <n v="185.1062661"/>
    <n v="661113.83660000004"/>
    <n v="699723.5"/>
    <n v="36.047035000000001"/>
    <n v="90.809980209999992"/>
  </r>
  <r>
    <n v="9"/>
    <x v="8"/>
    <n v="48.887065999999997"/>
    <n v="-122.16312000000001"/>
    <x v="0"/>
    <x v="0"/>
    <x v="0"/>
    <n v="-8"/>
    <n v="378.7692308"/>
    <n v="3.0421472000000001"/>
    <x v="0"/>
    <n v="1.0157349"/>
    <n v="9.1363135250000003"/>
    <n v="293.1802247"/>
    <n v="392.86148159999999"/>
    <n v="0.74626869375427207"/>
    <n v="0.17408624"/>
    <n v="0.12991510000000001"/>
    <n v="56.373401520000002"/>
    <n v="4.7801428530000001"/>
    <n v="245.92571409999999"/>
    <n v="829809.56030000001"/>
    <n v="910795.8"/>
    <n v="48.317115999999999"/>
    <n v="104.69051752"/>
  </r>
  <r>
    <n v="10"/>
    <x v="9"/>
    <n v="48.913665999999999"/>
    <n v="-122.00313"/>
    <x v="0"/>
    <x v="0"/>
    <x v="0"/>
    <n v="-8"/>
    <n v="606.4"/>
    <n v="3.0298123000000001"/>
    <x v="0"/>
    <n v="1.0153867999999999"/>
    <n v="2.77927196"/>
    <n v="89.18558659"/>
    <n v="119.5086943"/>
    <n v="0.74626860507838377"/>
    <n v="0.17149173000000001"/>
    <n v="0.12797890000000001"/>
    <n v="57.210780980000003"/>
    <n v="11.18668181"/>
    <n v="245.65571410000001"/>
    <n v="828430.60950000002"/>
    <n v="946710"/>
    <n v="50.982154999999999"/>
    <n v="108.19293598"/>
  </r>
  <r>
    <n v="11"/>
    <x v="10"/>
    <n v="48.34684"/>
    <n v="-124.6527"/>
    <x v="0"/>
    <x v="0"/>
    <x v="1"/>
    <n v="-8"/>
    <n v="174.7"/>
    <n v="3.0531263000000002"/>
    <x v="0"/>
    <n v="1.021026"/>
    <n v="7.0693560790000003"/>
    <n v="226.85245549999999"/>
    <n v="303.98231140000001"/>
    <n v="0.74626860508831561"/>
    <n v="0.17594834000000001"/>
    <n v="0.13130473000000001"/>
    <n v="56.00652281"/>
    <n v="60.615603849999999"/>
    <n v="388.43109709999999"/>
    <n v="1474336.7749999999"/>
    <n v="1811140.6"/>
    <n v="95.062989999999999"/>
    <n v="151.06951280999999"/>
  </r>
  <r>
    <n v="12"/>
    <x v="11"/>
    <n v="48.739296000000003"/>
    <n v="-122.43693500000001"/>
    <x v="0"/>
    <x v="0"/>
    <x v="0"/>
    <n v="-8"/>
    <n v="149.85714290000001"/>
    <n v="3.2164359999999999"/>
    <x v="0"/>
    <n v="1.0169492"/>
    <n v="10.401695289999999"/>
    <n v="333.78580060000002"/>
    <n v="447.27289739999998"/>
    <n v="0.74626878252695139"/>
    <n v="0.1852704"/>
    <n v="0.13826150000000001"/>
    <n v="53.020396179999999"/>
    <n v="0.52455844100000004"/>
    <n v="165.93937"/>
    <n v="632969.7476"/>
    <n v="657105.4"/>
    <n v="32.75468"/>
    <n v="85.775076179999999"/>
  </r>
  <r>
    <n v="13"/>
    <x v="12"/>
    <n v="48.766162999999999"/>
    <n v="-122.2775"/>
    <x v="0"/>
    <x v="0"/>
    <x v="0"/>
    <n v="-8"/>
    <n v="300.41176469999999"/>
    <n v="3.1041460000000001"/>
    <x v="0"/>
    <n v="1.0166001"/>
    <n v="12.17818784"/>
    <n v="390.79261430000003"/>
    <n v="523.6620772"/>
    <n v="0.74626869371475657"/>
    <n v="0.17776454999999999"/>
    <n v="0.1326601"/>
    <n v="55.244121489999998"/>
    <n v="7.5456558390000001"/>
    <n v="177.36781809999999"/>
    <n v="634526.52480000001"/>
    <n v="730549.94"/>
    <n v="37.953265999999999"/>
    <n v="93.197387489999997"/>
  </r>
  <r>
    <n v="14"/>
    <x v="13"/>
    <n v="48.792870000000001"/>
    <n v="-122.11790499999999"/>
    <x v="0"/>
    <x v="0"/>
    <x v="0"/>
    <n v="-8"/>
    <n v="395.06666669999998"/>
    <n v="3.0398858"/>
    <x v="0"/>
    <n v="1.0161785999999999"/>
    <n v="11.75439529"/>
    <n v="377.19325550000002"/>
    <n v="505.43899740000001"/>
    <n v="0.74626860499545622"/>
    <n v="0.17347014999999999"/>
    <n v="0.12945533000000001"/>
    <n v="56.593162020000001"/>
    <n v="15.582337649999999"/>
    <n v="185.1062661"/>
    <n v="661113.83660000004"/>
    <n v="769917.1"/>
    <n v="40.98865"/>
    <n v="97.581812020000001"/>
  </r>
  <r>
    <n v="15"/>
    <x v="14"/>
    <n v="48.819420000000001"/>
    <n v="-121.95815"/>
    <x v="0"/>
    <x v="0"/>
    <x v="0"/>
    <n v="-8"/>
    <n v="1070.2"/>
    <n v="3.0986549999999999"/>
    <x v="0"/>
    <n v="1.0156014"/>
    <n v="0.17657999399999999"/>
    <n v="5.6663725439999997"/>
    <n v="7.5929397339999998"/>
    <n v="0.74626860511309834"/>
    <n v="0.17903160000000001"/>
    <n v="0.13360567000000001"/>
    <n v="72.21615654"/>
    <n v="21.380714269999999"/>
    <n v="245.92571409999999"/>
    <n v="829809.56030000001"/>
    <n v="1038321.25"/>
    <n v="53.560726000000003"/>
    <n v="125.77688254"/>
  </r>
  <r>
    <n v="16"/>
    <x v="15"/>
    <n v="48.253456"/>
    <n v="-124.603775"/>
    <x v="0"/>
    <x v="0"/>
    <x v="1"/>
    <n v="-8"/>
    <n v="190.06666670000001"/>
    <n v="2.9862305999999998"/>
    <x v="1"/>
    <n v="1.0210224000000001"/>
    <n v="25.923887839999999"/>
    <n v="831.88589560000003"/>
    <n v="1114.727177"/>
    <n v="0.74626860523738714"/>
    <n v="0.17180656"/>
    <n v="0.12821384999999999"/>
    <n v="57.356525439999999"/>
    <n v="35.947467500000002"/>
    <n v="388.43109709999999"/>
    <n v="1474336.7749999999"/>
    <n v="1754492"/>
    <n v="94.309629999999999"/>
    <n v="151.66615544000001"/>
  </r>
  <r>
    <n v="17"/>
    <x v="16"/>
    <n v="48.282443999999998"/>
    <n v="-124.44678"/>
    <x v="0"/>
    <x v="0"/>
    <x v="1"/>
    <n v="-8"/>
    <n v="201.92857140000001"/>
    <n v="3.0754535000000001"/>
    <x v="0"/>
    <n v="1.0208545"/>
    <n v="9.3340348019999997"/>
    <n v="299.52501230000001"/>
    <n v="401.3634965"/>
    <n v="0.74626869386962302"/>
    <n v="0.17783252999999999"/>
    <n v="0.13271084"/>
    <n v="55.405744060000004"/>
    <n v="33.230928550000002"/>
    <n v="388.43109709999999"/>
    <n v="1474336.7749999999"/>
    <n v="1732423.8"/>
    <n v="89.967839999999995"/>
    <n v="145.37358405999998"/>
  </r>
  <r>
    <n v="18"/>
    <x v="17"/>
    <n v="48.645203000000002"/>
    <n v="-122.39136999999999"/>
    <x v="0"/>
    <x v="0"/>
    <x v="0"/>
    <n v="-8"/>
    <n v="235.64285709999999"/>
    <n v="3.1365492000000001"/>
    <x v="0"/>
    <n v="1.017479"/>
    <n v="12.324149999999999"/>
    <n v="395.47642789999998"/>
    <n v="529.93844999999999"/>
    <n v="0.7462686051559384"/>
    <n v="0.1809962"/>
    <n v="0.13507178"/>
    <n v="54.2948314"/>
    <n v="0.56183766199999996"/>
    <n v="152.350922"/>
    <n v="560524.66029999999"/>
    <n v="602696.80000000005"/>
    <n v="30.752037000000001"/>
    <n v="85.046868399999994"/>
  </r>
  <r>
    <n v="19"/>
    <x v="18"/>
    <n v="48.672020000000003"/>
    <n v="-122.232185"/>
    <x v="0"/>
    <x v="0"/>
    <x v="0"/>
    <n v="-8"/>
    <n v="338.17647060000002"/>
    <n v="3.0518155"/>
    <x v="0"/>
    <n v="1.0171176"/>
    <n v="9.6176158810000008"/>
    <n v="308.62496590000001"/>
    <n v="413.55748290000002"/>
    <n v="0.74626860511825599"/>
    <n v="0.17457344999999999"/>
    <n v="0.13027869"/>
    <n v="56.276592659999999"/>
    <n v="0.66727922100000003"/>
    <n v="150.77614929999999"/>
    <n v="533760.16130000004"/>
    <n v="585332.6"/>
    <n v="30.964848"/>
    <n v="87.241440659999995"/>
  </r>
  <r>
    <n v="20"/>
    <x v="19"/>
    <n v="48.698677000000004"/>
    <n v="-122.07284"/>
    <x v="0"/>
    <x v="0"/>
    <x v="0"/>
    <n v="-8"/>
    <n v="567"/>
    <n v="3.0592337000000001"/>
    <x v="0"/>
    <n v="1.0165781"/>
    <n v="5.0202182369999999"/>
    <n v="161.09652510000001"/>
    <n v="215.86938420000001"/>
    <n v="0.74626851647821579"/>
    <n v="0.17454147"/>
    <n v="0.13025485000000001"/>
    <n v="56.263270489999996"/>
    <n v="12.69484415"/>
    <n v="150.77614929999999"/>
    <n v="533563.52150000003"/>
    <n v="673616.1"/>
    <n v="35.641685000000003"/>
    <n v="91.904955489999992"/>
  </r>
  <r>
    <n v="21"/>
    <x v="20"/>
    <n v="48.160080000000001"/>
    <n v="-124.55502"/>
    <x v="0"/>
    <x v="0"/>
    <x v="1"/>
    <n v="-8"/>
    <n v="140.05263160000001"/>
    <n v="2.9803557000000001"/>
    <x v="1"/>
    <n v="1.0210115"/>
    <n v="42.848999999999997"/>
    <n v="1375.0051289999999"/>
    <n v="1842.5070000000001"/>
    <n v="0.74626860522103844"/>
    <n v="0.17125149000000001"/>
    <n v="0.12779962"/>
    <n v="57.541951509999997"/>
    <n v="27.659973999999998"/>
    <n v="388.43109709999999"/>
    <n v="1474336.7749999999"/>
    <n v="1670630.1"/>
    <n v="90.092849999999999"/>
    <n v="147.63480150999999"/>
  </r>
  <r>
    <n v="22"/>
    <x v="21"/>
    <n v="48.189014"/>
    <n v="-124.39825399999999"/>
    <x v="0"/>
    <x v="0"/>
    <x v="1"/>
    <n v="-8"/>
    <n v="237.65"/>
    <n v="3.0010552000000001"/>
    <x v="0"/>
    <n v="1.0208508999999999"/>
    <n v="16.534530400000001"/>
    <n v="530.58564019999994"/>
    <n v="710.98480700000005"/>
    <n v="0.74626860514615734"/>
    <n v="0.1726268"/>
    <n v="0.12882598000000001"/>
    <n v="57.076400169999999"/>
    <n v="19.026824659999999"/>
    <n v="388.43109709999999"/>
    <n v="1474336.7749999999"/>
    <n v="1627823"/>
    <n v="87.085009999999997"/>
    <n v="144.16141017000001"/>
  </r>
  <r>
    <n v="23"/>
    <x v="22"/>
    <n v="48.217796"/>
    <n v="-124.24133"/>
    <x v="0"/>
    <x v="0"/>
    <x v="1"/>
    <n v="-8"/>
    <n v="157.93333329999999"/>
    <n v="3.1618225999999998"/>
    <x v="0"/>
    <n v="1.0206993"/>
    <n v="21.5967041"/>
    <n v="693.02851650000002"/>
    <n v="928.65827639999998"/>
    <n v="0.74626860505305248"/>
    <n v="0.18179776"/>
    <n v="0.13566998"/>
    <n v="54.190759550000003"/>
    <n v="21.085129859999999"/>
    <n v="388.43109709999999"/>
    <n v="1474336.7749999999"/>
    <n v="1638896.2"/>
    <n v="83.254429999999999"/>
    <n v="137.44518955000001"/>
  </r>
  <r>
    <n v="24"/>
    <x v="23"/>
    <n v="48.497115999999998"/>
    <n v="-122.66342"/>
    <x v="0"/>
    <x v="0"/>
    <x v="2"/>
    <n v="-8"/>
    <n v="68.666666669999998"/>
    <n v="3.3443632000000001"/>
    <x v="0"/>
    <n v="1.0198786"/>
    <n v="2.2113"/>
    <n v="70.959621960000007"/>
    <n v="95.085899999999995"/>
    <n v="0.74626860512441917"/>
    <n v="0.19320203"/>
    <n v="0.14418064"/>
    <n v="50.959548920000003"/>
    <n v="2.4363961029999999"/>
    <n v="171.70951289999999"/>
    <n v="674067.96869999997"/>
    <n v="702843.44"/>
    <n v="33.596286999999997"/>
    <n v="84.555835919999993"/>
  </r>
  <r>
    <n v="25"/>
    <x v="24"/>
    <n v="48.524189999999997"/>
    <n v="-122.50477600000001"/>
    <x v="0"/>
    <x v="0"/>
    <x v="2"/>
    <n v="-8"/>
    <n v="24.5"/>
    <n v="3.2461190000000002"/>
    <x v="0"/>
    <n v="1.0195904"/>
    <n v="7.7567219600000001"/>
    <n v="248.90971730000001"/>
    <n v="333.5390443"/>
    <n v="0.74626860499162262"/>
    <n v="0.18563123000000001"/>
    <n v="0.13853077999999999"/>
    <n v="53.026029080000001"/>
    <n v="9.5746298680000006"/>
    <n v="152.5889415"/>
    <n v="524547.05200000003"/>
    <n v="556253.93999999994"/>
    <n v="27.673649000000001"/>
    <n v="80.699678079999998"/>
  </r>
  <r>
    <n v="26"/>
    <x v="25"/>
    <n v="48.551113000000001"/>
    <n v="-122.34598"/>
    <x v="0"/>
    <x v="0"/>
    <x v="2"/>
    <n v="-8"/>
    <n v="68.111111109999996"/>
    <n v="3.105356"/>
    <x v="0"/>
    <n v="1.0179244999999999"/>
    <n v="29.690061549999999"/>
    <n v="952.74082829999998"/>
    <n v="1276.6726470000001"/>
    <n v="0.74626869349696334"/>
    <n v="0.17730872"/>
    <n v="0.13231994"/>
    <n v="55.443200969999999"/>
    <n v="1.828233765"/>
    <n v="142.7315194"/>
    <n v="510523.28769999999"/>
    <n v="560804.80000000005"/>
    <n v="29.209631000000002"/>
    <n v="84.652831969999994"/>
  </r>
  <r>
    <n v="27"/>
    <x v="26"/>
    <n v="48.57788"/>
    <n v="-122.18702999999999"/>
    <x v="0"/>
    <x v="0"/>
    <x v="2"/>
    <n v="-8"/>
    <n v="289.18181820000001"/>
    <n v="3.0360775000000002"/>
    <x v="0"/>
    <n v="1.0175924999999999"/>
    <n v="13.80393853"/>
    <n v="442.96222840000001"/>
    <n v="593.56935659999999"/>
    <n v="0.74626869375015181"/>
    <n v="0.17292083999999999"/>
    <n v="0.1290454"/>
    <n v="56.835414270000001"/>
    <n v="2.4209545440000002"/>
    <n v="138.4913765"/>
    <n v="489297.20020000002"/>
    <n v="560422"/>
    <n v="29.930384"/>
    <n v="86.765798270000005"/>
  </r>
  <r>
    <n v="28"/>
    <x v="27"/>
    <n v="48.604489999999998"/>
    <n v="-122.02791999999999"/>
    <x v="0"/>
    <x v="0"/>
    <x v="2"/>
    <n v="-8"/>
    <n v="552.4"/>
    <n v="3.0352328000000002"/>
    <x v="0"/>
    <n v="1.0170676000000001"/>
    <n v="4.2042243160000003"/>
    <n v="134.9116665"/>
    <n v="180.78164559999999"/>
    <n v="0.74626860515755811"/>
    <n v="0.17230645"/>
    <n v="0.1285869"/>
    <n v="57.014782539999999"/>
    <n v="10.214772719999999"/>
    <n v="145.01240250000001"/>
    <n v="517618.67499999999"/>
    <n v="652105.43999999994"/>
    <n v="34.951087999999999"/>
    <n v="91.965870539999997"/>
  </r>
  <r>
    <n v="29"/>
    <x v="28"/>
    <n v="48.630935999999998"/>
    <n v="-121.868675"/>
    <x v="0"/>
    <x v="0"/>
    <x v="2"/>
    <n v="-8"/>
    <n v="812.57142859999999"/>
    <n v="3.0519915000000002"/>
    <x v="0"/>
    <n v="1.0166234999999999"/>
    <n v="0.66128393299999999"/>
    <n v="21.22030638"/>
    <n v="28.43520913"/>
    <n v="0.74626869396265272"/>
    <n v="0.17451727"/>
    <n v="0.13023680000000001"/>
    <n v="63.997304509999999"/>
    <n v="11.095584410000001"/>
    <n v="159.92261679999999"/>
    <n v="583194.54040000006"/>
    <n v="734549.44"/>
    <n v="38.871113000000001"/>
    <n v="102.86841751"/>
  </r>
  <r>
    <n v="30"/>
    <x v="29"/>
    <n v="48.657234000000003"/>
    <n v="-121.70927399999999"/>
    <x v="0"/>
    <x v="0"/>
    <x v="2"/>
    <n v="-8"/>
    <n v="300.5"/>
    <n v="2.9946342000000001"/>
    <x v="1"/>
    <n v="1.0157849000000001"/>
    <n v="3.2698079409999998"/>
    <n v="104.9266655"/>
    <n v="140.60174140000001"/>
    <n v="0.7462686056034864"/>
    <n v="0.16821083000000001"/>
    <n v="0.12553048"/>
    <n v="58.344736220000001"/>
    <n v="1.722792206"/>
    <n v="180.47414280000001"/>
    <n v="712645.43149999995"/>
    <n v="756984.4"/>
    <n v="41.560177000000003"/>
    <n v="99.904913219999997"/>
  </r>
  <r>
    <n v="31"/>
    <x v="30"/>
    <n v="48.960425999999998"/>
    <n v="-119.78502"/>
    <x v="0"/>
    <x v="0"/>
    <x v="3"/>
    <n v="-8"/>
    <n v="1357.25"/>
    <n v="3.6759187999999998"/>
    <x v="0"/>
    <n v="1.0008729999999999"/>
    <n v="0.62758796500000003"/>
    <n v="20.139017800000001"/>
    <n v="26.986282509999999"/>
    <n v="0.74626869382758876"/>
    <n v="0.22137200000000001"/>
    <n v="0.16520296000000001"/>
    <n v="50.100152979999997"/>
    <n v="24.341668810000002"/>
    <n v="245.4081946"/>
    <n v="727406.07559999998"/>
    <n v="926063.8"/>
    <n v="38.633377000000003"/>
    <n v="88.73352998"/>
  </r>
  <r>
    <n v="32"/>
    <x v="31"/>
    <n v="48.984656999999999"/>
    <n v="-119.62372999999999"/>
    <x v="0"/>
    <x v="0"/>
    <x v="3"/>
    <n v="-8"/>
    <n v="792.125"/>
    <n v="3.6681499999999998"/>
    <x v="0"/>
    <n v="0.99943539999999997"/>
    <n v="3.293783871"/>
    <n v="105.6960423"/>
    <n v="141.63270650000001"/>
    <n v="0.74626860498496506"/>
    <n v="0.21574225"/>
    <n v="0.16100168000000001"/>
    <n v="44.911543160000001"/>
    <n v="21.009474019999999"/>
    <n v="255.309292"/>
    <n v="765854.18169999996"/>
    <n v="853872.1"/>
    <n v="36.551229999999997"/>
    <n v="81.462773159999998"/>
  </r>
  <r>
    <n v="33"/>
    <x v="32"/>
    <n v="48.037666000000002"/>
    <n v="-124.662796"/>
    <x v="0"/>
    <x v="0"/>
    <x v="1"/>
    <n v="-8"/>
    <n v="84.222222220000006"/>
    <n v="3.0579755"/>
    <x v="0"/>
    <n v="1.0211664"/>
    <n v="15.878268240000001"/>
    <n v="509.5264828"/>
    <n v="682.76553420000005"/>
    <n v="0.74626860507394366"/>
    <n v="0.17562720000000001"/>
    <n v="0.13106509"/>
    <n v="56.11503905"/>
    <n v="22.346227249999998"/>
    <n v="406.9088764"/>
    <n v="1528753.13"/>
    <n v="1747086.1"/>
    <n v="91.868570000000005"/>
    <n v="147.98360905000001"/>
  </r>
  <r>
    <n v="34"/>
    <x v="33"/>
    <n v="48.066699999999997"/>
    <n v="-124.506424"/>
    <x v="0"/>
    <x v="0"/>
    <x v="1"/>
    <n v="-8"/>
    <n v="134.47368420000001"/>
    <n v="2.9963690999999999"/>
    <x v="1"/>
    <n v="1.0209949"/>
    <n v="51.32063101"/>
    <n v="1646.8557599999999"/>
    <n v="2206.7871329999998"/>
    <n v="0.74626851651123893"/>
    <n v="0.17103146"/>
    <n v="0.12763542"/>
    <n v="57.615239090000003"/>
    <n v="19.939616869999998"/>
    <n v="388.43109709999999"/>
    <n v="1474336.7749999999"/>
    <n v="1625996.9"/>
    <n v="87.798699999999997"/>
    <n v="145.41393908999999"/>
  </r>
  <r>
    <n v="35"/>
    <x v="34"/>
    <n v="48.095585"/>
    <n v="-124.34990000000001"/>
    <x v="0"/>
    <x v="0"/>
    <x v="1"/>
    <n v="-8"/>
    <n v="261.73333330000003"/>
    <n v="2.9914304999999999"/>
    <x v="1"/>
    <n v="1.0208390000000001"/>
    <n v="24.889031760000002"/>
    <n v="798.67782969999996"/>
    <n v="1070.2283660000001"/>
    <n v="0.74626860497547298"/>
    <n v="0.17135653000000001"/>
    <n v="0.12787800999999999"/>
    <n v="57.498993249999998"/>
    <n v="7.6793311629999996"/>
    <n v="388.43109709999999"/>
    <n v="1474336.7749999999"/>
    <n v="1571335"/>
    <n v="84.686170000000004"/>
    <n v="142.18516325000002"/>
  </r>
  <r>
    <n v="36"/>
    <x v="35"/>
    <n v="48.124310000000001"/>
    <n v="-124.19320999999999"/>
    <x v="0"/>
    <x v="0"/>
    <x v="1"/>
    <n v="-8"/>
    <n v="296.41176469999999"/>
    <n v="3.1369712000000001"/>
    <x v="0"/>
    <n v="1.020715"/>
    <n v="12.28413647"/>
    <n v="394.192365"/>
    <n v="528.21786840000004"/>
    <n v="0.74626851642491687"/>
    <n v="0.18068194000000001"/>
    <n v="0.13483727000000001"/>
    <n v="54.526094020000002"/>
    <n v="10.243006490000001"/>
    <n v="388.43109709999999"/>
    <n v="1474336.7749999999"/>
    <n v="1582428.6"/>
    <n v="80.882355000000004"/>
    <n v="135.40844902000001"/>
  </r>
  <r>
    <n v="37"/>
    <x v="36"/>
    <n v="48.152884999999998"/>
    <n v="-124.03636"/>
    <x v="0"/>
    <x v="0"/>
    <x v="1"/>
    <n v="-8"/>
    <n v="207"/>
    <n v="3.2196872000000001"/>
    <x v="0"/>
    <n v="1.0206077"/>
    <n v="22.07622568"/>
    <n v="708.41614830000003"/>
    <n v="949.27770439999995"/>
    <n v="0.74626860508407411"/>
    <n v="0.18493569000000001"/>
    <n v="0.13801171000000001"/>
    <n v="53.267496749999999"/>
    <n v="5.8138181769999999"/>
    <n v="363.80883089999998"/>
    <n v="1320693.43"/>
    <n v="1430411.1"/>
    <n v="71.430639999999997"/>
    <n v="124.69813675"/>
  </r>
  <r>
    <n v="38"/>
    <x v="37"/>
    <n v="48.403122000000003"/>
    <n v="-122.61767999999999"/>
    <x v="0"/>
    <x v="0"/>
    <x v="2"/>
    <n v="-8"/>
    <n v="56"/>
    <n v="3.3267085999999999"/>
    <x v="0"/>
    <n v="1.0200260000000001"/>
    <n v="10.56061725"/>
    <n v="338.88549569999998"/>
    <n v="454.10654169999998"/>
    <n v="0.74626869375486915"/>
    <n v="0.19145656"/>
    <n v="0.14287804000000001"/>
    <n v="51.430034790000001"/>
    <n v="27.494318159999999"/>
    <n v="180.8634739"/>
    <n v="711755.853"/>
    <n v="760091.9"/>
    <n v="36.664031999999999"/>
    <n v="88.094066789999999"/>
  </r>
  <r>
    <n v="39"/>
    <x v="38"/>
    <n v="48.430149999999998"/>
    <n v="-122.45928000000001"/>
    <x v="0"/>
    <x v="0"/>
    <x v="2"/>
    <n v="-8"/>
    <n v="19.5"/>
    <n v="3.2584474000000001"/>
    <x v="0"/>
    <n v="1.0198077999999999"/>
    <n v="22.682266259999999"/>
    <n v="727.86371770000005"/>
    <n v="975.33744920000004"/>
    <n v="0.74626860508331239"/>
    <n v="0.18603852000000001"/>
    <n v="0.13883471"/>
    <n v="52.918876740000002"/>
    <n v="1.3782337650000001"/>
    <n v="146.6180584"/>
    <n v="566451.80240000004"/>
    <n v="590061.80000000005"/>
    <n v="29.291325000000001"/>
    <n v="82.210201740000002"/>
  </r>
  <r>
    <n v="40"/>
    <x v="39"/>
    <n v="48.457023999999997"/>
    <n v="-122.30072"/>
    <x v="0"/>
    <x v="0"/>
    <x v="2"/>
    <n v="-8"/>
    <n v="38"/>
    <n v="3.1245908999999998"/>
    <x v="0"/>
    <n v="1.0184025999999999"/>
    <n v="13.386140879999999"/>
    <n v="429.55523740000001"/>
    <n v="575.60405790000004"/>
    <n v="0.74626860513660043"/>
    <n v="0.17770948"/>
    <n v="0.13261902"/>
    <n v="55.33871473"/>
    <n v="2.5327922059999999"/>
    <n v="134.1160064"/>
    <n v="531877.13699999999"/>
    <n v="567366.56000000006"/>
    <n v="29.484756000000001"/>
    <n v="84.823470729999997"/>
  </r>
  <r>
    <n v="41"/>
    <x v="40"/>
    <n v="48.483739999999997"/>
    <n v="-122.14202"/>
    <x v="0"/>
    <x v="0"/>
    <x v="2"/>
    <n v="-8"/>
    <n v="222.58823530000001"/>
    <n v="3.0517530000000002"/>
    <x v="0"/>
    <n v="1.0179061"/>
    <n v="10.777049010000001"/>
    <n v="345.83069440000003"/>
    <n v="463.41310750000002"/>
    <n v="0.74626869374859017"/>
    <n v="0.17234334000000001"/>
    <n v="0.12861444"/>
    <n v="57.039758509999999"/>
    <n v="5.5810973979999998"/>
    <n v="128.8075584"/>
    <n v="461053.1643"/>
    <n v="515674.78"/>
    <n v="27.632857999999999"/>
    <n v="84.672616509999997"/>
  </r>
  <r>
    <n v="42"/>
    <x v="41"/>
    <n v="48.510300000000001"/>
    <n v="-121.98317"/>
    <x v="0"/>
    <x v="0"/>
    <x v="2"/>
    <n v="-8"/>
    <n v="225.81818179999999"/>
    <n v="3.0567004999999998"/>
    <x v="0"/>
    <n v="1.0174209000000001"/>
    <n v="17.2773"/>
    <n v="554.42084839999995"/>
    <n v="742.9239"/>
    <n v="0.74626869373834914"/>
    <n v="0.17165654999999999"/>
    <n v="0.12810189999999999"/>
    <n v="57.246370159999998"/>
    <n v="3.0046298679999999"/>
    <n v="145.53696099999999"/>
    <n v="519084.75870000001"/>
    <n v="572974.75"/>
    <n v="30.826163999999999"/>
    <n v="88.072534160000004"/>
  </r>
  <r>
    <n v="43"/>
    <x v="42"/>
    <n v="48.536704999999998"/>
    <n v="-121.82416000000001"/>
    <x v="0"/>
    <x v="0"/>
    <x v="2"/>
    <n v="-8"/>
    <n v="305.8"/>
    <n v="3.0715165"/>
    <x v="0"/>
    <n v="1.0167839999999999"/>
    <n v="13.547168920000001"/>
    <n v="434.72255469999999"/>
    <n v="582.52826359999995"/>
    <n v="0.74626860508610016"/>
    <n v="0.17280342000000001"/>
    <n v="0.12895777999999999"/>
    <n v="56.838269850000003"/>
    <n v="1.3782337650000001"/>
    <n v="159.6526168"/>
    <n v="582054.0294"/>
    <n v="637358"/>
    <n v="34.062424"/>
    <n v="90.90069385000001"/>
  </r>
  <r>
    <n v="44"/>
    <x v="43"/>
    <n v="48.562950000000001"/>
    <n v="-121.66501"/>
    <x v="0"/>
    <x v="0"/>
    <x v="2"/>
    <n v="-8"/>
    <n v="274.75"/>
    <n v="3.0848544000000002"/>
    <x v="0"/>
    <n v="1.0161127999999999"/>
    <n v="2.5767719599999999"/>
    <n v="82.687462539999999"/>
    <n v="110.80119430000001"/>
    <n v="0.74626869378428706"/>
    <n v="0.17330168000000001"/>
    <n v="0.12932959999999999"/>
    <n v="56.645280419999999"/>
    <n v="4.2710259710000003"/>
    <n v="170.13474020000001"/>
    <n v="645538.3504"/>
    <n v="740474.94"/>
    <n v="39.459539999999997"/>
    <n v="96.104820419999996"/>
  </r>
  <r>
    <n v="45"/>
    <x v="44"/>
    <n v="48.589039999999997"/>
    <n v="-121.50570999999999"/>
    <x v="0"/>
    <x v="0"/>
    <x v="2"/>
    <n v="-8"/>
    <n v="1124"/>
    <n v="3.0760000000000001"/>
    <x v="0"/>
    <n v="1.0153329"/>
    <n v="1.6199999999999999E-2"/>
    <n v="0.51985071000000005"/>
    <n v="0.6966"/>
    <n v="0.74626860465116285"/>
    <n v="0.17833668"/>
    <n v="0.13308707"/>
    <n v="95.580116059999995"/>
    <n v="9.740285707"/>
    <n v="160.7972207"/>
    <n v="590539.29350000003"/>
    <n v="780357"/>
    <n v="40.410763000000003"/>
    <n v="135.99087906"/>
  </r>
  <r>
    <n v="46"/>
    <x v="45"/>
    <n v="48.61497"/>
    <n v="-121.34625"/>
    <x v="0"/>
    <x v="0"/>
    <x v="2"/>
    <n v="-8"/>
    <n v="360"/>
    <n v="3.0960000000000001"/>
    <x v="0"/>
    <n v="1.0143648000000001"/>
    <n v="1.6199999999999999E-2"/>
    <n v="0.51985071000000005"/>
    <n v="0.6966"/>
    <n v="0.74626860465116285"/>
    <n v="0.17345079999999999"/>
    <n v="0.12944091999999999"/>
    <n v="98.190051449999999"/>
    <n v="0.77911688199999996"/>
    <n v="172.87860380000001"/>
    <n v="639249.13399999996"/>
    <n v="691774.5"/>
    <n v="36.832622999999998"/>
    <n v="135.02267445000001"/>
  </r>
  <r>
    <n v="47"/>
    <x v="46"/>
    <n v="48.717117000000002"/>
    <n v="-120.706985"/>
    <x v="0"/>
    <x v="0"/>
    <x v="3"/>
    <n v="-8"/>
    <n v="1780"/>
    <n v="3.6019999999999999"/>
    <x v="0"/>
    <n v="1.0094742999999999"/>
    <n v="8.0999999999999996E-3"/>
    <n v="0.25992535500000002"/>
    <n v="0.3483"/>
    <n v="0.74626860465116285"/>
    <n v="0.20927319999999999"/>
    <n v="0.15617402"/>
    <n v="87.996458129999994"/>
    <n v="29.186227250000002"/>
    <n v="200.67115570000001"/>
    <n v="801012.50170000002"/>
    <n v="1096259.2"/>
    <n v="48.377569999999999"/>
    <n v="136.37402813"/>
  </r>
  <r>
    <n v="48"/>
    <x v="47"/>
    <n v="48.841231999999998"/>
    <n v="-119.90466000000001"/>
    <x v="0"/>
    <x v="0"/>
    <x v="3"/>
    <n v="-8"/>
    <n v="1611.7142859999999"/>
    <n v="3.6687112000000002"/>
    <x v="0"/>
    <n v="1.0018225999999999"/>
    <n v="2.6227801479999999"/>
    <n v="84.163824750000003"/>
    <n v="112.7795464"/>
    <n v="0.74626851620321821"/>
    <n v="0.21978702"/>
    <n v="0.16402015"/>
    <n v="44.16801006"/>
    <n v="26.545344140000001"/>
    <n v="245.4081946"/>
    <n v="727406.07559999998"/>
    <n v="947934.06"/>
    <n v="39.830936000000001"/>
    <n v="83.998946060000009"/>
  </r>
  <r>
    <n v="49"/>
    <x v="48"/>
    <n v="48.865577999999999"/>
    <n v="-119.743774"/>
    <x v="0"/>
    <x v="0"/>
    <x v="3"/>
    <n v="-8"/>
    <n v="1239.6923079999999"/>
    <n v="3.6691039999999999"/>
    <x v="0"/>
    <n v="1.0005869000000001"/>
    <n v="3.8808719599999999"/>
    <n v="124.5354497"/>
    <n v="166.8774943"/>
    <n v="0.74626869382470107"/>
    <n v="0.21868562999999999"/>
    <n v="0.16319822"/>
    <n v="44.347292600000003"/>
    <n v="13.916012970000001"/>
    <n v="245.4081946"/>
    <n v="727406.07559999998"/>
    <n v="859420.7"/>
    <n v="36.293593999999999"/>
    <n v="80.640886600000002"/>
  </r>
  <r>
    <n v="50"/>
    <x v="49"/>
    <n v="48.889763000000002"/>
    <n v="-119.58274"/>
    <x v="0"/>
    <x v="0"/>
    <x v="3"/>
    <n v="-8"/>
    <n v="726.23076920000005"/>
    <n v="3.717619"/>
    <x v="0"/>
    <n v="0.99867570000000006"/>
    <n v="5.2973189209999996"/>
    <n v="169.98858050000001"/>
    <n v="227.7847136"/>
    <n v="0.74626860518176585"/>
    <n v="0.21965934000000001"/>
    <n v="0.16392487"/>
    <n v="44.084241669999997"/>
    <n v="13.445727270000001"/>
    <n v="255.309292"/>
    <n v="765854.18169999996"/>
    <n v="883315.06"/>
    <n v="37.137301999999998"/>
    <n v="81.221543669999988"/>
  </r>
  <r>
    <n v="51"/>
    <x v="50"/>
    <n v="48.913787999999997"/>
    <n v="-119.42158000000001"/>
    <x v="0"/>
    <x v="0"/>
    <x v="3"/>
    <n v="-8"/>
    <n v="557.375"/>
    <n v="3.7073320999999999"/>
    <x v="0"/>
    <n v="0.99754034999999996"/>
    <n v="7.8914245059999999"/>
    <n v="253.2322915"/>
    <n v="339.33125369999999"/>
    <n v="0.74626869390545625"/>
    <n v="0.21712629999999999"/>
    <n v="0.16203454"/>
    <n v="44.55859676"/>
    <n v="3.1782337649999999"/>
    <n v="255.309292"/>
    <n v="765854.18169999996"/>
    <n v="804798"/>
    <n v="34.230939999999997"/>
    <n v="78.789536760000004"/>
  </r>
  <r>
    <n v="52"/>
    <x v="51"/>
    <n v="48.937652999999997"/>
    <n v="-119.26027000000001"/>
    <x v="0"/>
    <x v="0"/>
    <x v="3"/>
    <n v="-8"/>
    <n v="1118.5"/>
    <n v="3.7253699999999998"/>
    <x v="0"/>
    <n v="0.99617374000000003"/>
    <n v="21.907502050000002"/>
    <n v="703.00188279999998"/>
    <n v="942.02258819999997"/>
    <n v="0.74626860502706571"/>
    <n v="0.22061612"/>
    <n v="0.1646389"/>
    <n v="43.806415780000002"/>
    <n v="13.507493500000001"/>
    <n v="255.309292"/>
    <n v="765854.18169999996"/>
    <n v="874382.7"/>
    <n v="36.602330000000002"/>
    <n v="80.408745780000004"/>
  </r>
  <r>
    <n v="53"/>
    <x v="52"/>
    <n v="48.961357"/>
    <n v="-119.09882"/>
    <x v="0"/>
    <x v="0"/>
    <x v="3"/>
    <n v="-8"/>
    <n v="1252.3076920000001"/>
    <n v="3.6295571"/>
    <x v="0"/>
    <n v="0.99500469999999996"/>
    <n v="15.930269600000001"/>
    <n v="511.1951833"/>
    <n v="685.00159299999996"/>
    <n v="0.74626860510089355"/>
    <n v="0.21428454999999999"/>
    <n v="0.15991387000000001"/>
    <n v="45.059103829999998"/>
    <n v="37.686155829999997"/>
    <n v="255.309292"/>
    <n v="765854.18169999996"/>
    <n v="863619.94"/>
    <n v="37.219985999999999"/>
    <n v="82.279089830000004"/>
  </r>
  <r>
    <n v="54"/>
    <x v="53"/>
    <n v="48.984893999999997"/>
    <n v="-118.93724"/>
    <x v="0"/>
    <x v="0"/>
    <x v="3"/>
    <n v="-8"/>
    <n v="1123.1111109999999"/>
    <n v="3.5630229"/>
    <x v="0"/>
    <n v="0.99384930000000005"/>
    <n v="2.1616469600000001"/>
    <n v="69.366278260000001"/>
    <n v="92.950819300000006"/>
    <n v="0.7462686050794175"/>
    <n v="0.20911945000000001"/>
    <n v="0.15605930000000001"/>
    <n v="46.15690275"/>
    <n v="46.075344139999999"/>
    <n v="255.309292"/>
    <n v="765854.18169999996"/>
    <n v="863063.94"/>
    <n v="38.114739999999998"/>
    <n v="84.271642749999998"/>
  </r>
  <r>
    <n v="55"/>
    <x v="54"/>
    <n v="47.944336"/>
    <n v="-124.61412"/>
    <x v="0"/>
    <x v="0"/>
    <x v="1"/>
    <n v="-8"/>
    <n v="71.133333329999999"/>
    <n v="3.0669208000000001"/>
    <x v="0"/>
    <n v="1.0211695000000001"/>
    <n v="32.164045969999997"/>
    <n v="1032.1298850000001"/>
    <n v="1383.053977"/>
    <n v="0.74626869389349948"/>
    <n v="0.17523738999999999"/>
    <n v="0.13077416"/>
    <n v="56.240010089999998"/>
    <n v="16.915798689999999"/>
    <n v="406.99887639999997"/>
    <n v="1529207.7609999999"/>
    <n v="1667265.4"/>
    <n v="87.866309999999999"/>
    <n v="144.10632009"/>
  </r>
  <r>
    <n v="56"/>
    <x v="55"/>
    <n v="47.973320000000001"/>
    <n v="-124.45799"/>
    <x v="0"/>
    <x v="0"/>
    <x v="1"/>
    <n v="-8"/>
    <n v="103.9375"/>
    <n v="3.0107179999999998"/>
    <x v="0"/>
    <n v="1.0209992000000001"/>
    <n v="55.854926370000001"/>
    <n v="1792.359453"/>
    <n v="2401.7618339999999"/>
    <n v="0.74626860483286372"/>
    <n v="0.17120848999999999"/>
    <n v="0.12776752999999999"/>
    <n v="57.555848050000002"/>
    <n v="4.2864675300000004"/>
    <n v="406.99887639999997"/>
    <n v="1529207.7609999999"/>
    <n v="1609292.6"/>
    <n v="86.806880000000007"/>
    <n v="144.36272805000002"/>
  </r>
  <r>
    <n v="57"/>
    <x v="56"/>
    <n v="48.002147999999998"/>
    <n v="-124.30168999999999"/>
    <x v="0"/>
    <x v="0"/>
    <x v="1"/>
    <n v="-8"/>
    <n v="241.16666670000001"/>
    <n v="3.0019300000000002"/>
    <x v="0"/>
    <n v="1.0208543999999999"/>
    <n v="17.088733739999999"/>
    <n v="548.36977609999997"/>
    <n v="734.81555079999998"/>
    <n v="0.74626860509822512"/>
    <n v="0.17186750000000001"/>
    <n v="0.12825933"/>
    <n v="57.328711640000002"/>
    <n v="11.83212337"/>
    <n v="388.43109709999999"/>
    <n v="1474336.7749999999"/>
    <n v="1600209.8"/>
    <n v="85.985960000000006"/>
    <n v="143.31467164"/>
  </r>
  <r>
    <n v="58"/>
    <x v="57"/>
    <n v="48.030822999999998"/>
    <n v="-124.14524"/>
    <x v="0"/>
    <x v="0"/>
    <x v="1"/>
    <n v="-8"/>
    <n v="416"/>
    <n v="3.0673745000000001"/>
    <x v="0"/>
    <n v="1.0207272000000001"/>
    <n v="9.8829729489999991"/>
    <n v="317.1401171"/>
    <n v="424.96783679999999"/>
    <n v="0.74626851643187697"/>
    <n v="0.17719099999999999"/>
    <n v="0.13223208"/>
    <n v="55.60085299"/>
    <n v="12.52124025"/>
    <n v="388.43109709999999"/>
    <n v="1474336.7749999999"/>
    <n v="1583041.8"/>
    <n v="82.507819999999995"/>
    <n v="138.10867299"/>
  </r>
  <r>
    <n v="59"/>
    <x v="58"/>
    <n v="48.059350000000002"/>
    <n v="-123.98863"/>
    <x v="0"/>
    <x v="0"/>
    <x v="1"/>
    <n v="-8"/>
    <n v="576.85714289999999"/>
    <n v="3.172107"/>
    <x v="0"/>
    <n v="1.0206244"/>
    <n v="2.6182439209999999"/>
    <n v="84.018279250000006"/>
    <n v="112.5844886"/>
    <n v="0.74626869380299343"/>
    <n v="0.18440285000000001"/>
    <n v="0.13761407000000001"/>
    <n v="53.42209733"/>
    <n v="7.4955844120000004"/>
    <n v="369.92353220000001"/>
    <n v="1365071.4779999999"/>
    <n v="1516856.1"/>
    <n v="75.966329999999999"/>
    <n v="129.38842733000001"/>
  </r>
  <r>
    <n v="60"/>
    <x v="59"/>
    <n v="48.087722999999997"/>
    <n v="-123.831856"/>
    <x v="0"/>
    <x v="0"/>
    <x v="1"/>
    <n v="-8"/>
    <n v="283.39999999999998"/>
    <n v="3.3059601999999999"/>
    <x v="0"/>
    <n v="1.0205481999999999"/>
    <n v="8.4222182369999992"/>
    <n v="270.26519339999999"/>
    <n v="362.15538420000001"/>
    <n v="0.74626860510997195"/>
    <n v="0.18940552999999999"/>
    <n v="0.14134740000000001"/>
    <n v="52.008011400000001"/>
    <n v="6.1056558389999998"/>
    <n v="351.4404543"/>
    <n v="1249307.3840000001"/>
    <n v="1359298.2"/>
    <n v="66.277559999999994"/>
    <n v="118.28557139999999"/>
  </r>
  <r>
    <n v="61"/>
    <x v="60"/>
    <n v="48.115935999999998"/>
    <n v="-123.67493"/>
    <x v="0"/>
    <x v="0"/>
    <x v="1"/>
    <n v="-8"/>
    <n v="174.36363639999999"/>
    <n v="3.3513727000000002"/>
    <x v="0"/>
    <n v="1.020505"/>
    <n v="20.457198630000001"/>
    <n v="656.46229879999999"/>
    <n v="879.65954120000004"/>
    <n v="0.74626860512929538"/>
    <n v="0.19176792000000001"/>
    <n v="0.14311038000000001"/>
    <n v="51.365599009999997"/>
    <n v="0.18"/>
    <n v="340.88377250000002"/>
    <n v="1198091.4410000001"/>
    <n v="1235698.2"/>
    <n v="59.508755000000001"/>
    <n v="110.87435400999999"/>
  </r>
  <r>
    <n v="62"/>
    <x v="61"/>
    <n v="48.281998000000002"/>
    <n v="-122.73009999999999"/>
    <x v="0"/>
    <x v="0"/>
    <x v="4"/>
    <n v="-8"/>
    <n v="40.857142860000003"/>
    <n v="3.3675343999999998"/>
    <x v="0"/>
    <n v="1.0203397999999999"/>
    <n v="12.725990879999999"/>
    <n v="408.3713209"/>
    <n v="547.21760789999996"/>
    <n v="0.74626860503843084"/>
    <n v="0.19307195999999999"/>
    <n v="0.14408356"/>
    <n v="51.012127370000002"/>
    <n v="0"/>
    <n v="191.87920120000001"/>
    <n v="751588.35719999997"/>
    <n v="786588.4"/>
    <n v="37.624671999999997"/>
    <n v="88.636799370000006"/>
  </r>
  <r>
    <n v="63"/>
    <x v="62"/>
    <n v="48.309134999999998"/>
    <n v="-122.57210000000001"/>
    <x v="0"/>
    <x v="0"/>
    <x v="4"/>
    <n v="-8"/>
    <n v="47.5"/>
    <n v="3.2972413999999999"/>
    <x v="0"/>
    <n v="1.0202236"/>
    <n v="14.200919600000001"/>
    <n v="455.70112"/>
    <n v="610.639543"/>
    <n v="0.74626860514337834"/>
    <n v="0.18898243000000001"/>
    <n v="0.14103165000000001"/>
    <n v="52.111329900000001"/>
    <n v="1.933675324"/>
    <n v="180.8107531"/>
    <n v="711517.49179999996"/>
    <n v="746199.9"/>
    <n v="36.465164000000001"/>
    <n v="88.576493900000003"/>
  </r>
  <r>
    <n v="64"/>
    <x v="63"/>
    <n v="48.336117000000002"/>
    <n v="-122.41394"/>
    <x v="0"/>
    <x v="0"/>
    <x v="2"/>
    <n v="-8"/>
    <n v="21.666666670000001"/>
    <n v="3.2052299999999998"/>
    <x v="0"/>
    <n v="1.0201480000000001"/>
    <n v="6.7008060790000004"/>
    <n v="215.0258518"/>
    <n v="288.13466140000003"/>
    <n v="0.74626860494750591"/>
    <n v="0.18166229"/>
    <n v="0.13556886000000001"/>
    <n v="54.208000929999997"/>
    <n v="15.39329219"/>
    <n v="146.6180584"/>
    <n v="566451.80240000004"/>
    <n v="613579.93999999994"/>
    <n v="31.192543000000001"/>
    <n v="85.400543929999998"/>
  </r>
  <r>
    <n v="65"/>
    <x v="64"/>
    <n v="48.362938"/>
    <n v="-122.25563"/>
    <x v="0"/>
    <x v="0"/>
    <x v="2"/>
    <n v="-8"/>
    <n v="140.83333329999999"/>
    <n v="3.0920198000000001"/>
    <x v="0"/>
    <n v="1.0189035"/>
    <n v="21.823019599999999"/>
    <n v="700.29096240000001"/>
    <n v="938.38984300000004"/>
    <n v="0.74626869378849403"/>
    <n v="0.17603021999999999"/>
    <n v="0.13136584000000001"/>
    <n v="55.888360839999997"/>
    <n v="6.5838896040000003"/>
    <n v="138.03607779999999"/>
    <n v="543257.17830000003"/>
    <n v="623781.9"/>
    <n v="32.725777000000001"/>
    <n v="88.614137839999998"/>
  </r>
  <r>
    <n v="66"/>
    <x v="65"/>
    <n v="48.389606000000001"/>
    <n v="-122.09717000000001"/>
    <x v="0"/>
    <x v="0"/>
    <x v="2"/>
    <n v="-8"/>
    <n v="544.36842109999998"/>
    <n v="2.9852569999999998"/>
    <x v="1"/>
    <n v="1.0185120999999999"/>
    <n v="16.35600608"/>
    <n v="524.85687519999999"/>
    <n v="703.30826139999999"/>
    <n v="0.74626860511381443"/>
    <n v="0.17091935999999999"/>
    <n v="0.12755174999999999"/>
    <n v="57.542062719999997"/>
    <n v="7.53021428"/>
    <n v="115.0673441"/>
    <n v="411048.8297"/>
    <n v="532870.06000000006"/>
    <n v="28.792175"/>
    <n v="86.334237720000004"/>
  </r>
  <r>
    <n v="67"/>
    <x v="66"/>
    <n v="48.416114999999998"/>
    <n v="-121.93855000000001"/>
    <x v="0"/>
    <x v="0"/>
    <x v="2"/>
    <n v="-8"/>
    <n v="727.58333330000005"/>
    <n v="2.969004"/>
    <x v="1"/>
    <n v="1.0180418"/>
    <n v="3.4146359799999999"/>
    <n v="109.5741321"/>
    <n v="146.82934710000001"/>
    <n v="0.74626860545373896"/>
    <n v="0.16955993999999999"/>
    <n v="0.12653724999999999"/>
    <n v="57.982215580000002"/>
    <n v="18.223220770000001"/>
    <n v="145.53696099999999"/>
    <n v="519084.75870000001"/>
    <n v="684884.94"/>
    <n v="37.302570000000003"/>
    <n v="95.284785580000005"/>
  </r>
  <r>
    <n v="68"/>
    <x v="67"/>
    <n v="48.44247"/>
    <n v="-121.77979000000001"/>
    <x v="0"/>
    <x v="0"/>
    <x v="2"/>
    <n v="-8"/>
    <n v="819.66666669999995"/>
    <n v="3.0696766000000002"/>
    <x v="0"/>
    <n v="1.0174576"/>
    <n v="0.30488402599999997"/>
    <n v="9.7835912010000001"/>
    <n v="13.11001312"/>
    <n v="0.74626860487840618"/>
    <n v="0.17574877"/>
    <n v="0.13115578999999999"/>
    <n v="69.287813749999998"/>
    <n v="13.20131168"/>
    <n v="165.58092199999999"/>
    <n v="613733.53559999994"/>
    <n v="776632.8"/>
    <n v="40.810119999999998"/>
    <n v="110.09793375"/>
  </r>
  <r>
    <n v="69"/>
    <x v="68"/>
    <n v="48.468670000000003"/>
    <n v="-121.62088"/>
    <x v="0"/>
    <x v="0"/>
    <x v="2"/>
    <n v="-8"/>
    <n v="276.8"/>
    <n v="3.0912997999999998"/>
    <x v="0"/>
    <n v="1.0164291999999999"/>
    <n v="9.0370084350000006"/>
    <n v="289.99349969999997"/>
    <n v="388.59136269999999"/>
    <n v="0.74626851632798785"/>
    <n v="0.17374587"/>
    <n v="0.1296611"/>
    <n v="56.51436546"/>
    <n v="6.8011688250000004"/>
    <n v="146.01209080000001"/>
    <n v="533275.58259999997"/>
    <n v="631834.5"/>
    <n v="33.584063999999998"/>
    <n v="90.098429460000006"/>
  </r>
  <r>
    <n v="70"/>
    <x v="69"/>
    <n v="48.494709999999998"/>
    <n v="-121.46182"/>
    <x v="0"/>
    <x v="0"/>
    <x v="2"/>
    <n v="-8"/>
    <n v="305"/>
    <n v="3.092381"/>
    <x v="0"/>
    <n v="1.0156704999999999"/>
    <n v="3.8202841190000001"/>
    <n v="122.5911983"/>
    <n v="164.27221710000001"/>
    <n v="0.74626860502755088"/>
    <n v="0.17359153999999999"/>
    <n v="0.12954593"/>
    <n v="56.531222450000001"/>
    <n v="2.5855129859999999"/>
    <n v="154.52061029999999"/>
    <n v="570068.47889999999"/>
    <n v="638408.1"/>
    <n v="33.963642"/>
    <n v="90.494864449999994"/>
  </r>
  <r>
    <n v="71"/>
    <x v="70"/>
    <n v="48.647644"/>
    <n v="-120.504425"/>
    <x v="0"/>
    <x v="0"/>
    <x v="3"/>
    <n v="-8"/>
    <n v="942"/>
    <n v="3.6160002000000002"/>
    <x v="0"/>
    <n v="1.0079719"/>
    <n v="1.5876000000000001E-2"/>
    <n v="0.50945382699999997"/>
    <n v="0.68266801300000002"/>
    <n v="0.74626878262714202"/>
    <n v="0.21082528"/>
    <n v="0.15733227"/>
    <n v="80.527596059999993"/>
    <n v="32.701071399999996"/>
    <n v="244.4309868"/>
    <n v="791780.65980000002"/>
    <n v="973489.7"/>
    <n v="42.643520000000002"/>
    <n v="123.17111606"/>
  </r>
  <r>
    <n v="72"/>
    <x v="71"/>
    <n v="48.672580000000004"/>
    <n v="-120.34435999999999"/>
    <x v="0"/>
    <x v="0"/>
    <x v="3"/>
    <n v="-8"/>
    <n v="1353"/>
    <n v="3.7949999999999999"/>
    <x v="0"/>
    <n v="1.0064074999999999"/>
    <n v="8.0999999999999996E-3"/>
    <n v="0.25992535500000002"/>
    <n v="0.3483"/>
    <n v="0.74626860465116285"/>
    <n v="0.22779331999999999"/>
    <n v="0.16999503999999999"/>
    <n v="80.623931580000004"/>
    <n v="32.784675300000004"/>
    <n v="244.4309868"/>
    <n v="791780.65980000002"/>
    <n v="1018304"/>
    <n v="41.283912999999998"/>
    <n v="121.90784458"/>
  </r>
  <r>
    <n v="73"/>
    <x v="72"/>
    <n v="48.697356999999997"/>
    <n v="-120.18414"/>
    <x v="0"/>
    <x v="0"/>
    <x v="3"/>
    <n v="-8"/>
    <n v="1093.75"/>
    <n v="3.7357035000000001"/>
    <x v="0"/>
    <n v="1.0047196"/>
    <n v="0.40840201599999998"/>
    <n v="13.105436920000001"/>
    <n v="17.561286689999999"/>
    <n v="0.7462686049913807"/>
    <n v="0.22321658"/>
    <n v="0.16657955999999999"/>
    <n v="52.259191800000004"/>
    <n v="28.45343505"/>
    <n v="244.4309868"/>
    <n v="791780.65980000002"/>
    <n v="1007634.94"/>
    <n v="41.688972"/>
    <n v="93.948163800000003"/>
  </r>
  <r>
    <n v="74"/>
    <x v="73"/>
    <n v="48.746437"/>
    <n v="-119.8633"/>
    <x v="0"/>
    <x v="0"/>
    <x v="3"/>
    <n v="-8"/>
    <n v="1611.9285709999999"/>
    <n v="3.6884108000000002"/>
    <x v="0"/>
    <n v="1.0014168999999999"/>
    <n v="3.6676799010000001"/>
    <n v="117.6941976"/>
    <n v="157.7102357"/>
    <n v="0.74626860506302573"/>
    <n v="0.22286332"/>
    <n v="0.16631591000000001"/>
    <n v="43.544430830000003"/>
    <n v="25.295941549999998"/>
    <n v="245.4081946"/>
    <n v="727406.07559999998"/>
    <n v="946652.94"/>
    <n v="39.22804"/>
    <n v="82.772470830000003"/>
  </r>
  <r>
    <n v="75"/>
    <x v="74"/>
    <n v="48.770736999999997"/>
    <n v="-119.70265999999999"/>
    <x v="0"/>
    <x v="0"/>
    <x v="3"/>
    <n v="-8"/>
    <n v="1286.666667"/>
    <n v="3.6937847000000001"/>
    <x v="0"/>
    <n v="1.0000468"/>
    <n v="3.007692059"/>
    <n v="96.515484779999994"/>
    <n v="129.3307586"/>
    <n v="0.74626860481432289"/>
    <n v="0.22194067000000001"/>
    <n v="0.16562736"/>
    <n v="43.678292900000002"/>
    <n v="12.25763635"/>
    <n v="245.4081946"/>
    <n v="727406.07559999998"/>
    <n v="861652.1"/>
    <n v="35.854156000000003"/>
    <n v="79.532448900000006"/>
  </r>
  <r>
    <n v="76"/>
    <x v="75"/>
    <n v="48.794876000000002"/>
    <n v="-119.54188499999999"/>
    <x v="0"/>
    <x v="0"/>
    <x v="3"/>
    <n v="-8"/>
    <n v="629.52941180000005"/>
    <n v="3.7373953000000002"/>
    <x v="0"/>
    <n v="0.99830470000000004"/>
    <n v="26.20187842"/>
    <n v="840.80658800000003"/>
    <n v="1126.6807719999999"/>
    <n v="0.74626869375560811"/>
    <n v="0.22063575999999999"/>
    <n v="0.16465357"/>
    <n v="43.876300649999997"/>
    <n v="3.3928636330000002"/>
    <n v="241.9599609"/>
    <n v="715257.28590000002"/>
    <n v="781567.8"/>
    <n v="32.714115"/>
    <n v="76.590415649999997"/>
  </r>
  <r>
    <n v="77"/>
    <x v="76"/>
    <n v="48.818854999999999"/>
    <n v="-119.38097399999999"/>
    <x v="0"/>
    <x v="0"/>
    <x v="3"/>
    <n v="-8"/>
    <n v="649.20000000000005"/>
    <n v="3.7680693000000001"/>
    <x v="0"/>
    <n v="0.99679680000000004"/>
    <n v="16.484065579999999"/>
    <n v="528.96630970000001"/>
    <n v="708.81481980000001"/>
    <n v="0.74626869377428329"/>
    <n v="0.22235279999999999"/>
    <n v="0.16593492000000001"/>
    <n v="43.485675370000003"/>
    <n v="3.9174220740000001"/>
    <n v="241.61540239999999"/>
    <n v="714313.9669"/>
    <n v="781097.56"/>
    <n v="32.441960000000002"/>
    <n v="75.927635370000004"/>
  </r>
  <r>
    <n v="78"/>
    <x v="77"/>
    <n v="48.842674000000002"/>
    <n v="-119.219925"/>
    <x v="0"/>
    <x v="0"/>
    <x v="3"/>
    <n v="-8"/>
    <n v="1173.1875"/>
    <n v="3.7283865999999999"/>
    <x v="0"/>
    <n v="0.99554485000000004"/>
    <n v="24.651539209999999"/>
    <n v="791.0568945"/>
    <n v="1060.0161860000001"/>
    <n v="0.7462686937687949"/>
    <n v="0.22160497000000001"/>
    <n v="0.16537684"/>
    <n v="43.589268869999998"/>
    <n v="15.95933116"/>
    <n v="241.61540239999999"/>
    <n v="714313.9669"/>
    <n v="847316.75"/>
    <n v="35.311053999999999"/>
    <n v="78.900322869999997"/>
  </r>
  <r>
    <n v="79"/>
    <x v="78"/>
    <n v="48.866332999999997"/>
    <n v="-119.05874"/>
    <x v="0"/>
    <x v="0"/>
    <x v="3"/>
    <n v="-8"/>
    <n v="1249.8421049999999"/>
    <n v="3.6143990000000001"/>
    <x v="0"/>
    <n v="0.99432830000000005"/>
    <n v="26.245052050000002"/>
    <n v="842.1920106"/>
    <n v="1128.5372379999999"/>
    <n v="0.74626869388247874"/>
    <n v="0.21388897000000001"/>
    <n v="0.15961866"/>
    <n v="45.118283169999998"/>
    <n v="28.479474020000001"/>
    <n v="241.61540239999999"/>
    <n v="714313.9669"/>
    <n v="936644.6"/>
    <n v="40.441833000000003"/>
    <n v="85.560116170000001"/>
  </r>
  <r>
    <n v="80"/>
    <x v="79"/>
    <n v="48.889830000000003"/>
    <n v="-118.897415"/>
    <x v="0"/>
    <x v="0"/>
    <x v="3"/>
    <n v="-8"/>
    <n v="1082.3125"/>
    <n v="3.5681677000000001"/>
    <x v="0"/>
    <n v="0.99326669999999995"/>
    <n v="5.6377621580000001"/>
    <n v="180.91325079999999"/>
    <n v="242.42377279999999"/>
    <n v="0.74626860522154204"/>
    <n v="0.20947273"/>
    <n v="0.15632293999999999"/>
    <n v="46.03078292"/>
    <n v="38.862097370000001"/>
    <n v="214.36001289999999"/>
    <n v="902286.40449999995"/>
    <n v="1208916"/>
    <n v="53.298264000000003"/>
    <n v="99.329046919999996"/>
  </r>
  <r>
    <n v="81"/>
    <x v="80"/>
    <n v="48.913170000000001"/>
    <n v="-118.73596000000001"/>
    <x v="0"/>
    <x v="0"/>
    <x v="5"/>
    <n v="-8"/>
    <n v="1011.529412"/>
    <n v="3.5471303000000001"/>
    <x v="0"/>
    <n v="0.99187210000000003"/>
    <n v="3.1943158810000001"/>
    <n v="102.5041592"/>
    <n v="137.3555829"/>
    <n v="0.7462686047106426"/>
    <n v="0.20614368999999999"/>
    <n v="0.15383859"/>
    <n v="46.722455080000003"/>
    <n v="38.32474672"/>
    <n v="211.00817520000001"/>
    <n v="889019.09649999999"/>
    <n v="1156483.5"/>
    <n v="51.810028000000003"/>
    <n v="98.532483080000006"/>
  </r>
  <r>
    <n v="82"/>
    <x v="81"/>
    <n v="48.936348000000002"/>
    <n v="-118.57437"/>
    <x v="0"/>
    <x v="0"/>
    <x v="5"/>
    <n v="-8"/>
    <n v="936.625"/>
    <n v="3.5452349999999999"/>
    <x v="0"/>
    <n v="0.99083929999999998"/>
    <n v="11.467250679999999"/>
    <n v="367.9789581"/>
    <n v="493.09177940000001"/>
    <n v="0.74626869372626981"/>
    <n v="0.20501494000000001"/>
    <n v="0.15299623000000001"/>
    <n v="46.941211170000003"/>
    <n v="36.319162310000003"/>
    <n v="211.00817520000001"/>
    <n v="889019.09649999999"/>
    <n v="1142255"/>
    <n v="51.454334000000003"/>
    <n v="98.395545170000005"/>
  </r>
  <r>
    <n v="83"/>
    <x v="82"/>
    <n v="48.959361999999999"/>
    <n v="-118.41264"/>
    <x v="0"/>
    <x v="0"/>
    <x v="5"/>
    <n v="-8"/>
    <n v="1107.4285709999999"/>
    <n v="3.5293511999999998"/>
    <x v="0"/>
    <n v="0.99033046000000002"/>
    <n v="1.06515"/>
    <n v="34.180188270000002"/>
    <n v="45.801450000000003"/>
    <n v="0.74626869389506223"/>
    <n v="0.20416787"/>
    <n v="0.1523641"/>
    <n v="50.848021029999998"/>
    <n v="61.67796749"/>
    <n v="211.00817520000001"/>
    <n v="889019.09649999999"/>
    <n v="1248889.5"/>
    <n v="56.491225999999997"/>
    <n v="107.33924703"/>
  </r>
  <r>
    <n v="84"/>
    <x v="83"/>
    <n v="48.982216000000001"/>
    <n v="-118.25078000000001"/>
    <x v="0"/>
    <x v="0"/>
    <x v="5"/>
    <n v="-8"/>
    <n v="686"/>
    <n v="3.4565980000000001"/>
    <x v="0"/>
    <n v="0.98911554000000002"/>
    <n v="2.13888598"/>
    <n v="68.635888649999998"/>
    <n v="91.972097149999996"/>
    <n v="0.74626860511900373"/>
    <n v="0.19790128000000001"/>
    <n v="0.14768751999999999"/>
    <n v="48.644912410000003"/>
    <n v="48.550116860000003"/>
    <n v="164.66328559999999"/>
    <n v="625184.16429999995"/>
    <n v="993650.6"/>
    <n v="46.369190000000003"/>
    <n v="95.014102410000007"/>
  </r>
  <r>
    <n v="85"/>
    <x v="84"/>
    <n v="47.879936000000001"/>
    <n v="-124.40971"/>
    <x v="0"/>
    <x v="0"/>
    <x v="1"/>
    <n v="-8"/>
    <n v="153.7222222"/>
    <n v="3.0509453"/>
    <x v="0"/>
    <n v="1.0209906"/>
    <n v="34.454239889999997"/>
    <n v="1105.6211860000001"/>
    <n v="1481.5323149999999"/>
    <n v="0.7462686941121498"/>
    <n v="0.17465542000000001"/>
    <n v="0.13033986"/>
    <n v="56.41957798"/>
    <n v="11.673961029999999"/>
    <n v="406.99887639999997"/>
    <n v="1529207.7609999999"/>
    <n v="1663032.5"/>
    <n v="87.935265000000001"/>
    <n v="144.35484298"/>
  </r>
  <r>
    <n v="86"/>
    <x v="85"/>
    <n v="47.908714000000003"/>
    <n v="-124.25364999999999"/>
    <x v="0"/>
    <x v="0"/>
    <x v="1"/>
    <n v="-8"/>
    <n v="232.2857143"/>
    <n v="3.0202230999999999"/>
    <x v="0"/>
    <n v="1.0208577000000001"/>
    <n v="7.9882196040000002"/>
    <n v="256.33840300000003"/>
    <n v="343.49344300000001"/>
    <n v="0.74626869369381243"/>
    <n v="0.17353336999999999"/>
    <n v="0.12950252000000001"/>
    <n v="56.778526280000001"/>
    <n v="13.74240908"/>
    <n v="406.9088764"/>
    <n v="1528753.13"/>
    <n v="1735909.1"/>
    <n v="92.382225000000005"/>
    <n v="149.16075128"/>
  </r>
  <r>
    <n v="87"/>
    <x v="86"/>
    <n v="48.022297000000002"/>
    <n v="-123.62782"/>
    <x v="0"/>
    <x v="0"/>
    <x v="1"/>
    <n v="-8"/>
    <n v="363.5"/>
    <n v="3.3796957000000001"/>
    <x v="0"/>
    <n v="1.0205327"/>
    <n v="1.033074069"/>
    <n v="33.150882019999997"/>
    <n v="44.422184979999997"/>
    <n v="0.74626860508832182"/>
    <n v="0.19507389999999999"/>
    <n v="0.14557751999999999"/>
    <n v="54.701582350000002"/>
    <n v="11.57491557"/>
    <n v="330.34892830000001"/>
    <n v="1148140.57"/>
    <n v="1321191.3999999999"/>
    <n v="62.547646"/>
    <n v="117.24922835000001"/>
  </r>
  <r>
    <n v="88"/>
    <x v="87"/>
    <n v="48.050311999999998"/>
    <n v="-123.47098"/>
    <x v="0"/>
    <x v="0"/>
    <x v="1"/>
    <n v="-8"/>
    <n v="373"/>
    <n v="3.3219903"/>
    <x v="0"/>
    <n v="1.0205417999999999"/>
    <n v="4.6881993160000004"/>
    <n v="150.4422065"/>
    <n v="201.59257059999999"/>
    <n v="0.74626860529750105"/>
    <n v="0.19028993"/>
    <n v="0.14200740000000001"/>
    <n v="51.766025939999999"/>
    <n v="5.3728636329999997"/>
    <n v="323.61966860000001"/>
    <n v="1107129.5859999999"/>
    <n v="1210082.5"/>
    <n v="58.727780000000003"/>
    <n v="110.49380594"/>
  </r>
  <r>
    <n v="89"/>
    <x v="88"/>
    <n v="48.07817"/>
    <n v="-123.31398"/>
    <x v="0"/>
    <x v="0"/>
    <x v="1"/>
    <n v="-8"/>
    <n v="276.61538460000003"/>
    <n v="3.2591106999999999"/>
    <x v="0"/>
    <n v="1.0205578"/>
    <n v="29.238812840000001"/>
    <n v="938.26034719999996"/>
    <n v="1257.2689519999999"/>
    <n v="0.74626860522361804"/>
    <n v="0.18573333"/>
    <n v="0.13860700000000001"/>
    <n v="53.036657329999997"/>
    <n v="0.47183766199999999"/>
    <n v="311.34019460000002"/>
    <n v="1055278.257"/>
    <n v="1094991.8999999999"/>
    <n v="54.445934000000001"/>
    <n v="107.48259132999999"/>
  </r>
  <r>
    <n v="90"/>
    <x v="89"/>
    <n v="48.105873000000003"/>
    <n v="-123.15681499999999"/>
    <x v="0"/>
    <x v="0"/>
    <x v="1"/>
    <n v="-8"/>
    <n v="131.7857143"/>
    <n v="3.3160297999999999"/>
    <x v="0"/>
    <n v="1.0205735"/>
    <n v="18.711484500000001"/>
    <n v="600.44318910000004"/>
    <n v="804.59383339999999"/>
    <n v="0.7462686938112445"/>
    <n v="0.18824597000000001"/>
    <n v="0.14048206999999999"/>
    <n v="52.329399719999998"/>
    <n v="0.30727922099999999"/>
    <n v="310.01513619999997"/>
    <n v="1067957.8659999999"/>
    <n v="1105312.8999999999"/>
    <n v="54.225549999999998"/>
    <n v="106.55494972"/>
  </r>
  <r>
    <n v="91"/>
    <x v="90"/>
    <n v="48.188065000000002"/>
    <n v="-122.68443000000001"/>
    <x v="0"/>
    <x v="0"/>
    <x v="4"/>
    <n v="-8"/>
    <n v="35.571428570000002"/>
    <n v="3.2958348000000002"/>
    <x v="0"/>
    <n v="1.0205389"/>
    <n v="11.52800068"/>
    <n v="369.92839850000001"/>
    <n v="495.70402940000002"/>
    <n v="0.74626869373598037"/>
    <n v="0.18682554000000001"/>
    <n v="0.13942203"/>
    <n v="52.725853299999997"/>
    <n v="5.9000714270000003"/>
    <n v="202.34853229999999"/>
    <n v="785922.78830000001"/>
    <n v="812025.75"/>
    <n v="40.140053000000002"/>
    <n v="92.865906300000006"/>
  </r>
  <r>
    <n v="92"/>
    <x v="91"/>
    <n v="48.215150000000001"/>
    <n v="-122.52666499999999"/>
    <x v="0"/>
    <x v="0"/>
    <x v="4"/>
    <n v="-8"/>
    <n v="67"/>
    <n v="3.2483382000000001"/>
    <x v="0"/>
    <n v="1.02047"/>
    <n v="9.6057892089999992"/>
    <n v="308.2454899"/>
    <n v="413.04893600000003"/>
    <n v="0.74626869369299131"/>
    <n v="0.18395697"/>
    <n v="0.13728129999999999"/>
    <n v="53.54519234"/>
    <n v="20.691597389999998"/>
    <n v="109.904909"/>
    <n v="379103.71710000001"/>
    <n v="468004.94"/>
    <n v="23.495170000000002"/>
    <n v="77.040362340000001"/>
  </r>
  <r>
    <n v="93"/>
    <x v="92"/>
    <n v="48.242077000000002"/>
    <n v="-122.36874400000001"/>
    <x v="0"/>
    <x v="0"/>
    <x v="6"/>
    <n v="-8"/>
    <n v="38.833333330000002"/>
    <n v="3.1818179999999998"/>
    <x v="0"/>
    <n v="1.020356"/>
    <n v="12.02525881"/>
    <n v="385.88519009999999"/>
    <n v="517.08612900000003"/>
    <n v="0.74626869385622208"/>
    <n v="0.17952904"/>
    <n v="0.13397686"/>
    <n v="54.860987569999999"/>
    <n v="1.8963961030000001"/>
    <n v="109.904909"/>
    <n v="379103.71710000001"/>
    <n v="409752.1"/>
    <n v="21.078071999999999"/>
    <n v="75.939059569999998"/>
  </r>
  <r>
    <n v="94"/>
    <x v="93"/>
    <n v="48.268852000000003"/>
    <n v="-122.21068"/>
    <x v="0"/>
    <x v="0"/>
    <x v="6"/>
    <n v="-8"/>
    <n v="118.52631580000001"/>
    <n v="3.0681485999999998"/>
    <x v="0"/>
    <n v="1.0193341"/>
    <n v="38.356252730000001"/>
    <n v="1230.8350370000001"/>
    <n v="1649.3188680000001"/>
    <n v="0.74626869362898718"/>
    <n v="0.17417616999999999"/>
    <n v="0.12998222000000001"/>
    <n v="56.50216236"/>
    <n v="3.0946298680000002"/>
    <n v="102.509922"/>
    <n v="391924.34649999999"/>
    <n v="461850.25"/>
    <n v="24.488199999999999"/>
    <n v="80.990362360000006"/>
  </r>
  <r>
    <n v="95"/>
    <x v="94"/>
    <n v="48.295470000000002"/>
    <n v="-122.05246"/>
    <x v="0"/>
    <x v="0"/>
    <x v="6"/>
    <n v="-8"/>
    <n v="302.47368419999998"/>
    <n v="2.9844824999999999"/>
    <x v="1"/>
    <n v="1.0188991000000001"/>
    <n v="22.520187159999999"/>
    <n v="722.66267219999997"/>
    <n v="968.3680478"/>
    <n v="0.74626860504308346"/>
    <n v="0.16974247000000001"/>
    <n v="0.12667347000000001"/>
    <n v="57.958431900000001"/>
    <n v="10.997636350000001"/>
    <n v="99.582045379999997"/>
    <n v="361199.3431"/>
    <n v="471801.3"/>
    <n v="25.669243000000002"/>
    <n v="83.627674900000002"/>
  </r>
  <r>
    <n v="96"/>
    <x v="95"/>
    <n v="48.321933999999999"/>
    <n v="-121.89409999999999"/>
    <x v="0"/>
    <x v="0"/>
    <x v="2"/>
    <n v="-8"/>
    <n v="492"/>
    <n v="2.9758483999999998"/>
    <x v="1"/>
    <n v="1.0184143000000001"/>
    <n v="14.040701370000001"/>
    <n v="450.55978879999998"/>
    <n v="603.75015880000001"/>
    <n v="0.74626860503941284"/>
    <n v="0.16847028"/>
    <n v="0.12572407999999999"/>
    <n v="58.374134810000001"/>
    <n v="7.0455844120000002"/>
    <n v="102.5429999"/>
    <n v="369780.14360000001"/>
    <n v="480383.62"/>
    <n v="26.333544"/>
    <n v="84.707678810000004"/>
  </r>
  <r>
    <n v="97"/>
    <x v="96"/>
    <n v="48.348239999999997"/>
    <n v="-121.73558"/>
    <x v="0"/>
    <x v="0"/>
    <x v="2"/>
    <n v="-8"/>
    <n v="767"/>
    <n v="3.0179999999999998"/>
    <x v="0"/>
    <n v="1.0173234"/>
    <n v="5.8320000000000004E-3"/>
    <n v="0.18714626300000001"/>
    <n v="0.25077600999999999"/>
    <n v="0.74626860440119458"/>
    <n v="0.17303166"/>
    <n v="0.1291281"/>
    <n v="111.4672108"/>
    <n v="10.087493500000001"/>
    <n v="115.3086558"/>
    <n v="421772.11859999999"/>
    <n v="572850.6"/>
    <n v="30.574560000000002"/>
    <n v="142.04177079999999"/>
  </r>
  <r>
    <n v="98"/>
    <x v="97"/>
    <n v="48.374389999999998"/>
    <n v="-121.57692"/>
    <x v="0"/>
    <x v="0"/>
    <x v="2"/>
    <n v="-8"/>
    <n v="399.41666670000001"/>
    <n v="3.1022983000000002"/>
    <x v="0"/>
    <n v="1.0170269000000001"/>
    <n v="7.721892059"/>
    <n v="247.7920709"/>
    <n v="332.04135860000002"/>
    <n v="0.74626869358918468"/>
    <n v="0.17416735999999999"/>
    <n v="0.12997565"/>
    <n v="56.403824180000001"/>
    <n v="1.0491168820000001"/>
    <n v="137.9637142"/>
    <n v="499989.94870000001"/>
    <n v="546752.75"/>
    <n v="28.99136"/>
    <n v="85.395184180000001"/>
  </r>
  <r>
    <n v="99"/>
    <x v="98"/>
    <n v="48.400382999999998"/>
    <n v="-121.41810599999999"/>
    <x v="0"/>
    <x v="0"/>
    <x v="2"/>
    <n v="-8"/>
    <n v="494.5"/>
    <n v="3.1403677000000001"/>
    <x v="0"/>
    <n v="1.0159853000000001"/>
    <n v="5.9940001E-2"/>
    <n v="1.923447653"/>
    <n v="2.5774200330000001"/>
    <n v="0.7462686051839188"/>
    <n v="0.1769657"/>
    <n v="0.13206396000000001"/>
    <n v="82.697338090000002"/>
    <n v="11.034915570000001"/>
    <n v="145.5402531"/>
    <n v="532064.07339999999"/>
    <n v="696785.56"/>
    <n v="36.362560000000002"/>
    <n v="119.05989809"/>
  </r>
  <r>
    <n v="100"/>
    <x v="99"/>
    <n v="48.553040000000003"/>
    <n v="-120.462204"/>
    <x v="0"/>
    <x v="0"/>
    <x v="3"/>
    <n v="-8"/>
    <n v="970.8"/>
    <n v="3.7397706999999998"/>
    <x v="0"/>
    <n v="1.0073472999999999"/>
    <n v="0.38021401999999999"/>
    <n v="12.200898260000001"/>
    <n v="16.349202850000001"/>
    <n v="0.74626869407275109"/>
    <n v="0.21941253999999999"/>
    <n v="0.16374068"/>
    <n v="53.704290200000003"/>
    <n v="24.102551930000001"/>
    <n v="244.4309868"/>
    <n v="791780.65980000002"/>
    <n v="962277.44"/>
    <n v="40.502631999999998"/>
    <n v="94.206922200000008"/>
  </r>
  <r>
    <n v="101"/>
    <x v="100"/>
    <n v="48.577930000000002"/>
    <n v="-120.302376"/>
    <x v="0"/>
    <x v="0"/>
    <x v="3"/>
    <n v="-8"/>
    <n v="931"/>
    <n v="3.7639364999999998"/>
    <x v="0"/>
    <n v="1.0062062000000001"/>
    <n v="1.6614720839999999"/>
    <n v="53.315891550000003"/>
    <n v="71.443299609999997"/>
    <n v="0.7462686051882369"/>
    <n v="0.22296270000000001"/>
    <n v="0.16639006000000001"/>
    <n v="44.95787842"/>
    <n v="16.574987"/>
    <n v="244.4309868"/>
    <n v="791780.65980000002"/>
    <n v="901015.06"/>
    <n v="37.320225000000001"/>
    <n v="82.278103420000008"/>
  </r>
  <r>
    <n v="102"/>
    <x v="101"/>
    <n v="48.60266"/>
    <n v="-120.14241"/>
    <x v="0"/>
    <x v="0"/>
    <x v="3"/>
    <n v="-8"/>
    <n v="976.08333330000005"/>
    <n v="3.7996279999999998"/>
    <x v="0"/>
    <n v="1.0045975"/>
    <n v="1.2274740689999999"/>
    <n v="39.389090539999998"/>
    <n v="52.781384979999999"/>
    <n v="0.74626860501908709"/>
    <n v="0.22786175"/>
    <n v="0.17004609000000001"/>
    <n v="45.386604140000003"/>
    <n v="16.6713831"/>
    <n v="244.4309868"/>
    <n v="791780.65980000002"/>
    <n v="905787.94"/>
    <n v="36.711280000000002"/>
    <n v="82.097884140000005"/>
  </r>
  <r>
    <n v="103"/>
    <x v="102"/>
    <n v="48.651646"/>
    <n v="-119.82207"/>
    <x v="0"/>
    <x v="0"/>
    <x v="3"/>
    <n v="-8"/>
    <n v="1355.8"/>
    <n v="3.7134624000000001"/>
    <x v="0"/>
    <n v="1.0010778"/>
    <n v="1.699056079"/>
    <n v="54.521945029999998"/>
    <n v="73.059411400000002"/>
    <n v="0.7462686050328623"/>
    <n v="0.22522078000000001"/>
    <n v="0.16807522999999999"/>
    <n v="44.221015629999997"/>
    <n v="23.330928549999999"/>
    <n v="205.4852856"/>
    <n v="585289.53890000004"/>
    <n v="790649"/>
    <n v="32.420498000000002"/>
    <n v="76.641513629999992"/>
  </r>
  <r>
    <n v="104"/>
    <x v="103"/>
    <n v="48.675899999999999"/>
    <n v="-119.6617"/>
    <x v="0"/>
    <x v="0"/>
    <x v="3"/>
    <n v="-8"/>
    <n v="839.83333330000005"/>
    <n v="3.7463605000000002"/>
    <x v="0"/>
    <n v="0.99923119999999999"/>
    <n v="6.2930523559999996"/>
    <n v="201.9412183"/>
    <n v="270.6012513"/>
    <n v="0.74626860493013547"/>
    <n v="0.22423486000000001"/>
    <n v="0.16733944000000001"/>
    <n v="43.203621439999999"/>
    <n v="16.16381818"/>
    <n v="222.68497389999999"/>
    <n v="646338.61620000005"/>
    <n v="759608.7"/>
    <n v="31.284641000000001"/>
    <n v="74.48826244"/>
  </r>
  <r>
    <n v="105"/>
    <x v="104"/>
    <n v="48.699992999999999"/>
    <n v="-119.501175"/>
    <x v="0"/>
    <x v="0"/>
    <x v="3"/>
    <n v="-8"/>
    <n v="529.70588239999995"/>
    <n v="3.7773560000000002"/>
    <x v="0"/>
    <n v="0.99777570000000004"/>
    <n v="28.436104029999999"/>
    <n v="912.50178249999999"/>
    <n v="1222.752473"/>
    <n v="0.74626860517500671"/>
    <n v="0.22398993"/>
    <n v="0.16715664999999999"/>
    <n v="43.201230469999999"/>
    <n v="4.1219090889999999"/>
    <n v="222.68497389999999"/>
    <n v="646338.61620000005"/>
    <n v="696610.75"/>
    <n v="28.721430000000002"/>
    <n v="71.922660469999997"/>
  </r>
  <r>
    <n v="106"/>
    <x v="105"/>
    <n v="48.723930000000003"/>
    <n v="-119.340515"/>
    <x v="0"/>
    <x v="0"/>
    <x v="3"/>
    <n v="-8"/>
    <n v="735"/>
    <n v="3.8029427999999998"/>
    <x v="0"/>
    <n v="0.99625056999999995"/>
    <n v="25.334209420000001"/>
    <n v="812.96338049999997"/>
    <n v="1089.371005"/>
    <n v="0.74626860524895278"/>
    <n v="0.22625844000000001"/>
    <n v="0.16884957"/>
    <n v="42.716587930000003"/>
    <n v="8.740142853"/>
    <n v="222.68497389999999"/>
    <n v="646338.61620000005"/>
    <n v="727085.5"/>
    <n v="29.677350000000001"/>
    <n v="72.393937930000007"/>
  </r>
  <r>
    <n v="107"/>
    <x v="106"/>
    <n v="48.747703999999999"/>
    <n v="-119.17972"/>
    <x v="0"/>
    <x v="0"/>
    <x v="3"/>
    <n v="-8"/>
    <n v="1283.875"/>
    <n v="3.7829516000000001"/>
    <x v="0"/>
    <n v="0.99486554000000005"/>
    <n v="12.084228039999999"/>
    <n v="387.77744009999998"/>
    <n v="519.62180569999998"/>
    <n v="0.74626860506289183"/>
    <n v="0.22731227000000001"/>
    <n v="0.16963602999999999"/>
    <n v="42.472005000000003"/>
    <n v="20.93116882"/>
    <n v="222.68497389999999"/>
    <n v="646338.61620000005"/>
    <n v="796137.9"/>
    <n v="32.345199999999998"/>
    <n v="74.817205000000001"/>
  </r>
  <r>
    <n v="108"/>
    <x v="107"/>
    <n v="48.771320000000003"/>
    <n v="-119.01879"/>
    <x v="0"/>
    <x v="0"/>
    <x v="3"/>
    <n v="-8"/>
    <n v="1295"/>
    <n v="3.6431208000000002"/>
    <x v="0"/>
    <n v="0.99332094000000004"/>
    <n v="22.77331216"/>
    <n v="730.7852527"/>
    <n v="979.25242279999998"/>
    <n v="0.74626851635500491"/>
    <n v="0.21655488000000001"/>
    <n v="0.16160812999999999"/>
    <n v="44.527315110000004"/>
    <n v="32.339973999999998"/>
    <n v="214.36001289999999"/>
    <n v="902286.40449999995"/>
    <n v="1140703.5"/>
    <n v="48.646233000000002"/>
    <n v="93.173548110000013"/>
  </r>
  <r>
    <n v="109"/>
    <x v="108"/>
    <n v="48.794772999999999"/>
    <n v="-118.85773"/>
    <x v="0"/>
    <x v="0"/>
    <x v="3"/>
    <n v="-8"/>
    <n v="1232.6875"/>
    <n v="3.5971641999999999"/>
    <x v="0"/>
    <n v="0.99212544999999996"/>
    <n v="3.5189640199999999"/>
    <n v="112.9219719"/>
    <n v="151.3154529"/>
    <n v="0.74626860466542611"/>
    <n v="0.21261361000000001"/>
    <n v="0.15866685"/>
    <n v="45.309780940000003"/>
    <n v="24.328876609999998"/>
    <n v="214.36001289999999"/>
    <n v="902286.40449999995"/>
    <n v="1113722.1000000001"/>
    <n v="48.376026000000003"/>
    <n v="93.685806940000006"/>
  </r>
  <r>
    <n v="110"/>
    <x v="109"/>
    <n v="48.818069999999999"/>
    <n v="-118.69653"/>
    <x v="0"/>
    <x v="0"/>
    <x v="5"/>
    <n v="-8"/>
    <n v="1001"/>
    <n v="3.5917496999999998"/>
    <x v="0"/>
    <n v="0.99093735000000005"/>
    <n v="13.07728784"/>
    <n v="419.64428229999999"/>
    <n v="562.32337719999998"/>
    <n v="0.74626860506769632"/>
    <n v="0.20994157999999999"/>
    <n v="0.15667281999999999"/>
    <n v="45.843227710000001"/>
    <n v="22.415941549999999"/>
    <n v="214.36001289999999"/>
    <n v="902286.40449999995"/>
    <n v="1066481.5"/>
    <n v="46.913654000000001"/>
    <n v="92.756881710000002"/>
  </r>
  <r>
    <n v="111"/>
    <x v="110"/>
    <n v="48.841200000000001"/>
    <n v="-118.535194"/>
    <x v="0"/>
    <x v="0"/>
    <x v="5"/>
    <n v="-8"/>
    <n v="991.9375"/>
    <n v="3.5762537000000001"/>
    <x v="0"/>
    <n v="0.99011092999999994"/>
    <n v="11.06087432"/>
    <n v="354.9384374"/>
    <n v="475.61759560000002"/>
    <n v="0.74626851631138436"/>
    <n v="0.20717584999999999"/>
    <n v="0.15460884999999999"/>
    <n v="46.424746429999999"/>
    <n v="28.8235779"/>
    <n v="214.36001289999999"/>
    <n v="902286.40449999995"/>
    <n v="1091310.3999999999"/>
    <n v="48.646720000000002"/>
    <n v="95.071466430000001"/>
  </r>
  <r>
    <n v="112"/>
    <x v="111"/>
    <n v="48.864173999999998"/>
    <n v="-118.37372000000001"/>
    <x v="0"/>
    <x v="0"/>
    <x v="5"/>
    <n v="-8"/>
    <n v="1347.1875"/>
    <n v="3.5290089"/>
    <x v="0"/>
    <n v="0.98928640000000001"/>
    <n v="5.4759243160000004"/>
    <n v="175.71994720000001"/>
    <n v="235.46474559999999"/>
    <n v="0.74626860489131341"/>
    <n v="0.20664816"/>
    <n v="0.15421502000000001"/>
    <n v="46.512822700000001"/>
    <n v="32.042837640000002"/>
    <n v="211.00817520000001"/>
    <n v="889019.09649999999"/>
    <n v="1210624.6000000001"/>
    <n v="54.10313"/>
    <n v="100.61595270000001"/>
  </r>
  <r>
    <n v="113"/>
    <x v="112"/>
    <n v="48.886982000000003"/>
    <n v="-118.21213"/>
    <x v="0"/>
    <x v="0"/>
    <x v="7"/>
    <n v="-8"/>
    <n v="763.33333330000005"/>
    <n v="3.4598572000000001"/>
    <x v="0"/>
    <n v="0.98826473999999997"/>
    <n v="7.7713013670000004"/>
    <n v="249.37759360000001"/>
    <n v="334.1659588"/>
    <n v="0.74626869384159433"/>
    <n v="0.19840250000000001"/>
    <n v="0.14806156000000001"/>
    <n v="48.4065662"/>
    <n v="34.604318159999998"/>
    <n v="164.66328559999999"/>
    <n v="625184.16429999995"/>
    <n v="891252.1"/>
    <n v="41.485644999999998"/>
    <n v="89.892211199999991"/>
  </r>
  <r>
    <n v="114"/>
    <x v="113"/>
    <n v="48.909633999999997"/>
    <n v="-118.0504"/>
    <x v="0"/>
    <x v="0"/>
    <x v="7"/>
    <n v="-8"/>
    <n v="928.05263160000004"/>
    <n v="3.4974362999999999"/>
    <x v="0"/>
    <n v="0.98781050000000004"/>
    <n v="9.5780878420000004"/>
    <n v="307.3565289"/>
    <n v="411.85777719999999"/>
    <n v="0.74626860512274917"/>
    <n v="0.20259160000000001"/>
    <n v="0.15118777999999999"/>
    <n v="47.388502330000001"/>
    <n v="36.15835062"/>
    <n v="179.97187650000001"/>
    <n v="690616.1017"/>
    <n v="1026578.2"/>
    <n v="46.796677000000003"/>
    <n v="94.185179330000011"/>
  </r>
  <r>
    <n v="115"/>
    <x v="114"/>
    <n v="48.932119999999998"/>
    <n v="-117.88853"/>
    <x v="0"/>
    <x v="0"/>
    <x v="7"/>
    <n v="-8"/>
    <n v="802.73333330000003"/>
    <n v="3.4929663999999998"/>
    <x v="0"/>
    <n v="0.98746029999999996"/>
    <n v="9.6955378420000002"/>
    <n v="311.12544650000001"/>
    <n v="416.90812720000002"/>
    <n v="0.74626860500310244"/>
    <n v="0.20123411999999999"/>
    <n v="0.15017469999999999"/>
    <n v="47.694884360000003"/>
    <n v="26.560785689999999"/>
    <n v="180.31643500000001"/>
    <n v="692800.91630000004"/>
    <n v="920888.06"/>
    <n v="42.261960000000002"/>
    <n v="89.956844360000005"/>
  </r>
  <r>
    <n v="116"/>
    <x v="115"/>
    <n v="48.954450000000001"/>
    <n v="-117.72654"/>
    <x v="0"/>
    <x v="0"/>
    <x v="7"/>
    <n v="-8"/>
    <n v="727.53846150000004"/>
    <n v="3.4632239999999999"/>
    <x v="0"/>
    <n v="0.98694813000000003"/>
    <n v="20.972276369999999"/>
    <n v="672.99091150000004"/>
    <n v="901.80788380000001"/>
    <n v="0.74626860508712711"/>
    <n v="0.19757332999999999"/>
    <n v="0.14744280000000001"/>
    <n v="48.558805290000002"/>
    <n v="21.996824660000001"/>
    <n v="180.31643500000001"/>
    <n v="692800.91630000004"/>
    <n v="855003.1"/>
    <n v="39.965363000000004"/>
    <n v="88.524168290000006"/>
  </r>
  <r>
    <n v="117"/>
    <x v="116"/>
    <n v="48.976612000000003"/>
    <n v="-117.56442"/>
    <x v="0"/>
    <x v="0"/>
    <x v="7"/>
    <n v="-8"/>
    <n v="905.5"/>
    <n v="3.4521828000000001"/>
    <x v="0"/>
    <n v="0.98670829999999998"/>
    <n v="4.725620782"/>
    <n v="151.6430445"/>
    <n v="203.2016936"/>
    <n v="0.74626860541087536"/>
    <n v="0.19864064000000001"/>
    <n v="0.14823929999999999"/>
    <n v="48.288666560000003"/>
    <n v="18.417564930000001"/>
    <n v="193.68120769999999"/>
    <n v="775946.27650000004"/>
    <n v="850184.7"/>
    <n v="39.526608000000003"/>
    <n v="87.815274560000006"/>
  </r>
  <r>
    <n v="118"/>
    <x v="117"/>
    <n v="48.998609999999999"/>
    <n v="-117.402176"/>
    <x v="0"/>
    <x v="0"/>
    <x v="8"/>
    <n v="-8"/>
    <n v="1003.6"/>
    <n v="3.3804655000000001"/>
    <x v="0"/>
    <n v="0.98626369999999997"/>
    <n v="1.1223361039999999"/>
    <n v="36.01526054"/>
    <n v="48.260452460000003"/>
    <n v="0.74626860512447002"/>
    <n v="0.19438042999999999"/>
    <n v="0.14506002000000001"/>
    <n v="52.933358679999998"/>
    <n v="3.9882337649999999"/>
    <n v="193.68120769999999"/>
    <n v="775946.27650000004"/>
    <n v="819568.2"/>
    <n v="38.938296999999999"/>
    <n v="91.871655680000003"/>
  </r>
  <r>
    <n v="119"/>
    <x v="118"/>
    <n v="47.786552"/>
    <n v="-124.3616"/>
    <x v="0"/>
    <x v="0"/>
    <x v="9"/>
    <n v="-8"/>
    <n v="164.26315790000001"/>
    <n v="3.0803752000000002"/>
    <x v="0"/>
    <n v="1.0209668999999999"/>
    <n v="32.71492705"/>
    <n v="1049.807288"/>
    <n v="1406.741863"/>
    <n v="0.74626860521602323"/>
    <n v="0.17754271999999999"/>
    <n v="0.13249457000000001"/>
    <n v="55.501035909999999"/>
    <n v="27.010785689999999"/>
    <n v="406.99887639999997"/>
    <n v="1529207.7609999999"/>
    <n v="1743091.1"/>
    <n v="90.669585999999995"/>
    <n v="146.17062190999999"/>
  </r>
  <r>
    <n v="120"/>
    <x v="119"/>
    <n v="47.815277000000002"/>
    <n v="-124.205765"/>
    <x v="0"/>
    <x v="0"/>
    <x v="9"/>
    <n v="-8"/>
    <n v="247.3125"/>
    <n v="3.0338733000000002"/>
    <x v="0"/>
    <n v="1.0208448999999999"/>
    <n v="43.736598630000003"/>
    <n v="1403.4877690000001"/>
    <n v="1880.6737410000001"/>
    <n v="0.74626860491694402"/>
    <n v="0.17455955000000001"/>
    <n v="0.13026834000000001"/>
    <n v="56.44418443"/>
    <n v="28.45078569"/>
    <n v="406.99887639999997"/>
    <n v="1529207.7609999999"/>
    <n v="1746076.9"/>
    <n v="92.37706"/>
    <n v="148.82124443000001"/>
  </r>
  <r>
    <n v="121"/>
    <x v="120"/>
    <n v="47.843853000000003"/>
    <n v="-124.049774"/>
    <x v="0"/>
    <x v="0"/>
    <x v="9"/>
    <n v="-8"/>
    <n v="352.42857140000001"/>
    <n v="3.0558065999999999"/>
    <x v="0"/>
    <n v="1.0207508999999999"/>
    <n v="8.7921446040000006"/>
    <n v="282.13596410000002"/>
    <n v="378.06221799999997"/>
    <n v="0.7462686051849805"/>
    <n v="0.17607618999999999"/>
    <n v="0.13140014"/>
    <n v="55.953924800000003"/>
    <n v="43.945772699999999"/>
    <n v="406.99887639999997"/>
    <n v="1529207.7609999999"/>
    <n v="1859266.8"/>
    <n v="97.518159999999995"/>
    <n v="153.4720848"/>
  </r>
  <r>
    <n v="122"/>
    <x v="121"/>
    <n v="47.984431999999998"/>
    <n v="-123.2675"/>
    <x v="0"/>
    <x v="0"/>
    <x v="1"/>
    <n v="-8"/>
    <n v="504.75"/>
    <n v="3.1773117000000002"/>
    <x v="0"/>
    <n v="1.0206314000000001"/>
    <n v="9.7097939209999993"/>
    <n v="311.58295470000002"/>
    <n v="417.52113859999997"/>
    <n v="0.74626869371159554"/>
    <n v="0.18320532"/>
    <n v="0.13672037000000001"/>
    <n v="53.771593439999997"/>
    <n v="11.726681810000001"/>
    <n v="306.41998030000002"/>
    <n v="1037615.4179999999"/>
    <n v="1197956.5"/>
    <n v="60.387543000000001"/>
    <n v="114.15913644"/>
  </r>
  <r>
    <n v="123"/>
    <x v="122"/>
    <n v="48.012084999999999"/>
    <n v="-123.11058"/>
    <x v="0"/>
    <x v="0"/>
    <x v="1"/>
    <n v="-8"/>
    <n v="393.53846149999998"/>
    <n v="3.2111513999999999"/>
    <x v="0"/>
    <n v="1.0206732999999999"/>
    <n v="10.975256760000001"/>
    <n v="352.19105089999999"/>
    <n v="471.9360408"/>
    <n v="0.74626860517578841"/>
    <n v="0.18392992"/>
    <n v="0.13726114"/>
    <n v="53.561489829999999"/>
    <n v="4.4291883089999997"/>
    <n v="295.34778549999999"/>
    <n v="997746.29700000002"/>
    <n v="1076320.5"/>
    <n v="54.042279999999998"/>
    <n v="107.60376983"/>
  </r>
  <r>
    <n v="124"/>
    <x v="123"/>
    <n v="48.039589999999997"/>
    <n v="-122.953514"/>
    <x v="0"/>
    <x v="0"/>
    <x v="1"/>
    <n v="-8"/>
    <n v="243.53846150000001"/>
    <n v="3.2464379999999999"/>
    <x v="0"/>
    <n v="1.0206907000000001"/>
    <n v="24.324300000000001"/>
    <n v="780.55584150000004"/>
    <n v="1045.9449"/>
    <n v="0.74626860506705472"/>
    <n v="0.1855252"/>
    <n v="0.13845162"/>
    <n v="53.101655659999999"/>
    <n v="0.127279221"/>
    <n v="288.03640239999999"/>
    <n v="982757.35019999999"/>
    <n v="1020088.1"/>
    <n v="50.778419999999997"/>
    <n v="103.88007565999999"/>
  </r>
  <r>
    <n v="125"/>
    <x v="124"/>
    <n v="48.066932999999999"/>
    <n v="-122.79629"/>
    <x v="0"/>
    <x v="0"/>
    <x v="9"/>
    <n v="-8"/>
    <n v="61.7"/>
    <n v="3.2764950000000002"/>
    <x v="0"/>
    <n v="1.020732"/>
    <n v="15.89187568"/>
    <n v="509.96313959999998"/>
    <n v="683.35065440000005"/>
    <n v="0.74626860502206016"/>
    <n v="0.18733290999999999"/>
    <n v="0.13980066999999999"/>
    <n v="52.590917990000001"/>
    <n v="2.9364675299999998"/>
    <n v="285.73103229999998"/>
    <n v="960736.15330000001"/>
    <n v="1005869.5"/>
    <n v="49.587470000000003"/>
    <n v="102.17838799"/>
  </r>
  <r>
    <n v="126"/>
    <x v="125"/>
    <n v="48.148045000000003"/>
    <n v="-122.32371000000001"/>
    <x v="0"/>
    <x v="0"/>
    <x v="6"/>
    <n v="-8"/>
    <n v="81.083333330000002"/>
    <n v="3.1801279999999998"/>
    <x v="0"/>
    <n v="1.0205398000000001"/>
    <n v="25.771607450000001"/>
    <n v="826.99938450000002"/>
    <n v="1108.17912"/>
    <n v="0.74626869390933837"/>
    <n v="0.17951985000000001"/>
    <n v="0.13397004000000001"/>
    <n v="54.871596480000001"/>
    <n v="1.8591168819999999"/>
    <n v="102.7490389"/>
    <n v="371416.93810000003"/>
    <n v="409040.28"/>
    <n v="21.042534"/>
    <n v="75.914130479999997"/>
  </r>
  <r>
    <n v="127"/>
    <x v="126"/>
    <n v="48.174770000000002"/>
    <n v="-122.16588"/>
    <x v="0"/>
    <x v="0"/>
    <x v="6"/>
    <n v="-8"/>
    <n v="70.611111109999996"/>
    <n v="3.0818865"/>
    <x v="0"/>
    <n v="1.0197148"/>
    <n v="29.042549999999999"/>
    <n v="931.96236090000002"/>
    <n v="1248.8296499999999"/>
    <n v="0.74626860508957338"/>
    <n v="0.17373247"/>
    <n v="0.12965111000000001"/>
    <n v="56.663198010000002"/>
    <n v="0.18"/>
    <n v="91.333383049999995"/>
    <n v="332791.55900000001"/>
    <n v="369732.12"/>
    <n v="19.653984000000001"/>
    <n v="76.31718201000001"/>
  </r>
  <r>
    <n v="128"/>
    <x v="127"/>
    <n v="48.201340000000002"/>
    <n v="-122.007904"/>
    <x v="0"/>
    <x v="0"/>
    <x v="6"/>
    <n v="-8"/>
    <n v="217.88888890000001"/>
    <n v="2.9941499999999999"/>
    <x v="1"/>
    <n v="1.0193045000000001"/>
    <n v="23.711373630000001"/>
    <n v="760.8873102"/>
    <n v="1019.589066"/>
    <n v="0.74626860523825977"/>
    <n v="0.16903599999999999"/>
    <n v="0.12614627"/>
    <n v="58.218981229999997"/>
    <n v="0.09"/>
    <n v="90.114409019999997"/>
    <n v="326266.34629999998"/>
    <n v="363519.75"/>
    <n v="19.86064"/>
    <n v="78.079621230000001"/>
  </r>
  <r>
    <n v="129"/>
    <x v="128"/>
    <n v="48.227756999999997"/>
    <n v="-121.84978"/>
    <x v="0"/>
    <x v="0"/>
    <x v="6"/>
    <n v="-8"/>
    <n v="453.64285710000001"/>
    <n v="2.9834993000000001"/>
    <x v="1"/>
    <n v="1.0187044999999999"/>
    <n v="6.6298500000000002"/>
    <n v="212.7489032"/>
    <n v="285.08355"/>
    <n v="0.74626860511593884"/>
    <n v="0.16943811"/>
    <n v="0.12644635000000001"/>
    <n v="58.053775829999999"/>
    <n v="7.5919805150000004"/>
    <n v="98.011019410000003"/>
    <n v="364261.98090000002"/>
    <n v="472449.38"/>
    <n v="25.750672999999999"/>
    <n v="83.804448829999998"/>
  </r>
  <r>
    <n v="130"/>
    <x v="129"/>
    <n v="48.254013"/>
    <n v="-121.69150999999999"/>
    <x v="0"/>
    <x v="0"/>
    <x v="6"/>
    <n v="-8"/>
    <n v="304.33333329999999"/>
    <n v="3.0764768"/>
    <x v="0"/>
    <n v="1.0180446999999999"/>
    <n v="14.53755608"/>
    <n v="466.50363290000001"/>
    <n v="625.11491139999998"/>
    <n v="0.74626860500771608"/>
    <n v="0.17241791000000001"/>
    <n v="0.12867007999999999"/>
    <n v="57.02122524"/>
    <n v="2.6973506469999999"/>
    <n v="118.0896103"/>
    <n v="431179.17489999998"/>
    <n v="496162.56"/>
    <n v="26.575780000000002"/>
    <n v="83.597005240000001"/>
  </r>
  <r>
    <n v="131"/>
    <x v="130"/>
    <n v="48.280113"/>
    <n v="-121.5331"/>
    <x v="0"/>
    <x v="0"/>
    <x v="6"/>
    <n v="-8"/>
    <n v="395.72727270000001"/>
    <n v="3.1458075000000001"/>
    <x v="0"/>
    <n v="1.0173581"/>
    <n v="6.451811169"/>
    <n v="207.03574180000001"/>
    <n v="277.42788030000003"/>
    <n v="0.74626869360108794"/>
    <n v="0.17652255"/>
    <n v="0.13173325"/>
    <n v="55.665608450000001"/>
    <n v="3.4455844120000001"/>
    <n v="127.494383"/>
    <n v="461741.48460000003"/>
    <n v="535645"/>
    <n v="28.023427999999999"/>
    <n v="83.689036450000003"/>
  </r>
  <r>
    <n v="132"/>
    <x v="131"/>
    <n v="48.306060000000002"/>
    <n v="-121.37452999999999"/>
    <x v="0"/>
    <x v="0"/>
    <x v="2"/>
    <n v="-8"/>
    <n v="532"/>
    <n v="3.1499999000000001"/>
    <x v="0"/>
    <n v="1.0159853999999999"/>
    <n v="7.4843997999999995E-2"/>
    <n v="2.4017102220000002"/>
    <n v="3.21829192"/>
    <n v="0.74626860511771109"/>
    <n v="0.17748958000000001"/>
    <n v="0.13245488999999999"/>
    <n v="80.36761654"/>
    <n v="14.876681809999999"/>
    <n v="130.1981298"/>
    <n v="471091.4644"/>
    <n v="641931.25"/>
    <n v="33.401046999999998"/>
    <n v="113.76866354000001"/>
  </r>
  <r>
    <n v="133"/>
    <x v="132"/>
    <n v="48.458435000000001"/>
    <n v="-120.42010500000001"/>
    <x v="0"/>
    <x v="0"/>
    <x v="3"/>
    <n v="-8"/>
    <n v="1092"/>
    <n v="3.8359999999999999"/>
    <x v="0"/>
    <n v="1.0075521000000001"/>
    <n v="1.0044000000000001E-2"/>
    <n v="0.32230744300000003"/>
    <n v="0.43189200300000002"/>
    <n v="0.74626860595054823"/>
    <n v="0.22951008000000001"/>
    <n v="0.17127621000000001"/>
    <n v="78.072598659999997"/>
    <n v="19.327707780000001"/>
    <n v="244.4309868"/>
    <n v="791780.65980000002"/>
    <n v="954831.7"/>
    <n v="38.42107"/>
    <n v="116.49366866"/>
  </r>
  <r>
    <n v="134"/>
    <x v="133"/>
    <n v="48.483280000000001"/>
    <n v="-120.26053"/>
    <x v="0"/>
    <x v="0"/>
    <x v="3"/>
    <n v="-8"/>
    <n v="737.09090909999998"/>
    <n v="3.7957776000000001"/>
    <x v="0"/>
    <n v="1.0057202999999999"/>
    <n v="7.5730140199999996"/>
    <n v="243.01461219999999"/>
    <n v="325.6396029"/>
    <n v="0.7462686050339733"/>
    <n v="0.22591646000000001"/>
    <n v="0.16859436"/>
    <n v="43.10146975"/>
    <n v="5.2237467500000001"/>
    <n v="244.4309868"/>
    <n v="791780.65980000002"/>
    <n v="847947.4"/>
    <n v="34.662939999999999"/>
    <n v="77.764409749999999"/>
  </r>
  <r>
    <n v="135"/>
    <x v="134"/>
    <n v="48.507964999999999"/>
    <n v="-120.10082"/>
    <x v="0"/>
    <x v="0"/>
    <x v="3"/>
    <n v="-8"/>
    <n v="906.90909090000002"/>
    <n v="3.8356338000000001"/>
    <x v="0"/>
    <n v="1.0042515999999999"/>
    <n v="3.2289841190000002"/>
    <n v="103.6166351"/>
    <n v="138.84631709999999"/>
    <n v="0.74626851661735583"/>
    <n v="0.22891808"/>
    <n v="0.17083439"/>
    <n v="42.487296919999999"/>
    <n v="7.6383051919999998"/>
    <n v="244.4309868"/>
    <n v="791780.65980000002"/>
    <n v="875426.8"/>
    <n v="35.317030000000003"/>
    <n v="77.804326919999994"/>
  </r>
  <r>
    <n v="136"/>
    <x v="135"/>
    <n v="48.532494"/>
    <n v="-119.94098"/>
    <x v="0"/>
    <x v="0"/>
    <x v="3"/>
    <n v="-8"/>
    <n v="1229.5"/>
    <n v="3.6942153000000002"/>
    <x v="0"/>
    <n v="1.0021485000000001"/>
    <n v="1.3889879650000001"/>
    <n v="44.571998790000002"/>
    <n v="59.726482509999997"/>
    <n v="0.74626860509552562"/>
    <n v="0.22331084000000001"/>
    <n v="0.16664992000000001"/>
    <n v="45.610620920000002"/>
    <n v="16.95417531"/>
    <n v="236.189818"/>
    <n v="762033.62650000001"/>
    <n v="936177.44"/>
    <n v="38.716200000000001"/>
    <n v="84.326820920000003"/>
  </r>
  <r>
    <n v="137"/>
    <x v="136"/>
    <n v="48.55686"/>
    <n v="-119.78099"/>
    <x v="0"/>
    <x v="0"/>
    <x v="3"/>
    <n v="-8"/>
    <n v="1030.230769"/>
    <n v="3.7062282999999998"/>
    <x v="0"/>
    <n v="1.0006025000000001"/>
    <n v="7.2203401979999997"/>
    <n v="231.69746789999999"/>
    <n v="310.47462849999999"/>
    <n v="0.74626860500454706"/>
    <n v="0.22271601999999999"/>
    <n v="0.16620599"/>
    <n v="43.545290190000003"/>
    <n v="18.144915569999998"/>
    <n v="202.26337649999999"/>
    <n v="575072.62199999997"/>
    <n v="733222.44"/>
    <n v="30.403858"/>
    <n v="73.949148190000003"/>
  </r>
  <r>
    <n v="138"/>
    <x v="137"/>
    <n v="48.581069999999997"/>
    <n v="-119.62085999999999"/>
    <x v="0"/>
    <x v="0"/>
    <x v="3"/>
    <n v="-8"/>
    <n v="678.26666669999997"/>
    <n v="3.7823981999999998"/>
    <x v="0"/>
    <n v="0.99868584000000005"/>
    <n v="15.20758784"/>
    <n v="488.00470869999998"/>
    <n v="653.92627719999996"/>
    <n v="0.74626869375788407"/>
    <n v="0.2263058"/>
    <n v="0.16888496"/>
    <n v="42.789849050000001"/>
    <n v="6.0966103829999998"/>
    <n v="204.06977259999999"/>
    <n v="580791.50450000004"/>
    <n v="675405.2"/>
    <n v="27.562151"/>
    <n v="70.352000050000001"/>
  </r>
  <r>
    <n v="139"/>
    <x v="138"/>
    <n v="48.605117999999997"/>
    <n v="-119.46059"/>
    <x v="0"/>
    <x v="0"/>
    <x v="3"/>
    <n v="-8"/>
    <n v="553.64705879999997"/>
    <n v="3.8263867"/>
    <x v="0"/>
    <n v="0.99718313999999997"/>
    <n v="20.614662160000002"/>
    <n v="661.51523239999995"/>
    <n v="886.43047279999996"/>
    <n v="0.74626860503841652"/>
    <n v="0.22860684000000001"/>
    <n v="0.17060211"/>
    <n v="42.308938089999998"/>
    <n v="2.9827922060000001"/>
    <n v="210.59454529999999"/>
    <n v="602922.71759999997"/>
    <n v="665170"/>
    <n v="26.87125"/>
    <n v="69.180188090000001"/>
  </r>
  <r>
    <n v="140"/>
    <x v="139"/>
    <n v="48.629013"/>
    <n v="-119.300186"/>
    <x v="0"/>
    <x v="0"/>
    <x v="3"/>
    <n v="-8"/>
    <n v="1015.833333"/>
    <n v="3.8212837999999998"/>
    <x v="0"/>
    <n v="0.99548199999999998"/>
    <n v="20.683836469999999"/>
    <n v="663.73500509999997"/>
    <n v="889.40496840000003"/>
    <n v="0.74626860505853676"/>
    <n v="0.22955538"/>
    <n v="0.17131001000000001"/>
    <n v="42.077499779999997"/>
    <n v="14.80587012"/>
    <n v="222.68497389999999"/>
    <n v="646338.61620000005"/>
    <n v="751583.2"/>
    <n v="30.236671000000001"/>
    <n v="72.314170779999998"/>
  </r>
  <r>
    <n v="141"/>
    <x v="140"/>
    <n v="48.652740000000001"/>
    <n v="-119.139656"/>
    <x v="0"/>
    <x v="0"/>
    <x v="3"/>
    <n v="-8"/>
    <n v="1043.125"/>
    <n v="3.7305899999999999"/>
    <x v="0"/>
    <n v="0.99391025"/>
    <n v="21.181583060000001"/>
    <n v="679.70738819999997"/>
    <n v="910.80807140000002"/>
    <n v="0.74626851643422965"/>
    <n v="0.22317835999999999"/>
    <n v="0.166551"/>
    <n v="43.226007099999997"/>
    <n v="25.204389590000002"/>
    <n v="222.68497389999999"/>
    <n v="646338.61620000005"/>
    <n v="799427.44"/>
    <n v="33.080449999999999"/>
    <n v="76.306457099999989"/>
  </r>
  <r>
    <n v="142"/>
    <x v="141"/>
    <n v="48.676310000000001"/>
    <n v="-118.97898000000001"/>
    <x v="0"/>
    <x v="0"/>
    <x v="3"/>
    <n v="-8"/>
    <n v="1268.1111109999999"/>
    <n v="3.6513051999999999"/>
    <x v="0"/>
    <n v="0.99248004000000001"/>
    <n v="18.659402050000001"/>
    <n v="598.77188660000002"/>
    <n v="802.35428820000004"/>
    <n v="0.74626869377526928"/>
    <n v="0.21792491999999999"/>
    <n v="0.16263053999999999"/>
    <n v="44.217913950000003"/>
    <n v="23.639759720000001"/>
    <n v="214.36001289999999"/>
    <n v="902286.40449999995"/>
    <n v="1096466.5"/>
    <n v="46.465744000000001"/>
    <n v="90.683657949999997"/>
  </r>
  <r>
    <n v="143"/>
    <x v="142"/>
    <n v="48.699722000000001"/>
    <n v="-118.81818"/>
    <x v="0"/>
    <x v="0"/>
    <x v="5"/>
    <n v="-8"/>
    <n v="1158.4705879999999"/>
    <n v="3.5881707999999999"/>
    <x v="0"/>
    <n v="0.99109285999999996"/>
    <n v="15.359868240000001"/>
    <n v="492.8913187"/>
    <n v="660.47433420000004"/>
    <n v="0.74626869384260774"/>
    <n v="0.21225215"/>
    <n v="0.15839712"/>
    <n v="45.349778139999998"/>
    <n v="11.435941550000001"/>
    <n v="214.36001289999999"/>
    <n v="902286.40449999995"/>
    <n v="1010963.7"/>
    <n v="43.987360000000002"/>
    <n v="89.337138140000008"/>
  </r>
  <r>
    <n v="144"/>
    <x v="143"/>
    <n v="48.722973000000003"/>
    <n v="-118.65723"/>
    <x v="0"/>
    <x v="0"/>
    <x v="5"/>
    <n v="-8"/>
    <n v="957"/>
    <n v="3.5947901999999998"/>
    <x v="0"/>
    <n v="0.990089"/>
    <n v="13.95654324"/>
    <n v="447.85919230000002"/>
    <n v="600.13135920000002"/>
    <n v="0.74626860508841741"/>
    <n v="0.209679"/>
    <n v="0.15647686"/>
    <n v="45.869726839999998"/>
    <n v="9.6284480450000007"/>
    <n v="214.36001289999999"/>
    <n v="902286.40449999995"/>
    <n v="981043.56"/>
    <n v="43.209353999999998"/>
    <n v="89.079080839999989"/>
  </r>
  <r>
    <n v="145"/>
    <x v="144"/>
    <n v="48.746062999999999"/>
    <n v="-118.496155"/>
    <x v="0"/>
    <x v="0"/>
    <x v="5"/>
    <n v="-8"/>
    <n v="1333.916667"/>
    <n v="3.6002667000000002"/>
    <x v="0"/>
    <n v="0.98942569999999996"/>
    <n v="2.014145906"/>
    <n v="64.633043479999998"/>
    <n v="86.608273960000005"/>
    <n v="0.7462686937953612"/>
    <n v="0.21047898000000001"/>
    <n v="0.15707386000000001"/>
    <n v="46.041349859999997"/>
    <n v="12.307707779999999"/>
    <n v="210.88089600000001"/>
    <n v="888574.15130000003"/>
    <n v="1028752.6"/>
    <n v="45.138449999999999"/>
    <n v="91.179799860000003"/>
  </r>
  <r>
    <n v="146"/>
    <x v="145"/>
    <n v="48.768990000000002"/>
    <n v="-118.334946"/>
    <x v="0"/>
    <x v="0"/>
    <x v="5"/>
    <n v="-8"/>
    <n v="1246.727273"/>
    <n v="3.5304066999999999"/>
    <x v="0"/>
    <n v="0.98814709999999994"/>
    <n v="2.2660560790000002"/>
    <n v="72.716719889999993"/>
    <n v="97.440411400000002"/>
    <n v="0.74626860503998238"/>
    <n v="0.20798878000000001"/>
    <n v="0.15521549000000001"/>
    <n v="46.171166880000001"/>
    <n v="24.722409079999998"/>
    <n v="210.88089600000001"/>
    <n v="888574.15130000003"/>
    <n v="1164203"/>
    <n v="51.693176000000001"/>
    <n v="97.864342880000009"/>
  </r>
  <r>
    <n v="147"/>
    <x v="146"/>
    <n v="48.791763000000003"/>
    <n v="-118.17359999999999"/>
    <x v="0"/>
    <x v="0"/>
    <x v="5"/>
    <n v="-8"/>
    <n v="739.70588239999995"/>
    <n v="3.5095917999999999"/>
    <x v="0"/>
    <n v="0.98739920000000003"/>
    <n v="10.930463530000001"/>
    <n v="350.75365599999998"/>
    <n v="470.00993160000002"/>
    <n v="0.74626860501855818"/>
    <n v="0.20181394"/>
    <n v="0.15060741999999999"/>
    <n v="47.555540479999998"/>
    <n v="21.59314934"/>
    <n v="164.66328559999999"/>
    <n v="625184.16429999995"/>
    <n v="811387.4"/>
    <n v="37.129703999999997"/>
    <n v="84.685244479999994"/>
  </r>
  <r>
    <n v="148"/>
    <x v="147"/>
    <n v="48.814365000000002"/>
    <n v="-118.01213"/>
    <x v="0"/>
    <x v="0"/>
    <x v="7"/>
    <n v="-8"/>
    <n v="716.63157890000002"/>
    <n v="3.5545640000000001"/>
    <x v="0"/>
    <n v="0.98675215000000005"/>
    <n v="14.82632029"/>
    <n v="475.77000299999997"/>
    <n v="637.53177240000002"/>
    <n v="0.74626869372949856"/>
    <n v="0.20430810999999999"/>
    <n v="0.15246876000000001"/>
    <n v="46.950789800000003"/>
    <n v="30.73696752"/>
    <n v="164.66328559999999"/>
    <n v="625184.16429999995"/>
    <n v="870018.6"/>
    <n v="39.326687"/>
    <n v="86.277476800000002"/>
  </r>
  <r>
    <n v="149"/>
    <x v="148"/>
    <n v="48.83681"/>
    <n v="-117.850525"/>
    <x v="0"/>
    <x v="0"/>
    <x v="7"/>
    <n v="-8"/>
    <n v="759.63157890000002"/>
    <n v="3.5354407000000001"/>
    <x v="0"/>
    <n v="0.98637425999999995"/>
    <n v="18.379872949999999"/>
    <n v="589.80178220000005"/>
    <n v="790.33453680000002"/>
    <n v="0.74626851635265656"/>
    <n v="0.20313154"/>
    <n v="0.15159072000000001"/>
    <n v="47.208519000000003"/>
    <n v="17.896753239999999"/>
    <n v="180.31643500000001"/>
    <n v="692800.91630000004"/>
    <n v="835772.44"/>
    <n v="37.997509999999998"/>
    <n v="85.206029000000001"/>
  </r>
  <r>
    <n v="150"/>
    <x v="149"/>
    <n v="48.859096999999998"/>
    <n v="-117.6888"/>
    <x v="0"/>
    <x v="0"/>
    <x v="7"/>
    <n v="-8"/>
    <n v="902.73684209999999"/>
    <n v="3.4922705000000001"/>
    <x v="0"/>
    <n v="0.98603034000000001"/>
    <n v="12.92290137"/>
    <n v="414.69013910000001"/>
    <n v="555.68475880000005"/>
    <n v="0.74626869377436655"/>
    <n v="0.20119570000000001"/>
    <n v="0.15014604000000001"/>
    <n v="47.649698010000002"/>
    <n v="7.0455844120000002"/>
    <n v="180.31643500000001"/>
    <n v="692800.91630000004"/>
    <n v="769095"/>
    <n v="35.302520000000001"/>
    <n v="82.952218009999996"/>
  </r>
  <r>
    <n v="151"/>
    <x v="150"/>
    <n v="48.881217999999997"/>
    <n v="-117.52692999999999"/>
    <x v="0"/>
    <x v="0"/>
    <x v="7"/>
    <n v="-8"/>
    <n v="1006.1111110000001"/>
    <n v="3.4496435999999999"/>
    <x v="0"/>
    <n v="0.98622500000000002"/>
    <n v="2.107620099"/>
    <n v="67.632580579999996"/>
    <n v="90.627664249999995"/>
    <n v="0.74626860506338166"/>
    <n v="0.19869617000000001"/>
    <n v="0.14828071000000001"/>
    <n v="48.414274550000002"/>
    <n v="13.778590899999999"/>
    <n v="180.31643500000001"/>
    <n v="692800.91630000004"/>
    <n v="839766"/>
    <n v="39.031320000000001"/>
    <n v="87.44559455000001"/>
  </r>
  <r>
    <n v="152"/>
    <x v="151"/>
    <n v="48.903179999999999"/>
    <n v="-117.36494999999999"/>
    <x v="0"/>
    <x v="0"/>
    <x v="8"/>
    <n v="-8"/>
    <n v="855.4"/>
    <n v="3.3928091999999999"/>
    <x v="0"/>
    <n v="0.98569859999999998"/>
    <n v="5.5935364749999996"/>
    <n v="179.49404709999999"/>
    <n v="240.52206839999999"/>
    <n v="0.74626851620738843"/>
    <n v="0.19433254999999999"/>
    <n v="0.14502427000000001"/>
    <n v="49.31948062"/>
    <n v="1.191837662"/>
    <n v="180.3808506"/>
    <n v="721825.78269999998"/>
    <n v="775748.9"/>
    <n v="36.865490000000001"/>
    <n v="86.184970620000001"/>
  </r>
  <r>
    <n v="153"/>
    <x v="152"/>
    <n v="48.94661"/>
    <n v="-117.04059599999999"/>
    <x v="0"/>
    <x v="0"/>
    <x v="8"/>
    <n v="-8"/>
    <n v="1538.5"/>
    <n v="3.3368570000000002"/>
    <x v="0"/>
    <n v="0.98398390000000002"/>
    <n v="0.18144001200000001"/>
    <n v="5.8223283520000004"/>
    <n v="7.8019205310000004"/>
    <n v="0.74626860512942594"/>
    <n v="0.19399079999999999"/>
    <n v="0.14476924999999999"/>
    <n v="64.70421571"/>
    <n v="32.859233740000001"/>
    <n v="178.06533759999999"/>
    <n v="713194.2929"/>
    <n v="1159912"/>
    <n v="55.218975"/>
    <n v="119.92319071"/>
  </r>
  <r>
    <n v="154"/>
    <x v="153"/>
    <n v="48.968082000000003"/>
    <n v="-116.87823"/>
    <x v="0"/>
    <x v="1"/>
    <x v="10"/>
    <n v="-8"/>
    <n v="1535.5"/>
    <n v="3.3785763000000002"/>
    <x v="0"/>
    <n v="0.98402080000000003"/>
    <n v="0.18176398899999999"/>
    <n v="5.8327246129999999"/>
    <n v="7.815851522"/>
    <n v="0.74626860510106807"/>
    <n v="0.19660775"/>
    <n v="0.14672218000000001"/>
    <n v="63.832179979999999"/>
    <n v="30.19057141"/>
    <n v="460.80964260000002"/>
    <n v="1780734.7180000001"/>
    <n v="1910327.2"/>
    <n v="89.732864000000006"/>
    <n v="153.56504398000001"/>
  </r>
  <r>
    <n v="155"/>
    <x v="154"/>
    <n v="48.98939"/>
    <n v="-116.71574"/>
    <x v="0"/>
    <x v="1"/>
    <x v="10"/>
    <n v="-8"/>
    <n v="1584.333333"/>
    <n v="3.4279687000000001"/>
    <x v="0"/>
    <n v="0.98409329999999995"/>
    <n v="0.62143201000000003"/>
    <n v="19.941473559999999"/>
    <n v="26.721576429999999"/>
    <n v="0.7462686047823115"/>
    <n v="0.19943080999999999"/>
    <n v="0.14882893999999999"/>
    <n v="54.91160077"/>
    <n v="18.097493499999999"/>
    <n v="460.80964260000002"/>
    <n v="1780734.7180000001"/>
    <n v="1859235.5"/>
    <n v="86.096710000000002"/>
    <n v="141.00831077000001"/>
  </r>
  <r>
    <n v="156"/>
    <x v="155"/>
    <n v="47.693159999999999"/>
    <n v="-124.31364000000001"/>
    <x v="0"/>
    <x v="0"/>
    <x v="9"/>
    <n v="-8"/>
    <n v="165.93333329999999"/>
    <n v="3.1055236000000002"/>
    <x v="0"/>
    <n v="1.0209611999999999"/>
    <n v="29.750896579999999"/>
    <n v="954.69288400000005"/>
    <n v="1279.2885530000001"/>
    <n v="0.74626860512524262"/>
    <n v="0.17969987000000001"/>
    <n v="0.13410438999999999"/>
    <n v="54.834536559999997"/>
    <n v="39.438279199999997"/>
    <n v="406.99887639999997"/>
    <n v="1529207.7609999999"/>
    <n v="1833532.4"/>
    <n v="94.229129999999998"/>
    <n v="149.06366656"/>
  </r>
  <r>
    <n v="157"/>
    <x v="156"/>
    <n v="47.72184"/>
    <n v="-124.158035"/>
    <x v="0"/>
    <x v="0"/>
    <x v="9"/>
    <n v="-8"/>
    <n v="255.55555559999999"/>
    <n v="3.0643729999999998"/>
    <x v="0"/>
    <n v="1.0208394999999999"/>
    <n v="20.45039392"/>
    <n v="656.24393859999998"/>
    <n v="879.36693860000003"/>
    <n v="0.7462686050544225"/>
    <n v="0.17826117999999999"/>
    <n v="0.13303073000000001"/>
    <n v="55.271887929999998"/>
    <n v="40.040045429999999"/>
    <n v="406.99887639999997"/>
    <n v="1529207.7609999999"/>
    <n v="1851878.5"/>
    <n v="95.940094000000002"/>
    <n v="151.21198193000001"/>
  </r>
  <r>
    <n v="158"/>
    <x v="157"/>
    <n v="47.750362000000003"/>
    <n v="-124.00227"/>
    <x v="0"/>
    <x v="0"/>
    <x v="9"/>
    <n v="-8"/>
    <n v="472.07692309999999"/>
    <n v="3.0543399999999998"/>
    <x v="0"/>
    <n v="1.0207870000000001"/>
    <n v="2.4572161289999999"/>
    <n v="78.850950490000002"/>
    <n v="105.66029349999999"/>
    <n v="0.74626851656436111"/>
    <n v="0.17657880000000001"/>
    <n v="0.13177520000000001"/>
    <n v="55.79622698"/>
    <n v="46.345986979999999"/>
    <n v="406.99887639999997"/>
    <n v="1529207.7609999999"/>
    <n v="1911540.1"/>
    <n v="99.974500000000006"/>
    <n v="155.77072698000001"/>
  </r>
  <r>
    <n v="159"/>
    <x v="158"/>
    <n v="47.945746999999997"/>
    <n v="-122.90765"/>
    <x v="0"/>
    <x v="0"/>
    <x v="9"/>
    <n v="-8"/>
    <n v="287.73333330000003"/>
    <n v="3.1246295000000002"/>
    <x v="0"/>
    <n v="1.0208553"/>
    <n v="29.025863529999999"/>
    <n v="931.42701009999996"/>
    <n v="1248.112132"/>
    <n v="0.74626869350870151"/>
    <n v="0.17805344000000001"/>
    <n v="0.13287570000000001"/>
    <n v="55.337044540000001"/>
    <n v="4.8328636329999997"/>
    <n v="276.27618810000001"/>
    <n v="918057.79330000002"/>
    <n v="983969.6"/>
    <n v="51.035891999999997"/>
    <n v="106.37293654"/>
  </r>
  <r>
    <n v="160"/>
    <x v="159"/>
    <n v="47.973044999999999"/>
    <n v="-122.75067"/>
    <x v="0"/>
    <x v="0"/>
    <x v="9"/>
    <n v="-8"/>
    <n v="112.58333330000001"/>
    <n v="3.1890304"/>
    <x v="0"/>
    <n v="1.0208781"/>
    <n v="37.297422949999998"/>
    <n v="1196.8575189999999"/>
    <n v="1603.7891870000001"/>
    <n v="0.74626860481507906"/>
    <n v="0.18119709000000001"/>
    <n v="0.1352217"/>
    <n v="54.377935890000003"/>
    <n v="0.61455844100000001"/>
    <n v="297.92580500000003"/>
    <n v="1007130.361"/>
    <n v="1051107.1000000001"/>
    <n v="53.572285000000001"/>
    <n v="107.95022089"/>
  </r>
  <r>
    <n v="161"/>
    <x v="160"/>
    <n v="48.027175999999997"/>
    <n v="-122.43625"/>
    <x v="0"/>
    <x v="0"/>
    <x v="4"/>
    <n v="-8"/>
    <n v="71"/>
    <n v="3.2421787000000002"/>
    <x v="0"/>
    <n v="1.020869"/>
    <n v="22.77217705"/>
    <n v="730.7490014"/>
    <n v="979.20361319999995"/>
    <n v="0.74626869381327154"/>
    <n v="0.18299869999999999"/>
    <n v="0.13656619"/>
    <n v="53.842211659999997"/>
    <n v="0.92183766199999995"/>
    <n v="246.5093895"/>
    <n v="980807.25139999995"/>
    <n v="1006299.8"/>
    <n v="50.783638000000003"/>
    <n v="104.62584966"/>
  </r>
  <r>
    <n v="162"/>
    <x v="161"/>
    <n v="48.054009999999998"/>
    <n v="-122.27880999999999"/>
    <x v="0"/>
    <x v="0"/>
    <x v="6"/>
    <n v="-8"/>
    <n v="57.875"/>
    <n v="3.1775372000000002"/>
    <x v="0"/>
    <n v="1.0207417000000001"/>
    <n v="20.44018784"/>
    <n v="655.91643009999996"/>
    <n v="878.92807719999996"/>
    <n v="0.74626860503711756"/>
    <n v="0.17904527000000001"/>
    <n v="0.13361587999999999"/>
    <n v="55.025653579999997"/>
    <n v="7.4157272660000002"/>
    <n v="73.079279170000007"/>
    <n v="263117.59019999998"/>
    <n v="293953.7"/>
    <n v="15.162138000000001"/>
    <n v="70.187791579999995"/>
  </r>
  <r>
    <n v="163"/>
    <x v="162"/>
    <n v="48.080689999999997"/>
    <n v="-122.12121999999999"/>
    <x v="0"/>
    <x v="0"/>
    <x v="6"/>
    <n v="-8"/>
    <n v="82"/>
    <n v="3.0693188"/>
    <x v="0"/>
    <n v="1.0201085000000001"/>
    <n v="24.478765580000001"/>
    <n v="785.51266569999996"/>
    <n v="1052.58692"/>
    <n v="0.74626869361059511"/>
    <n v="0.17280804999999999"/>
    <n v="0.12896124"/>
    <n v="56.983728640000002"/>
    <n v="1.2509545440000001"/>
    <n v="72.098324629999993"/>
    <n v="271978.26750000002"/>
    <n v="303728.28000000003"/>
    <n v="16.231762"/>
    <n v="73.215490639999999"/>
  </r>
  <r>
    <n v="164"/>
    <x v="163"/>
    <n v="48.107210000000002"/>
    <n v="-121.96348999999999"/>
    <x v="0"/>
    <x v="0"/>
    <x v="6"/>
    <n v="-8"/>
    <n v="275.10526320000002"/>
    <n v="2.9906788"/>
    <x v="1"/>
    <n v="1.0196403999999999"/>
    <n v="30.038766939999999"/>
    <n v="963.93062889999999"/>
    <n v="1291.6669790000001"/>
    <n v="0.74626869353451197"/>
    <n v="0.16868601999999999"/>
    <n v="0.12588508000000001"/>
    <n v="58.354988290000001"/>
    <n v="3.0046298679999999"/>
    <n v="87.706701240000001"/>
    <n v="318105.04729999998"/>
    <n v="365449.03"/>
    <n v="20.007470000000001"/>
    <n v="78.362458290000006"/>
  </r>
  <r>
    <n v="165"/>
    <x v="164"/>
    <n v="48.133575"/>
    <n v="-121.80562"/>
    <x v="0"/>
    <x v="0"/>
    <x v="6"/>
    <n v="-8"/>
    <n v="585.1"/>
    <n v="2.9603510000000002"/>
    <x v="1"/>
    <n v="1.0190345000000001"/>
    <n v="10.15934392"/>
    <n v="326.00877489999999"/>
    <n v="436.85178860000002"/>
    <n v="0.74626860506803927"/>
    <n v="0.16835226"/>
    <n v="0.125636"/>
    <n v="58.443190610000002"/>
    <n v="15.401240250000001"/>
    <n v="87.706701240000001"/>
    <n v="318105.04729999998"/>
    <n v="464206.6"/>
    <n v="25.464596"/>
    <n v="83.907786610000002"/>
  </r>
  <r>
    <n v="166"/>
    <x v="165"/>
    <n v="48.185844000000003"/>
    <n v="-121.48941000000001"/>
    <x v="0"/>
    <x v="0"/>
    <x v="6"/>
    <n v="-8"/>
    <n v="552"/>
    <n v="3.1128716000000001"/>
    <x v="0"/>
    <n v="1.0175107999999999"/>
    <n v="0.27993597999999997"/>
    <n v="8.9830207069999997"/>
    <n v="12.037247150000001"/>
    <n v="0.7462686937519597"/>
    <n v="0.17575109"/>
    <n v="0.13115756000000001"/>
    <n v="69.955107409999997"/>
    <n v="15.2313831"/>
    <n v="123.6360778"/>
    <n v="448426.6568"/>
    <n v="618991.69999999995"/>
    <n v="32.526040000000002"/>
    <n v="102.48114741000001"/>
  </r>
  <r>
    <n v="167"/>
    <x v="166"/>
    <n v="48.363840000000003"/>
    <n v="-120.37815999999999"/>
    <x v="0"/>
    <x v="0"/>
    <x v="3"/>
    <n v="-8"/>
    <n v="1110"/>
    <n v="3.8095870000000001"/>
    <x v="0"/>
    <n v="1.0074719000000001"/>
    <n v="0.90493201000000001"/>
    <n v="29.03886099"/>
    <n v="38.912076429999999"/>
    <n v="0.74626860486971969"/>
    <n v="0.22817071"/>
    <n v="0.17027664000000001"/>
    <n v="46.95367186"/>
    <n v="22.990571410000001"/>
    <n v="224.81144140000001"/>
    <n v="717372.23459999997"/>
    <n v="872383.5"/>
    <n v="35.309531999999997"/>
    <n v="82.263203860000004"/>
  </r>
  <r>
    <n v="168"/>
    <x v="167"/>
    <n v="48.388634000000003"/>
    <n v="-120.21884"/>
    <x v="0"/>
    <x v="0"/>
    <x v="3"/>
    <n v="-8"/>
    <n v="822.33333330000005"/>
    <n v="3.8172252000000002"/>
    <x v="0"/>
    <n v="1.0054727999999999"/>
    <n v="4.3190817629999998"/>
    <n v="138.5973903"/>
    <n v="185.72051579999999"/>
    <n v="0.74626860529104777"/>
    <n v="0.22743672000000001"/>
    <n v="0.16972888999999999"/>
    <n v="42.805058770000002"/>
    <n v="10.11947402"/>
    <n v="224.81144140000001"/>
    <n v="717372.23459999997"/>
    <n v="807487.75"/>
    <n v="32.788364000000001"/>
    <n v="75.593422770000004"/>
  </r>
  <r>
    <n v="169"/>
    <x v="168"/>
    <n v="48.413277000000001"/>
    <n v="-120.05937"/>
    <x v="0"/>
    <x v="0"/>
    <x v="3"/>
    <n v="-8"/>
    <n v="828.58333330000005"/>
    <n v="3.8451966999999998"/>
    <x v="0"/>
    <n v="1.0039899000000001"/>
    <n v="4.2043859799999996"/>
    <n v="134.91685419999999"/>
    <n v="180.7885971"/>
    <n v="0.74626860523384186"/>
    <n v="0.22917973999999999"/>
    <n v="0.17102966999999999"/>
    <n v="42.430062290000002"/>
    <n v="3.33"/>
    <n v="230.9351882"/>
    <n v="739488.86609999998"/>
    <n v="808936.7"/>
    <n v="32.597380000000001"/>
    <n v="75.02744229000001"/>
  </r>
  <r>
    <n v="170"/>
    <x v="169"/>
    <n v="48.437759999999997"/>
    <n v="-119.89978000000001"/>
    <x v="0"/>
    <x v="0"/>
    <x v="3"/>
    <n v="-8"/>
    <n v="1467.142857"/>
    <n v="3.8633690000000001"/>
    <x v="0"/>
    <n v="1.0017450000000001"/>
    <n v="1.288224069"/>
    <n v="41.338525789999998"/>
    <n v="55.393634980000002"/>
    <n v="0.7462685163182623"/>
    <n v="0.23606368999999999"/>
    <n v="0.17616688999999999"/>
    <n v="43.483279289999999"/>
    <n v="6.1237467499999996"/>
    <n v="208.2774804"/>
    <n v="632849.00670000003"/>
    <n v="754917.1"/>
    <n v="29.533470000000001"/>
    <n v="73.016749290000007"/>
  </r>
  <r>
    <n v="171"/>
    <x v="170"/>
    <n v="48.462082000000002"/>
    <n v="-119.740036"/>
    <x v="0"/>
    <x v="0"/>
    <x v="3"/>
    <n v="-8"/>
    <n v="1003.235294"/>
    <n v="3.7669169999999998"/>
    <x v="0"/>
    <n v="1.0000252000000001"/>
    <n v="5.2988584349999996"/>
    <n v="170.03796259999999"/>
    <n v="227.85091270000001"/>
    <n v="0.74626851648332226"/>
    <n v="0.22690229000000001"/>
    <n v="0.16933007999999999"/>
    <n v="42.722455940000003"/>
    <n v="19.449688299999998"/>
    <n v="186.63316219999999"/>
    <n v="527671.37029999995"/>
    <n v="663098.1"/>
    <n v="26.988785"/>
    <n v="69.71124094000001"/>
  </r>
  <r>
    <n v="172"/>
    <x v="171"/>
    <n v="48.486243999999999"/>
    <n v="-119.58017"/>
    <x v="0"/>
    <x v="0"/>
    <x v="3"/>
    <n v="-8"/>
    <n v="514.33333330000005"/>
    <n v="3.823744"/>
    <x v="0"/>
    <n v="0.99819267"/>
    <n v="27.713663530000002"/>
    <n v="889.31899190000001"/>
    <n v="1191.6875319999999"/>
    <n v="0.74626860483088453"/>
    <n v="0.22832163"/>
    <n v="0.17038928"/>
    <n v="42.39556262"/>
    <n v="9.5166103829999997"/>
    <n v="186.63316219999999"/>
    <n v="527671.37029999995"/>
    <n v="598283.80000000005"/>
    <n v="24.199401999999999"/>
    <n v="66.594964619999999"/>
  </r>
  <r>
    <n v="173"/>
    <x v="172"/>
    <n v="48.510249999999999"/>
    <n v="-119.42015000000001"/>
    <x v="0"/>
    <x v="0"/>
    <x v="3"/>
    <n v="-8"/>
    <n v="708.05555560000005"/>
    <n v="3.8511896000000001"/>
    <x v="0"/>
    <n v="0.9963012"/>
    <n v="22.598189210000001"/>
    <n v="725.16580920000001"/>
    <n v="971.72213599999998"/>
    <n v="0.74626869383162842"/>
    <n v="0.23135533999999999"/>
    <n v="0.17265326"/>
    <n v="41.777185600000003"/>
    <n v="7.1291883089999999"/>
    <n v="193.9641882"/>
    <n v="547208.44689999998"/>
    <n v="644653.1"/>
    <n v="25.733034"/>
    <n v="67.510219599999999"/>
  </r>
  <r>
    <n v="174"/>
    <x v="173"/>
    <n v="48.534095999999998"/>
    <n v="-119.26"/>
    <x v="0"/>
    <x v="0"/>
    <x v="3"/>
    <n v="-8"/>
    <n v="1209.117647"/>
    <n v="3.8312463999999999"/>
    <x v="0"/>
    <n v="0.99475029999999998"/>
    <n v="32.588568240000001"/>
    <n v="1045.7524900000001"/>
    <n v="1401.308434"/>
    <n v="0.74626860484591939"/>
    <n v="0.23137126999999999"/>
    <n v="0.17266512000000001"/>
    <n v="41.723105740000001"/>
    <n v="19.729831149999999"/>
    <n v="208.51175309999999"/>
    <n v="595717.60900000005"/>
    <n v="750941"/>
    <n v="29.97373"/>
    <n v="71.696835739999997"/>
  </r>
  <r>
    <n v="175"/>
    <x v="174"/>
    <n v="48.557785000000003"/>
    <n v="-119.09972"/>
    <x v="0"/>
    <x v="0"/>
    <x v="3"/>
    <n v="-8"/>
    <n v="1101.333333"/>
    <n v="3.7099761999999998"/>
    <x v="0"/>
    <n v="0.99317200000000005"/>
    <n v="16.180964209999999"/>
    <n v="519.23992209999994"/>
    <n v="695.78146100000004"/>
    <n v="0.74626869384207395"/>
    <n v="0.22272719999999999"/>
    <n v="0.16621432999999999"/>
    <n v="43.288249010000001"/>
    <n v="36.141811670000003"/>
    <n v="217.58211019999999"/>
    <n v="629496.50529999996"/>
    <n v="868961.8"/>
    <n v="36.030630000000002"/>
    <n v="79.318879010000003"/>
  </r>
  <r>
    <n v="176"/>
    <x v="175"/>
    <n v="48.581310000000002"/>
    <n v="-118.9393"/>
    <x v="0"/>
    <x v="0"/>
    <x v="3"/>
    <n v="-8"/>
    <n v="1153"/>
    <n v="3.6668452999999999"/>
    <x v="0"/>
    <n v="0.99166065000000003"/>
    <n v="17.56371489"/>
    <n v="563.61177459999999"/>
    <n v="755.23974039999996"/>
    <n v="0.74626869383421557"/>
    <n v="0.21775015"/>
    <n v="0.16250010000000001"/>
    <n v="44.224655030000001"/>
    <n v="22.437779209999999"/>
    <n v="214.36001289999999"/>
    <n v="902286.40449999995"/>
    <n v="1092907.5"/>
    <n v="46.352093000000004"/>
    <n v="90.576748030000005"/>
  </r>
  <r>
    <n v="177"/>
    <x v="176"/>
    <n v="48.604680000000002"/>
    <n v="-118.77875"/>
    <x v="0"/>
    <x v="0"/>
    <x v="5"/>
    <n v="-8"/>
    <n v="1063.4117650000001"/>
    <n v="3.6013853999999998"/>
    <x v="0"/>
    <n v="0.99037759999999997"/>
    <n v="18.856313530000001"/>
    <n v="605.09061599999995"/>
    <n v="810.82148159999997"/>
    <n v="0.74626860502754588"/>
    <n v="0.21209744"/>
    <n v="0.15828167000000001"/>
    <n v="45.357094859999997"/>
    <n v="10.58116882"/>
    <n v="214.36001289999999"/>
    <n v="902286.40449999995"/>
    <n v="989481.94"/>
    <n v="43.084083999999997"/>
    <n v="88.441178859999994"/>
  </r>
  <r>
    <n v="178"/>
    <x v="177"/>
    <n v="48.627884000000002"/>
    <n v="-118.618065"/>
    <x v="0"/>
    <x v="0"/>
    <x v="5"/>
    <n v="-8"/>
    <n v="1144.25"/>
    <n v="3.6360215999999999"/>
    <x v="0"/>
    <n v="0.98913633999999995"/>
    <n v="10.193202360000001"/>
    <n v="327.09527680000002"/>
    <n v="438.30770130000002"/>
    <n v="0.74626860497739556"/>
    <n v="0.21315788999999999"/>
    <n v="0.15907304999999999"/>
    <n v="45.08695642"/>
    <n v="6.1738181770000002"/>
    <n v="214.36001289999999"/>
    <n v="902286.40449999995"/>
    <n v="982583.25"/>
    <n v="42.57085"/>
    <n v="87.65780642"/>
  </r>
  <r>
    <n v="179"/>
    <x v="178"/>
    <n v="48.650931999999997"/>
    <n v="-118.457245"/>
    <x v="0"/>
    <x v="0"/>
    <x v="5"/>
    <n v="-8"/>
    <n v="1508.2"/>
    <n v="3.5812550000000001"/>
    <x v="0"/>
    <n v="0.98760139999999996"/>
    <n v="0.83268002500000005"/>
    <n v="26.720327300000001"/>
    <n v="35.80524106"/>
    <n v="0.74626860506884685"/>
    <n v="0.21219681000000001"/>
    <n v="0.15835584999999999"/>
    <n v="50.133637729999997"/>
    <n v="3.882792206"/>
    <n v="193.3558376"/>
    <n v="784966.10019999999"/>
    <n v="888028.94"/>
    <n v="38.648502000000001"/>
    <n v="88.782139729999997"/>
  </r>
  <r>
    <n v="180"/>
    <x v="179"/>
    <n v="48.673817"/>
    <n v="-118.296295"/>
    <x v="0"/>
    <x v="0"/>
    <x v="5"/>
    <n v="-8"/>
    <n v="1175.818182"/>
    <n v="3.5596104"/>
    <x v="0"/>
    <n v="0.98710209999999998"/>
    <n v="2.0642039699999999"/>
    <n v="66.239376550000003"/>
    <n v="88.760770719999996"/>
    <n v="0.74626860506828196"/>
    <n v="0.20912337"/>
    <n v="0.15606223"/>
    <n v="46.133947859999999"/>
    <n v="9.9266818099999998"/>
    <n v="187.60113630000001"/>
    <n v="744020.59649999999"/>
    <n v="925951.3"/>
    <n v="40.891212000000003"/>
    <n v="87.025159860000002"/>
  </r>
  <r>
    <n v="181"/>
    <x v="180"/>
    <n v="48.696539999999999"/>
    <n v="-118.13521"/>
    <x v="0"/>
    <x v="0"/>
    <x v="5"/>
    <n v="-8"/>
    <n v="782.94117649999998"/>
    <n v="3.5677037"/>
    <x v="0"/>
    <n v="0.98641676"/>
    <n v="13.47046216"/>
    <n v="432.26106920000001"/>
    <n v="579.22987279999995"/>
    <n v="0.74626860508842185"/>
    <n v="0.20566654000000001"/>
    <n v="0.15348249999999999"/>
    <n v="46.628222010000002"/>
    <n v="8.5819805149999997"/>
    <n v="164.66328559999999"/>
    <n v="625184.16429999995"/>
    <n v="729367.25"/>
    <n v="32.751185999999997"/>
    <n v="79.379408009999992"/>
  </r>
  <r>
    <n v="182"/>
    <x v="181"/>
    <n v="48.719110000000001"/>
    <n v="-117.974"/>
    <x v="0"/>
    <x v="0"/>
    <x v="7"/>
    <n v="-8"/>
    <n v="733.5"/>
    <n v="3.6002822000000001"/>
    <x v="0"/>
    <n v="0.98590520000000004"/>
    <n v="21.098556080000002"/>
    <n v="677.04317060000005"/>
    <n v="907.23791140000003"/>
    <n v="0.74626860506217596"/>
    <n v="0.2072446"/>
    <n v="0.15466017000000001"/>
    <n v="46.254309599999999"/>
    <n v="19.600357129999999"/>
    <n v="148.3082272"/>
    <n v="532574.30720000004"/>
    <n v="659245.4"/>
    <n v="29.377054000000001"/>
    <n v="75.6313636"/>
  </r>
  <r>
    <n v="183"/>
    <x v="182"/>
    <n v="48.741509999999998"/>
    <n v="-117.81265"/>
    <x v="0"/>
    <x v="0"/>
    <x v="7"/>
    <n v="-8"/>
    <n v="1030.666667"/>
    <n v="3.5614924000000001"/>
    <x v="0"/>
    <n v="0.98544586000000001"/>
    <n v="11.05066824"/>
    <n v="354.61097109999997"/>
    <n v="475.17873420000001"/>
    <n v="0.74626860500610337"/>
    <n v="0.20634055000000001"/>
    <n v="0.15398549"/>
    <n v="46.439960300000003"/>
    <n v="14.54601297"/>
    <n v="170.97077909999999"/>
    <n v="649925.46849999996"/>
    <n v="782920.25"/>
    <n v="35.041069999999998"/>
    <n v="81.4810303"/>
  </r>
  <r>
    <n v="184"/>
    <x v="183"/>
    <n v="48.763751999999997"/>
    <n v="-117.651184"/>
    <x v="0"/>
    <x v="0"/>
    <x v="7"/>
    <n v="-8"/>
    <n v="986.1875"/>
    <n v="3.4866744999999999"/>
    <x v="0"/>
    <n v="0.98517719999999998"/>
    <n v="12.35784529"/>
    <n v="396.55774159999999"/>
    <n v="531.38734739999995"/>
    <n v="0.74626869371334981"/>
    <n v="0.20181076000000001"/>
    <n v="0.15060501000000001"/>
    <n v="47.472193169999997"/>
    <n v="0.94367532399999998"/>
    <n v="173.72724669999999"/>
    <n v="665671.19140000001"/>
    <n v="715089.2"/>
    <n v="32.72354"/>
    <n v="80.195733169999997"/>
  </r>
  <r>
    <n v="185"/>
    <x v="184"/>
    <n v="48.785834999999999"/>
    <n v="-117.48959000000001"/>
    <x v="0"/>
    <x v="0"/>
    <x v="8"/>
    <n v="-8"/>
    <n v="1114.058824"/>
    <n v="3.4259157"/>
    <x v="0"/>
    <n v="0.98492866999999995"/>
    <n v="10.16971216"/>
    <n v="326.34148699999997"/>
    <n v="437.2976228"/>
    <n v="0.74626860514458748"/>
    <n v="0.19826826"/>
    <n v="0.14796139999999999"/>
    <n v="48.310798349999999"/>
    <n v="0.09"/>
    <n v="170.14953890000001"/>
    <n v="694339.41020000004"/>
    <n v="731606.4"/>
    <n v="34.077576000000001"/>
    <n v="82.388374349999992"/>
  </r>
  <r>
    <n v="186"/>
    <x v="185"/>
    <n v="48.807755"/>
    <n v="-117.32786"/>
    <x v="0"/>
    <x v="0"/>
    <x v="8"/>
    <n v="-8"/>
    <n v="956.72727269999996"/>
    <n v="3.3993878"/>
    <x v="0"/>
    <n v="0.98514000000000002"/>
    <n v="2.5027378420000002"/>
    <n v="80.311740700000001"/>
    <n v="107.6177272"/>
    <n v="0.74626869373245786"/>
    <n v="0.19535073999999999"/>
    <n v="0.14578414000000001"/>
    <n v="49.040577480000003"/>
    <n v="9.5538896040000001"/>
    <n v="176.6061493"/>
    <n v="710044.14049999998"/>
    <n v="852479.5"/>
    <n v="40.300766000000003"/>
    <n v="89.341343480000006"/>
  </r>
  <r>
    <n v="187"/>
    <x v="186"/>
    <n v="48.829509999999999"/>
    <n v="-117.16601"/>
    <x v="0"/>
    <x v="0"/>
    <x v="8"/>
    <n v="-8"/>
    <n v="1352.666667"/>
    <n v="3.3861563000000001"/>
    <x v="0"/>
    <n v="0.98498993999999995"/>
    <n v="0.13316398900000001"/>
    <n v="4.2731724819999997"/>
    <n v="5.7260515219999997"/>
    <n v="0.74626860509062665"/>
    <n v="0.19624043999999999"/>
    <n v="0.14644809"/>
    <n v="66.292143139999993"/>
    <n v="18.16145453"/>
    <n v="176.6061493"/>
    <n v="710044.14049999998"/>
    <n v="930142"/>
    <n v="43.772880000000001"/>
    <n v="110.06502313999999"/>
  </r>
  <r>
    <n v="188"/>
    <x v="187"/>
    <n v="48.851100000000002"/>
    <n v="-117.00403"/>
    <x v="0"/>
    <x v="1"/>
    <x v="10"/>
    <n v="-8"/>
    <n v="1076.363636"/>
    <n v="3.2367742000000002"/>
    <x v="0"/>
    <n v="0.98336020000000002"/>
    <n v="4.1659915649999997"/>
    <n v="133.68481059999999"/>
    <n v="179.13763729999999"/>
    <n v="0.74626869380955041"/>
    <n v="0.18580131"/>
    <n v="0.13865769"/>
    <n v="51.487887970000003"/>
    <n v="48.309448019999998"/>
    <n v="461.47692180000001"/>
    <n v="1782526.706"/>
    <n v="2142698.2000000002"/>
    <n v="106.501724"/>
    <n v="157.98961197"/>
  </r>
  <r>
    <n v="189"/>
    <x v="188"/>
    <n v="48.872535999999997"/>
    <n v="-116.84193399999999"/>
    <x v="0"/>
    <x v="1"/>
    <x v="10"/>
    <n v="-8"/>
    <n v="1409.636364"/>
    <n v="3.2917128"/>
    <x v="0"/>
    <n v="0.98348000000000002"/>
    <n v="4.0969799010000001"/>
    <n v="131.47024149999999"/>
    <n v="176.1701357"/>
    <n v="0.74626860550235696"/>
    <n v="0.19015304999999999"/>
    <n v="0.14190526000000001"/>
    <n v="50.314373269999997"/>
    <n v="39.87438959"/>
    <n v="460.80964260000002"/>
    <n v="1780734.7180000001"/>
    <n v="2034840.8"/>
    <n v="98.826070000000001"/>
    <n v="149.14044326999999"/>
  </r>
  <r>
    <n v="190"/>
    <x v="189"/>
    <n v="48.893805999999998"/>
    <n v="-116.6797"/>
    <x v="0"/>
    <x v="1"/>
    <x v="10"/>
    <n v="-8"/>
    <n v="1485.5"/>
    <n v="3.4171109999999998"/>
    <x v="0"/>
    <n v="0.98383147000000004"/>
    <n v="2.8686962770000002"/>
    <n v="92.055150780000005"/>
    <n v="123.3539399"/>
    <n v="0.74626842770183788"/>
    <n v="0.19798689"/>
    <n v="0.14775139000000001"/>
    <n v="48.337119610000002"/>
    <n v="12.878590900000001"/>
    <n v="462.00148030000003"/>
    <n v="1785491.86"/>
    <n v="1989368.9"/>
    <n v="92.794719999999998"/>
    <n v="141.13183960999999"/>
  </r>
  <r>
    <n v="191"/>
    <x v="190"/>
    <n v="48.914912999999999"/>
    <n v="-116.51734999999999"/>
    <x v="0"/>
    <x v="1"/>
    <x v="10"/>
    <n v="-8"/>
    <n v="628.57142859999999"/>
    <n v="3.4490322999999998"/>
    <x v="0"/>
    <n v="0.98381174000000005"/>
    <n v="3.95782196"/>
    <n v="127.0047258"/>
    <n v="170.1863443"/>
    <n v="0.74626860528903205"/>
    <n v="0.19645905"/>
    <n v="0.14661123000000001"/>
    <n v="48.712266079999999"/>
    <n v="5.531025971"/>
    <n v="458.34501269999998"/>
    <n v="1760563.2309999999"/>
    <n v="1851872.5"/>
    <n v="87.052940000000007"/>
    <n v="135.76520608000001"/>
  </r>
  <r>
    <n v="192"/>
    <x v="191"/>
    <n v="48.935856000000001"/>
    <n v="-116.35487999999999"/>
    <x v="0"/>
    <x v="1"/>
    <x v="10"/>
    <n v="-8"/>
    <n v="871.1333333"/>
    <n v="3.4505672000000001"/>
    <x v="0"/>
    <n v="0.98393730000000001"/>
    <n v="14.88164392"/>
    <n v="477.54525699999999"/>
    <n v="639.91068859999996"/>
    <n v="0.74626860514672144"/>
    <n v="0.19803624"/>
    <n v="0.14778826"/>
    <n v="48.329151850000002"/>
    <n v="2.495512986"/>
    <n v="445.02016859999998"/>
    <n v="1707800.0249999999"/>
    <n v="1775338.4"/>
    <n v="82.790570000000002"/>
    <n v="131.11972185000002"/>
  </r>
  <r>
    <n v="193"/>
    <x v="192"/>
    <n v="48.956634999999999"/>
    <n v="-116.19228"/>
    <x v="0"/>
    <x v="1"/>
    <x v="10"/>
    <n v="-8"/>
    <n v="1181.5714290000001"/>
    <n v="3.4327624000000001"/>
    <x v="0"/>
    <n v="0.9840795"/>
    <n v="5.5790371580000002"/>
    <n v="179.02879189999999"/>
    <n v="239.8985978"/>
    <n v="0.74626860490970315"/>
    <n v="0.19856218"/>
    <n v="0.14818071999999999"/>
    <n v="48.206614879999997"/>
    <n v="34.36785063"/>
    <n v="455.45222050000001"/>
    <n v="1744002.97"/>
    <n v="1852102.8"/>
    <n v="86.141599999999997"/>
    <n v="134.34821488"/>
  </r>
  <r>
    <n v="194"/>
    <x v="193"/>
    <n v="47.599772999999999"/>
    <n v="-124.26582000000001"/>
    <x v="0"/>
    <x v="0"/>
    <x v="9"/>
    <n v="-8"/>
    <n v="123.0526316"/>
    <n v="3.1222759999999998"/>
    <x v="0"/>
    <n v="1.0209336"/>
    <n v="31.915862839999999"/>
    <n v="1024.165677"/>
    <n v="1372.382102"/>
    <n v="0.74626860515556326"/>
    <n v="0.18254828000000001"/>
    <n v="0.13623008"/>
    <n v="53.977763330000002"/>
    <n v="50.599376589999999"/>
    <n v="264.2096037"/>
    <n v="913839.36369999999"/>
    <n v="1245241"/>
    <n v="62.997030000000002"/>
    <n v="116.97479333000001"/>
  </r>
  <r>
    <n v="195"/>
    <x v="194"/>
    <n v="47.628399999999999"/>
    <n v="-124.11046"/>
    <x v="0"/>
    <x v="0"/>
    <x v="9"/>
    <n v="-8"/>
    <n v="226.8823529"/>
    <n v="3.0719816999999998"/>
    <x v="0"/>
    <n v="1.0208225"/>
    <n v="20.103310109999999"/>
    <n v="645.10617520000005"/>
    <n v="864.44233459999998"/>
    <n v="0.7462686050637577"/>
    <n v="0.17950292000000001"/>
    <n v="0.1339574"/>
    <n v="54.88881344"/>
    <n v="66.107155800000001"/>
    <n v="271.5044479"/>
    <n v="949583.45409999997"/>
    <n v="1407344.9"/>
    <n v="72.405810000000002"/>
    <n v="127.29462344000001"/>
  </r>
  <r>
    <n v="196"/>
    <x v="195"/>
    <n v="47.656869999999998"/>
    <n v="-123.95493999999999"/>
    <x v="0"/>
    <x v="0"/>
    <x v="9"/>
    <n v="-8"/>
    <n v="437.77777780000002"/>
    <n v="3.0723009999999999"/>
    <x v="0"/>
    <n v="1.0207436000000001"/>
    <n v="1.0708200990000001"/>
    <n v="34.362135119999998"/>
    <n v="46.045264250000002"/>
    <n v="0.74626860502814896"/>
    <n v="0.17786885999999999"/>
    <n v="0.13273794999999999"/>
    <n v="59.76951553"/>
    <n v="80.729279169999998"/>
    <n v="271.5044479"/>
    <n v="949583.45409999997"/>
    <n v="1597426"/>
    <n v="82.940219999999997"/>
    <n v="142.70973552999999"/>
  </r>
  <r>
    <n v="197"/>
    <x v="196"/>
    <n v="47.851906"/>
    <n v="-122.86196"/>
    <x v="0"/>
    <x v="0"/>
    <x v="9"/>
    <n v="-8"/>
    <n v="219.30769230000001"/>
    <n v="3.1370062999999999"/>
    <x v="0"/>
    <n v="1.0209657999999999"/>
    <n v="27.642060789999999"/>
    <n v="887.02129239999999"/>
    <n v="1188.608614"/>
    <n v="0.74626860511714244"/>
    <n v="0.17839774"/>
    <n v="0.13313264"/>
    <n v="55.234976000000003"/>
    <n v="0.68911688199999999"/>
    <n v="259.5776687"/>
    <n v="862702.61089999997"/>
    <n v="907589.6"/>
    <n v="46.983414000000003"/>
    <n v="102.21839"/>
  </r>
  <r>
    <n v="198"/>
    <x v="197"/>
    <n v="47.879157999999997"/>
    <n v="-122.705215"/>
    <x v="0"/>
    <x v="0"/>
    <x v="9"/>
    <n v="-8"/>
    <n v="109.7333333"/>
    <n v="3.1952372000000002"/>
    <x v="0"/>
    <n v="1.0210066"/>
    <n v="45.179529789999997"/>
    <n v="1449.7909529999999"/>
    <n v="1942.719781"/>
    <n v="0.74626869360115911"/>
    <n v="0.18107570000000001"/>
    <n v="0.13513114000000001"/>
    <n v="54.419821409999997"/>
    <n v="7.5264675299999997"/>
    <n v="302.78315559999999"/>
    <n v="1033069.655"/>
    <n v="1116991.8"/>
    <n v="56.968426000000001"/>
    <n v="111.38824740999999"/>
  </r>
  <r>
    <n v="199"/>
    <x v="198"/>
    <n v="47.906253999999997"/>
    <n v="-122.54831"/>
    <x v="0"/>
    <x v="0"/>
    <x v="11"/>
    <n v="-8"/>
    <n v="35.666666669999998"/>
    <n v="3.2759046999999999"/>
    <x v="0"/>
    <n v="1.0210718999999999"/>
    <n v="8.783154712"/>
    <n v="281.84748239999999"/>
    <n v="377.67565259999998"/>
    <n v="0.74626860497811187"/>
    <n v="0.18457520999999999"/>
    <n v="0.13774270999999999"/>
    <n v="53.390718450000001"/>
    <n v="14.25307791"/>
    <n v="266.88466219999998"/>
    <n v="928459.65139999997"/>
    <n v="1012873.25"/>
    <n v="50.678775999999999"/>
    <n v="104.06949445000001"/>
  </r>
  <r>
    <n v="200"/>
    <x v="199"/>
    <n v="47.933193000000003"/>
    <n v="-122.391266"/>
    <x v="0"/>
    <x v="0"/>
    <x v="4"/>
    <n v="-8"/>
    <n v="83.833333330000002"/>
    <n v="3.26953"/>
    <x v="0"/>
    <n v="1.0210277999999999"/>
    <n v="10.14225205"/>
    <n v="325.46034320000001"/>
    <n v="436.11683820000002"/>
    <n v="0.7462686938282036"/>
    <n v="0.18471870000000001"/>
    <n v="0.13784978000000001"/>
    <n v="53.347444119999999"/>
    <n v="15.69947402"/>
    <n v="246.38850629999999"/>
    <n v="981662.51260000002"/>
    <n v="1033417.8"/>
    <n v="51.666556999999997"/>
    <n v="105.01400111999999"/>
  </r>
  <r>
    <n v="201"/>
    <x v="200"/>
    <n v="47.959975999999997"/>
    <n v="-122.23407"/>
    <x v="0"/>
    <x v="0"/>
    <x v="6"/>
    <n v="-8"/>
    <n v="74"/>
    <n v="3.2258740000000001"/>
    <x v="0"/>
    <n v="1.0209505999999999"/>
    <n v="7.9904878420000003"/>
    <n v="256.41115930000001"/>
    <n v="343.5909772"/>
    <n v="0.74626860515823812"/>
    <n v="0.18209877999999999"/>
    <n v="0.13589461"/>
    <n v="54.111717970000001"/>
    <n v="1.558233765"/>
    <n v="57.003266199999999"/>
    <n v="218399.91680000001"/>
    <n v="252927.34"/>
    <n v="12.827237999999999"/>
    <n v="66.938955969999995"/>
  </r>
  <r>
    <n v="202"/>
    <x v="201"/>
    <n v="47.986606999999999"/>
    <n v="-122.07671999999999"/>
    <x v="0"/>
    <x v="0"/>
    <x v="6"/>
    <n v="-8"/>
    <n v="90.944444439999998"/>
    <n v="3.0700417"/>
    <x v="0"/>
    <n v="1.0206436999999999"/>
    <n v="16.145567249999999"/>
    <n v="518.10404940000001"/>
    <n v="694.25939170000004"/>
    <n v="0.74626869379662719"/>
    <n v="0.17235771"/>
    <n v="0.12862517000000001"/>
    <n v="57.156332290000002"/>
    <n v="2.1355129860000002"/>
    <n v="60.555389570000003"/>
    <n v="224944.39439999999"/>
    <n v="265126.06"/>
    <n v="14.205812999999999"/>
    <n v="71.362145290000001"/>
  </r>
  <r>
    <n v="203"/>
    <x v="202"/>
    <n v="48.013080000000002"/>
    <n v="-121.919235"/>
    <x v="0"/>
    <x v="0"/>
    <x v="6"/>
    <n v="-8"/>
    <n v="252.52941179999999"/>
    <n v="2.9982506999999998"/>
    <x v="1"/>
    <n v="1.0199429"/>
    <n v="38.527650000000001"/>
    <n v="1236.3349519999999"/>
    <n v="1656.68895"/>
    <n v="0.74626860522006855"/>
    <n v="0.16898762000000001"/>
    <n v="0.12611016999999999"/>
    <n v="58.26450329"/>
    <n v="11.02477272"/>
    <n v="87.706701240000001"/>
    <n v="318105.04729999998"/>
    <n v="426695.16"/>
    <n v="23.318854999999999"/>
    <n v="81.583358290000007"/>
  </r>
  <r>
    <n v="204"/>
    <x v="203"/>
    <n v="48.039402000000003"/>
    <n v="-121.7616"/>
    <x v="0"/>
    <x v="0"/>
    <x v="6"/>
    <n v="-8"/>
    <n v="506.25"/>
    <n v="2.9104085"/>
    <x v="1"/>
    <n v="1.0194692999999999"/>
    <n v="8.0737560790000007"/>
    <n v="259.08319949999998"/>
    <n v="347.17151139999999"/>
    <n v="0.74626860497632408"/>
    <n v="0.16500422000000001"/>
    <n v="0.12313747999999999"/>
    <n v="59.649151580000002"/>
    <n v="18.819688299999999"/>
    <n v="87.706701240000001"/>
    <n v="318105.04729999998"/>
    <n v="505337.22"/>
    <n v="28.283337"/>
    <n v="87.932488579999998"/>
  </r>
  <r>
    <n v="205"/>
    <x v="204"/>
    <n v="48.065562999999997"/>
    <n v="-121.60381"/>
    <x v="0"/>
    <x v="0"/>
    <x v="6"/>
    <n v="-8"/>
    <n v="882"/>
    <n v="2.9612498"/>
    <x v="1"/>
    <n v="1.0191376999999999"/>
    <n v="0.16977599299999999"/>
    <n v="5.4480352060000001"/>
    <n v="7.300367681"/>
    <n v="0.74626860509767245"/>
    <n v="0.16943921000000001"/>
    <n v="0.12644717"/>
    <n v="76.869252779999997"/>
    <n v="26.461740240000001"/>
    <n v="85.974409019999996"/>
    <n v="318616.24699999997"/>
    <n v="638561.75"/>
    <n v="34.804340000000003"/>
    <n v="111.67359278000001"/>
  </r>
  <r>
    <n v="206"/>
    <x v="205"/>
    <n v="48.219265"/>
    <n v="-120.65407"/>
    <x v="0"/>
    <x v="0"/>
    <x v="12"/>
    <n v="-8"/>
    <n v="651"/>
    <n v="3.7040000000000002"/>
    <x v="0"/>
    <n v="1.0109162"/>
    <n v="7.4520000000000003E-3"/>
    <n v="0.23913135999999999"/>
    <n v="0.320436006"/>
    <n v="0.74626869491064618"/>
    <n v="0.21613899"/>
    <n v="0.16129772000000001"/>
    <n v="86.164248889999996"/>
    <n v="121.87820120000001"/>
    <n v="225.56872060000001"/>
    <n v="719988.08360000001"/>
    <n v="1730479.1"/>
    <n v="73.939700000000002"/>
    <n v="160.10394889"/>
  </r>
  <r>
    <n v="207"/>
    <x v="206"/>
    <n v="48.269240000000003"/>
    <n v="-120.33635"/>
    <x v="0"/>
    <x v="0"/>
    <x v="3"/>
    <n v="-8"/>
    <n v="1232.666667"/>
    <n v="3.8108719999999998"/>
    <x v="0"/>
    <n v="1.0073265"/>
    <n v="0.24138000900000001"/>
    <n v="7.7457758810000001"/>
    <n v="10.3793404"/>
    <n v="0.74626860498765413"/>
    <n v="0.22969484000000001"/>
    <n v="0.17141408"/>
    <n v="53.968468860000002"/>
    <n v="25.281597390000002"/>
    <n v="224.81144140000001"/>
    <n v="717372.23459999997"/>
    <n v="929879.2"/>
    <n v="37.386920000000003"/>
    <n v="91.355388860000005"/>
  </r>
  <r>
    <n v="208"/>
    <x v="207"/>
    <n v="48.293995000000002"/>
    <n v="-120.17728"/>
    <x v="0"/>
    <x v="0"/>
    <x v="3"/>
    <n v="-8"/>
    <n v="923.125"/>
    <n v="3.8270970000000002"/>
    <x v="0"/>
    <n v="1.0052949"/>
    <n v="1.8660780400000001"/>
    <n v="59.881604590000002"/>
    <n v="80.2413557"/>
    <n v="0.74626860510533477"/>
    <n v="0.22939356999999999"/>
    <n v="0.17118923"/>
    <n v="43.128089369999998"/>
    <n v="11.26124025"/>
    <n v="224.81144140000001"/>
    <n v="717372.23459999997"/>
    <n v="825902.75"/>
    <n v="33.250033999999999"/>
    <n v="76.378123369999997"/>
  </r>
  <r>
    <n v="209"/>
    <x v="208"/>
    <n v="48.318592000000002"/>
    <n v="-120.01806999999999"/>
    <x v="0"/>
    <x v="0"/>
    <x v="3"/>
    <n v="-8"/>
    <n v="782.5625"/>
    <n v="3.8431004999999998"/>
    <x v="0"/>
    <n v="1.0035080999999999"/>
    <n v="6.3520196039999997"/>
    <n v="203.83345080000001"/>
    <n v="273.136843"/>
    <n v="0.74626860500104708"/>
    <n v="0.2287729"/>
    <n v="0.17072603"/>
    <n v="42.489443280000003"/>
    <n v="7.828448045"/>
    <n v="224.81144140000001"/>
    <n v="717372.23459999997"/>
    <n v="788998.44"/>
    <n v="31.850480999999998"/>
    <n v="74.339924280000005"/>
  </r>
  <r>
    <n v="210"/>
    <x v="209"/>
    <n v="48.343024999999997"/>
    <n v="-119.85872000000001"/>
    <x v="0"/>
    <x v="0"/>
    <x v="3"/>
    <n v="-8"/>
    <n v="1046.882353"/>
    <n v="3.8586597"/>
    <x v="0"/>
    <n v="1.0013947000000001"/>
    <n v="23.507010789999999"/>
    <n v="754.3293089"/>
    <n v="1010.801464"/>
    <n v="0.74626851638592406"/>
    <n v="0.23351948"/>
    <n v="0.17426826000000001"/>
    <n v="41.55664968"/>
    <n v="8.2720519419999992"/>
    <n v="200.7035908"/>
    <n v="589909.75809999998"/>
    <n v="707180.94"/>
    <n v="27.967383999999999"/>
    <n v="69.524033680000002"/>
  </r>
  <r>
    <n v="211"/>
    <x v="210"/>
    <n v="48.367305999999999"/>
    <n v="-119.699234"/>
    <x v="0"/>
    <x v="0"/>
    <x v="3"/>
    <n v="-8"/>
    <n v="714.1875"/>
    <n v="3.848678"/>
    <x v="0"/>
    <n v="0.99941444000000002"/>
    <n v="12.11573617"/>
    <n v="388.788568"/>
    <n v="520.97665529999995"/>
    <n v="0.74626869370206128"/>
    <n v="0.23088040000000001"/>
    <n v="0.1722988"/>
    <n v="41.966141530000002"/>
    <n v="1.0709545439999999"/>
    <n v="193.7751427"/>
    <n v="561470.04390000005"/>
    <n v="607579.43999999994"/>
    <n v="24.30303"/>
    <n v="66.269171529999994"/>
  </r>
  <r>
    <n v="212"/>
    <x v="211"/>
    <n v="48.391426000000003"/>
    <n v="-119.53961"/>
    <x v="0"/>
    <x v="0"/>
    <x v="3"/>
    <n v="-8"/>
    <n v="470.55555559999999"/>
    <n v="3.8521828999999999"/>
    <x v="0"/>
    <n v="0.99752395999999999"/>
    <n v="29.13691421"/>
    <n v="934.99057700000003"/>
    <n v="1252.887311"/>
    <n v="0.74626869375325655"/>
    <n v="0.23010876999999999"/>
    <n v="0.17172295000000001"/>
    <n v="42.044105289999997"/>
    <n v="4.2028636329999998"/>
    <n v="180.099344"/>
    <n v="510042.10330000002"/>
    <n v="555229.1"/>
    <n v="22.283504000000001"/>
    <n v="64.327609289999998"/>
  </r>
  <r>
    <n v="213"/>
    <x v="212"/>
    <n v="48.415385999999998"/>
    <n v="-119.37985"/>
    <x v="0"/>
    <x v="0"/>
    <x v="3"/>
    <n v="-8"/>
    <n v="808.25"/>
    <n v="3.8712"/>
    <x v="0"/>
    <n v="0.99570084000000003"/>
    <n v="24.997329709999999"/>
    <n v="802.15306210000006"/>
    <n v="1074.885178"/>
    <n v="0.74626860479417645"/>
    <n v="0.23248659999999999"/>
    <n v="0.17349745"/>
    <n v="41.554180090000003"/>
    <n v="9.3584480449999994"/>
    <n v="186.63316219999999"/>
    <n v="527671.37029999995"/>
    <n v="610250.19999999995"/>
    <n v="24.241215"/>
    <n v="65.79539509"/>
  </r>
  <r>
    <n v="214"/>
    <x v="213"/>
    <n v="48.439190000000004"/>
    <n v="-119.219955"/>
    <x v="0"/>
    <x v="0"/>
    <x v="3"/>
    <n v="-8"/>
    <n v="1222.3888890000001"/>
    <n v="3.8115950000000001"/>
    <x v="0"/>
    <n v="0.99392647000000001"/>
    <n v="17.601299999999998"/>
    <n v="564.81779670000003"/>
    <n v="756.85590000000002"/>
    <n v="0.74626860502772063"/>
    <n v="0.23172609999999999"/>
    <n v="0.17292993000000001"/>
    <n v="41.632053900000002"/>
    <n v="21.40035713"/>
    <n v="186.63316219999999"/>
    <n v="527671.37029999995"/>
    <n v="698859.06"/>
    <n v="27.852170000000001"/>
    <n v="69.484223900000003"/>
  </r>
  <r>
    <n v="215"/>
    <x v="214"/>
    <n v="48.462829999999997"/>
    <n v="-119.05992000000001"/>
    <x v="0"/>
    <x v="0"/>
    <x v="3"/>
    <n v="-8"/>
    <n v="1237.1875"/>
    <n v="3.7116470000000001"/>
    <x v="0"/>
    <n v="0.99229339999999999"/>
    <n v="23.691042549999999"/>
    <n v="760.23489500000005"/>
    <n v="1018.71483"/>
    <n v="0.74626860492450087"/>
    <n v="0.22271642"/>
    <n v="0.1662063"/>
    <n v="43.260205120000002"/>
    <n v="37.306512959999999"/>
    <n v="186.63316219999999"/>
    <n v="527671.37029999995"/>
    <n v="791804.1"/>
    <n v="32.832949999999997"/>
    <n v="76.093155120000006"/>
  </r>
  <r>
    <n v="216"/>
    <x v="215"/>
    <n v="48.486313000000003"/>
    <n v="-118.89976"/>
    <x v="0"/>
    <x v="0"/>
    <x v="3"/>
    <n v="-8"/>
    <n v="1122.4117650000001"/>
    <n v="3.6566198000000001"/>
    <x v="0"/>
    <n v="0.99061816999999996"/>
    <n v="7.0265878419999996"/>
    <n v="225.480042"/>
    <n v="302.1432772"/>
    <n v="0.74626860504576531"/>
    <n v="0.21623063000000001"/>
    <n v="0.16136615000000001"/>
    <n v="44.498606700000003"/>
    <n v="28.867253219999998"/>
    <n v="214.36001289999999"/>
    <n v="902286.40449999995"/>
    <n v="1146712.6000000001"/>
    <n v="48.975825999999998"/>
    <n v="93.474432699999994"/>
  </r>
  <r>
    <n v="217"/>
    <x v="216"/>
    <n v="48.509636"/>
    <n v="-118.739456"/>
    <x v="0"/>
    <x v="0"/>
    <x v="5"/>
    <n v="-8"/>
    <n v="1015.6111110000001"/>
    <n v="3.6400898000000002"/>
    <x v="0"/>
    <n v="0.98926749999999997"/>
    <n v="7.7298303959999997"/>
    <n v="248.04677910000001"/>
    <n v="332.38270699999998"/>
    <n v="0.74626860506313897"/>
    <n v="0.21418566999999999"/>
    <n v="0.15984005000000001"/>
    <n v="44.875289870000003"/>
    <n v="20.554175310000002"/>
    <n v="214.36001289999999"/>
    <n v="902286.40449999995"/>
    <n v="1036351.7"/>
    <n v="44.684936999999998"/>
    <n v="89.560226870000008"/>
  </r>
  <r>
    <n v="218"/>
    <x v="217"/>
    <n v="48.532803000000001"/>
    <n v="-118.579025"/>
    <x v="0"/>
    <x v="0"/>
    <x v="5"/>
    <n v="-8"/>
    <n v="1338.916667"/>
    <n v="3.6686296"/>
    <x v="0"/>
    <n v="0.98805200000000004"/>
    <n v="3.3874200989999999"/>
    <n v="108.70078669999999"/>
    <n v="145.65906430000001"/>
    <n v="0.74626860485743207"/>
    <n v="0.21735578999999999"/>
    <n v="0.16220582"/>
    <n v="44.178058450000002"/>
    <n v="11.03226622"/>
    <n v="199.44870119999999"/>
    <n v="829289.40049999999"/>
    <n v="978641.6"/>
    <n v="41.581189999999999"/>
    <n v="85.759248450000001"/>
  </r>
  <r>
    <n v="219"/>
    <x v="218"/>
    <n v="48.555804999999999"/>
    <n v="-118.41847"/>
    <x v="0"/>
    <x v="0"/>
    <x v="5"/>
    <n v="-8"/>
    <n v="1204.4285709999999"/>
    <n v="3.5723093000000001"/>
    <x v="0"/>
    <n v="0.98641294000000002"/>
    <n v="1.1524679900000001"/>
    <n v="36.982179209999998"/>
    <n v="49.556123569999997"/>
    <n v="0.74626860508492354"/>
    <n v="0.21073742000000001"/>
    <n v="0.15726673999999999"/>
    <n v="48.691693149999999"/>
    <n v="8.1910973980000001"/>
    <n v="196.21135050000001"/>
    <n v="806904.47889999999"/>
    <n v="960150.94"/>
    <n v="42.076756000000003"/>
    <n v="90.768449150000009"/>
  </r>
  <r>
    <n v="220"/>
    <x v="219"/>
    <n v="48.578650000000003"/>
    <n v="-118.257774"/>
    <x v="0"/>
    <x v="0"/>
    <x v="5"/>
    <n v="-8"/>
    <n v="982.76470589999997"/>
    <n v="3.5916929999999998"/>
    <x v="0"/>
    <n v="0.98594444999999997"/>
    <n v="4.2738841189999999"/>
    <n v="137.14701819999999"/>
    <n v="183.77701709999999"/>
    <n v="0.74626860509643123"/>
    <n v="0.20990238"/>
    <n v="0.15664354999999999"/>
    <n v="45.670081289999999"/>
    <n v="0.57727922099999995"/>
    <n v="177.7644545"/>
    <n v="686263.81590000005"/>
    <n v="729799.44"/>
    <n v="32.109279999999998"/>
    <n v="77.779361289999997"/>
  </r>
  <r>
    <n v="221"/>
    <x v="220"/>
    <n v="48.601334000000001"/>
    <n v="-118.096954"/>
    <x v="0"/>
    <x v="0"/>
    <x v="7"/>
    <n v="-8"/>
    <n v="655.17647060000002"/>
    <n v="3.6072438"/>
    <x v="0"/>
    <n v="0.98535059999999997"/>
    <n v="11.114495290000001"/>
    <n v="356.65919489999999"/>
    <n v="477.92329740000002"/>
    <n v="0.74626869382660055"/>
    <n v="0.20747262"/>
    <n v="0.1548303"/>
    <n v="46.18306492"/>
    <n v="0.61455844100000001"/>
    <n v="160.00137649999999"/>
    <n v="590956.39020000002"/>
    <n v="632347"/>
    <n v="28.147451"/>
    <n v="74.330515919999996"/>
  </r>
  <r>
    <n v="222"/>
    <x v="221"/>
    <n v="48.623856000000004"/>
    <n v="-117.93599"/>
    <x v="0"/>
    <x v="0"/>
    <x v="7"/>
    <n v="-8"/>
    <n v="698.63157890000002"/>
    <n v="3.6117430000000001"/>
    <x v="0"/>
    <n v="0.98490535999999995"/>
    <n v="10.25516558"/>
    <n v="329.08368780000001"/>
    <n v="440.97211979999997"/>
    <n v="0.74626869369712934"/>
    <n v="0.20843296"/>
    <n v="0.15554701000000001"/>
    <n v="45.953952209999997"/>
    <n v="12.32470129"/>
    <n v="137.8415454"/>
    <n v="493211.57860000001"/>
    <n v="567672.6"/>
    <n v="25.152200000000001"/>
    <n v="71.106152210000005"/>
  </r>
  <r>
    <n v="223"/>
    <x v="222"/>
    <n v="48.646217"/>
    <n v="-117.77491999999999"/>
    <x v="0"/>
    <x v="0"/>
    <x v="7"/>
    <n v="-8"/>
    <n v="1043.0666670000001"/>
    <n v="3.5438838000000001"/>
    <x v="0"/>
    <n v="0.98431473999999997"/>
    <n v="3.5043838709999999"/>
    <n v="112.45411489999999"/>
    <n v="150.68850649999999"/>
    <n v="0.7462686936909817"/>
    <n v="0.20569338000000001"/>
    <n v="0.15350252"/>
    <n v="46.544076179999998"/>
    <n v="0.34455844099999999"/>
    <n v="155.7021168"/>
    <n v="578599.79570000002"/>
    <n v="622174.06000000006"/>
    <n v="27.934183000000001"/>
    <n v="74.478259179999995"/>
  </r>
  <r>
    <n v="224"/>
    <x v="223"/>
    <n v="48.668419999999998"/>
    <n v="-117.61371"/>
    <x v="0"/>
    <x v="0"/>
    <x v="7"/>
    <n v="-8"/>
    <n v="1152.7894739999999"/>
    <n v="3.507403"/>
    <x v="0"/>
    <n v="0.98424959999999995"/>
    <n v="6.6700261779999996"/>
    <n v="214.03813869999999"/>
    <n v="286.81112569999999"/>
    <n v="0.74626860508849502"/>
    <n v="0.20464493"/>
    <n v="0.1527201"/>
    <n v="46.780102990000003"/>
    <n v="10.329259739999999"/>
    <n v="170.97077909999999"/>
    <n v="649925.46849999996"/>
    <n v="805251.2"/>
    <n v="36.339153000000003"/>
    <n v="83.119255989999999"/>
  </r>
  <r>
    <n v="225"/>
    <x v="224"/>
    <n v="48.690455999999998"/>
    <n v="-117.45236"/>
    <x v="0"/>
    <x v="0"/>
    <x v="8"/>
    <n v="-8"/>
    <n v="967"/>
    <n v="3.4323108000000002"/>
    <x v="0"/>
    <n v="0.98420430000000003"/>
    <n v="22.58433853"/>
    <n v="724.72126070000002"/>
    <n v="971.12655659999996"/>
    <n v="0.74626860502848702"/>
    <n v="0.19803026000000001"/>
    <n v="0.14778379"/>
    <n v="48.340906429999997"/>
    <n v="1.281837662"/>
    <n v="153.4702077"/>
    <n v="603106.10699999996"/>
    <n v="661951.93999999994"/>
    <n v="30.870190000000001"/>
    <n v="79.211096429999998"/>
  </r>
  <r>
    <n v="226"/>
    <x v="225"/>
    <n v="48.712336999999998"/>
    <n v="-117.29089"/>
    <x v="0"/>
    <x v="0"/>
    <x v="8"/>
    <n v="-8"/>
    <n v="1198.7857140000001"/>
    <n v="3.4411619"/>
    <x v="0"/>
    <n v="0.98401939999999999"/>
    <n v="1.3165739460000001"/>
    <n v="42.248270499999997"/>
    <n v="56.612679659999998"/>
    <n v="0.74626869375785343"/>
    <n v="0.19930711000000001"/>
    <n v="0.14873666999999999"/>
    <n v="50.655288220000003"/>
    <n v="9.7365389570000005"/>
    <n v="154.31374020000001"/>
    <n v="604299.69209999999"/>
    <n v="777231.6"/>
    <n v="36.014060000000001"/>
    <n v="86.669348220000003"/>
  </r>
  <r>
    <n v="227"/>
    <x v="226"/>
    <n v="48.734046999999997"/>
    <n v="-117.1293"/>
    <x v="0"/>
    <x v="0"/>
    <x v="8"/>
    <n v="-8"/>
    <n v="1291.875"/>
    <n v="3.3596944999999998"/>
    <x v="0"/>
    <n v="0.98405414999999996"/>
    <n v="1.113911911"/>
    <n v="35.74493623"/>
    <n v="47.898212170000001"/>
    <n v="0.74626869376949445"/>
    <n v="0.19506688"/>
    <n v="0.14557232000000001"/>
    <n v="52.695217509999999"/>
    <n v="23.809616869999999"/>
    <n v="156.65374019999999"/>
    <n v="614606.76489999995"/>
    <n v="898883.1"/>
    <n v="42.556319999999999"/>
    <n v="95.251537509999991"/>
  </r>
  <r>
    <n v="228"/>
    <x v="227"/>
    <n v="48.755608000000002"/>
    <n v="-116.96759"/>
    <x v="0"/>
    <x v="1"/>
    <x v="13"/>
    <n v="-8"/>
    <n v="1166"/>
    <n v="3.2959228"/>
    <x v="0"/>
    <n v="0.98301640000000001"/>
    <n v="2.8042200990000001"/>
    <n v="89.986161129999999"/>
    <n v="120.58146429999999"/>
    <n v="0.74626860481739898"/>
    <n v="0.19069622"/>
    <n v="0.14231062"/>
    <n v="50.152481119999997"/>
    <n v="56.866941519999997"/>
    <n v="461.56692179999999"/>
    <n v="1783085.1629999999"/>
    <n v="2221959"/>
    <n v="107.60647"/>
    <n v="157.75895112000001"/>
  </r>
  <r>
    <n v="229"/>
    <x v="228"/>
    <n v="48.776997000000001"/>
    <n v="-116.805756"/>
    <x v="0"/>
    <x v="1"/>
    <x v="13"/>
    <n v="-8"/>
    <n v="1045.375"/>
    <n v="3.3081304999999999"/>
    <x v="0"/>
    <n v="0.9830352"/>
    <n v="7.918640881"/>
    <n v="254.1056528"/>
    <n v="340.50155790000002"/>
    <n v="0.74626869365052029"/>
    <n v="0.19002168"/>
    <n v="0.14180723000000001"/>
    <n v="50.331269149999997"/>
    <n v="37.753863610000003"/>
    <n v="460.28508419999997"/>
    <n v="1779335.5249999999"/>
    <n v="2154277"/>
    <n v="104.69906"/>
    <n v="155.03032915"/>
  </r>
  <r>
    <n v="230"/>
    <x v="229"/>
    <n v="48.798225000000002"/>
    <n v="-116.64378000000001"/>
    <x v="0"/>
    <x v="1"/>
    <x v="10"/>
    <n v="-8"/>
    <n v="1762.5"/>
    <n v="3.4142725"/>
    <x v="0"/>
    <n v="0.98302920000000005"/>
    <n v="8.9099999999999999E-2"/>
    <n v="2.8591785669999998"/>
    <n v="3.8313000000000001"/>
    <n v="0.74626851643045433"/>
    <n v="0.19930238"/>
    <n v="0.14873312"/>
    <n v="68.210557010000002"/>
    <n v="24.545058430000001"/>
    <n v="429.90172050000001"/>
    <n v="1649134.379"/>
    <n v="1903539"/>
    <n v="88.205100000000002"/>
    <n v="156.41565701000002"/>
  </r>
  <r>
    <n v="231"/>
    <x v="230"/>
    <n v="48.819293999999999"/>
    <n v="-116.48170500000001"/>
    <x v="0"/>
    <x v="1"/>
    <x v="10"/>
    <n v="-8"/>
    <n v="587.5"/>
    <n v="3.5075397000000001"/>
    <x v="0"/>
    <n v="0.98293286999999996"/>
    <n v="0.13672800900000001"/>
    <n v="4.3875402729999999"/>
    <n v="5.879304372"/>
    <n v="0.74626860515939963"/>
    <n v="0.20085114000000001"/>
    <n v="0.14988892000000001"/>
    <n v="64.463418399999995"/>
    <n v="11.92212337"/>
    <n v="431.88811670000001"/>
    <n v="1654794.2279999999"/>
    <n v="1794893.5"/>
    <n v="82.529409999999999"/>
    <n v="146.99282840000001"/>
  </r>
  <r>
    <n v="232"/>
    <x v="231"/>
    <n v="48.840200000000003"/>
    <n v="-116.31950000000001"/>
    <x v="0"/>
    <x v="1"/>
    <x v="10"/>
    <n v="-8"/>
    <n v="794.6875"/>
    <n v="3.4933573999999998"/>
    <x v="0"/>
    <n v="0.98355912999999995"/>
    <n v="27.405539210000001"/>
    <n v="879.43142120000005"/>
    <n v="1178.4381860000001"/>
    <n v="0.74626860504671388"/>
    <n v="0.20074876999999999"/>
    <n v="0.14981252"/>
    <n v="47.661738190000001"/>
    <n v="1.5427922060000001"/>
    <n v="434.5854673"/>
    <n v="1665741.304"/>
    <n v="1721858.4"/>
    <n v="79.21163"/>
    <n v="126.87336819000001"/>
  </r>
  <r>
    <n v="233"/>
    <x v="232"/>
    <n v="48.860939999999999"/>
    <n v="-116.157166"/>
    <x v="0"/>
    <x v="1"/>
    <x v="10"/>
    <n v="-8"/>
    <n v="1262.3"/>
    <n v="3.4450414"/>
    <x v="0"/>
    <n v="0.98361814000000003"/>
    <n v="5.983631763"/>
    <n v="192.0120507"/>
    <n v="257.29616579999998"/>
    <n v="0.74626860490899716"/>
    <n v="0.19934799"/>
    <n v="0.14876717"/>
    <n v="47.998909830000002"/>
    <n v="16.702266219999998"/>
    <n v="425.64613609999998"/>
    <n v="1633683.787"/>
    <n v="1797780.1"/>
    <n v="83.285445999999993"/>
    <n v="131.28435582999998"/>
  </r>
  <r>
    <n v="234"/>
    <x v="233"/>
    <n v="48.90193"/>
    <n v="-115.83215"/>
    <x v="0"/>
    <x v="2"/>
    <x v="14"/>
    <n v="-7"/>
    <n v="1282.125"/>
    <n v="3.4544703999999999"/>
    <x v="0"/>
    <n v="0.98403459999999998"/>
    <n v="4.5534957819999997"/>
    <n v="146.11963069999999"/>
    <n v="195.8003186"/>
    <n v="0.7462686054076727"/>
    <n v="0.19983128"/>
    <n v="0.1491278"/>
    <n v="47.898755620000003"/>
    <n v="37.931214249999996"/>
    <n v="363.42442190000003"/>
    <n v="1624341.7120000001"/>
    <n v="2060951.5"/>
    <n v="95.246430000000004"/>
    <n v="143.14518562000001"/>
  </r>
  <r>
    <n v="235"/>
    <x v="234"/>
    <n v="48.922184000000001"/>
    <n v="-115.669464"/>
    <x v="0"/>
    <x v="2"/>
    <x v="14"/>
    <n v="-7"/>
    <n v="1119.2"/>
    <n v="3.4206831000000002"/>
    <x v="0"/>
    <n v="0.98428093999999999"/>
    <n v="11.48061687"/>
    <n v="368.40778549999999"/>
    <n v="493.66652540000001"/>
    <n v="0.74626851638662872"/>
    <n v="0.1963165"/>
    <n v="0.14650482000000001"/>
    <n v="48.765906020000003"/>
    <n v="56.00687009"/>
    <n v="362.84714270000001"/>
    <n v="1621424.642"/>
    <n v="2106063.2000000002"/>
    <n v="99.073845000000006"/>
    <n v="147.83975101999999"/>
  </r>
  <r>
    <n v="236"/>
    <x v="235"/>
    <n v="48.942270000000001"/>
    <n v="-115.50667"/>
    <x v="0"/>
    <x v="2"/>
    <x v="14"/>
    <n v="-7"/>
    <n v="1272.555556"/>
    <n v="3.4087448"/>
    <x v="0"/>
    <n v="0.98442364000000004"/>
    <n v="7.5715560789999996"/>
    <n v="242.9678275"/>
    <n v="325.57691139999997"/>
    <n v="0.74626860502860592"/>
    <n v="0.19675123999999999"/>
    <n v="0.14682929"/>
    <n v="48.663677159999999"/>
    <n v="63.560019429999997"/>
    <n v="362.84714270000001"/>
    <n v="1621424.642"/>
    <n v="2233348"/>
    <n v="104.82944999999999"/>
    <n v="153.49312716"/>
  </r>
  <r>
    <n v="237"/>
    <x v="236"/>
    <n v="48.962192999999999"/>
    <n v="-115.34374"/>
    <x v="0"/>
    <x v="2"/>
    <x v="14"/>
    <n v="-7"/>
    <n v="1320"/>
    <n v="3.5136926000000002"/>
    <x v="0"/>
    <n v="0.98457795000000004"/>
    <n v="1.978344044"/>
    <n v="63.484170169999999"/>
    <n v="85.068793909999997"/>
    <n v="0.74626860511463433"/>
    <n v="0.20435086999999999"/>
    <n v="0.15250067"/>
    <n v="47.328741620000002"/>
    <n v="53.61789606"/>
    <n v="277.9694609"/>
    <n v="1119163.2320000001"/>
    <n v="1589206"/>
    <n v="71.820449999999994"/>
    <n v="119.14919162"/>
  </r>
  <r>
    <n v="238"/>
    <x v="237"/>
    <n v="48.981952999999997"/>
    <n v="-115.18071"/>
    <x v="0"/>
    <x v="2"/>
    <x v="14"/>
    <n v="-7"/>
    <n v="884.7"/>
    <n v="3.4827373000000001"/>
    <x v="0"/>
    <n v="0.98464686000000001"/>
    <n v="27.692118239999999"/>
    <n v="888.62761330000001"/>
    <n v="1190.761084"/>
    <n v="0.74626860521417582"/>
    <n v="0.20081782000000001"/>
    <n v="0.14986403000000001"/>
    <n v="47.686733160000003"/>
    <n v="49.42298049"/>
    <n v="277.9694609"/>
    <n v="1119163.2320000001"/>
    <n v="1489046.4"/>
    <n v="68.477890000000002"/>
    <n v="116.16462316"/>
  </r>
  <r>
    <n v="239"/>
    <x v="238"/>
    <n v="47.506382000000002"/>
    <n v="-124.21818500000001"/>
    <x v="0"/>
    <x v="0"/>
    <x v="15"/>
    <n v="-8"/>
    <n v="103.36842110000001"/>
    <n v="3.137397"/>
    <x v="0"/>
    <n v="1.0209222"/>
    <n v="86.021683589999995"/>
    <n v="2760.3967899999998"/>
    <n v="3698.9323949999998"/>
    <n v="0.74626851621601475"/>
    <n v="0.18311964999999999"/>
    <n v="0.13665646000000001"/>
    <n v="53.808869319999999"/>
    <n v="39.813720750000002"/>
    <n v="264.2096037"/>
    <n v="913839.36369999999"/>
    <n v="1193913.8"/>
    <n v="60.211905999999999"/>
    <n v="114.02077532"/>
  </r>
  <r>
    <n v="240"/>
    <x v="239"/>
    <n v="47.534953999999999"/>
    <n v="-124.06305"/>
    <x v="0"/>
    <x v="0"/>
    <x v="15"/>
    <n v="-8"/>
    <n v="259.2307692"/>
    <n v="3.0965995999999998"/>
    <x v="0"/>
    <n v="1.0208117999999999"/>
    <n v="40.606597270000002"/>
    <n v="1303.0474340000001"/>
    <n v="1746.083682"/>
    <n v="0.7462686052408799"/>
    <n v="0.18070074999999999"/>
    <n v="0.13485132"/>
    <n v="54.524500510000003"/>
    <n v="38.0935779"/>
    <n v="271.5044479"/>
    <n v="949583.45409999997"/>
    <n v="1224909.8"/>
    <n v="62.602046999999999"/>
    <n v="117.12654750999999"/>
  </r>
  <r>
    <n v="241"/>
    <x v="240"/>
    <n v="47.563380000000002"/>
    <n v="-123.90774500000001"/>
    <x v="0"/>
    <x v="0"/>
    <x v="9"/>
    <n v="-8"/>
    <n v="543"/>
    <n v="3.0775046000000001"/>
    <x v="0"/>
    <n v="1.0207288000000001"/>
    <n v="0.19277999400000001"/>
    <n v="6.1862225190000002"/>
    <n v="8.2895397339999999"/>
    <n v="0.74626851640832004"/>
    <n v="0.17751581999999999"/>
    <n v="0.1324745"/>
    <n v="72.419477290000003"/>
    <n v="39.633720750000002"/>
    <n v="271.5044479"/>
    <n v="949583.45409999997"/>
    <n v="1284885.8"/>
    <n v="66.84545"/>
    <n v="139.26492729"/>
  </r>
  <r>
    <n v="242"/>
    <x v="241"/>
    <n v="47.730716999999999"/>
    <n v="-122.97278"/>
    <x v="0"/>
    <x v="0"/>
    <x v="9"/>
    <n v="-8"/>
    <n v="258.5"/>
    <n v="3.2652192000000002"/>
    <x v="0"/>
    <n v="1.0209999999999999"/>
    <n v="0.49167000599999999"/>
    <n v="15.77746926"/>
    <n v="21.141810270000001"/>
    <n v="0.74626860512451287"/>
    <n v="0.18735282"/>
    <n v="0.13981557"/>
    <n v="61.809166470000001"/>
    <n v="8.9664675299999992"/>
    <n v="233.38327910000001"/>
    <n v="757057.31660000002"/>
    <n v="868757.8"/>
    <n v="42.823574000000001"/>
    <n v="104.63274047"/>
  </r>
  <r>
    <n v="243"/>
    <x v="242"/>
    <n v="47.785269999999997"/>
    <n v="-122.659904"/>
    <x v="0"/>
    <x v="0"/>
    <x v="11"/>
    <n v="-8"/>
    <n v="72.75"/>
    <n v="3.2487911999999999"/>
    <x v="0"/>
    <n v="1.0211307999999999"/>
    <n v="21.9105791"/>
    <n v="703.10070759999996"/>
    <n v="942.15490139999997"/>
    <n v="0.74626869377341642"/>
    <n v="0.18371195000000001"/>
    <n v="0.13709847999999999"/>
    <n v="53.644070560000003"/>
    <n v="4.547422074"/>
    <n v="258.47893490000001"/>
    <n v="896033.33840000001"/>
    <n v="965831.7"/>
    <n v="48.552146999999998"/>
    <n v="102.19621756000001"/>
  </r>
  <r>
    <n v="244"/>
    <x v="243"/>
    <n v="47.812317"/>
    <n v="-122.50324000000001"/>
    <x v="0"/>
    <x v="0"/>
    <x v="11"/>
    <n v="-8"/>
    <n v="58.571428570000002"/>
    <n v="3.2643094000000001"/>
    <x v="0"/>
    <n v="1.0211684000000001"/>
    <n v="16.871894600000001"/>
    <n v="541.41157020000003"/>
    <n v="725.49146800000005"/>
    <n v="0.74626869381736127"/>
    <n v="0.18417639"/>
    <n v="0.13744506000000001"/>
    <n v="53.510345999999998"/>
    <n v="16.843889600000001"/>
    <n v="261.50275310000001"/>
    <n v="907824.79379999998"/>
    <n v="956753.5"/>
    <n v="47.974510000000002"/>
    <n v="101.48485600000001"/>
  </r>
  <r>
    <n v="245"/>
    <x v="244"/>
    <n v="47.839207000000002"/>
    <n v="-122.346436"/>
    <x v="0"/>
    <x v="0"/>
    <x v="6"/>
    <n v="-8"/>
    <n v="112"/>
    <n v="3.2646964000000001"/>
    <x v="0"/>
    <n v="1.0211579"/>
    <n v="2.3547509309999999"/>
    <n v="75.562906760000004"/>
    <n v="101.25429"/>
    <n v="0.74626869399805185"/>
    <n v="0.18466389"/>
    <n v="0.13780887"/>
    <n v="53.36865032"/>
    <n v="1.558233765"/>
    <n v="42.842837639999999"/>
    <n v="164685.70439999999"/>
    <n v="200417.89"/>
    <n v="10.023027000000001"/>
    <n v="63.391677319999999"/>
  </r>
  <r>
    <n v="246"/>
    <x v="245"/>
    <n v="47.865943999999999"/>
    <n v="-122.189476"/>
    <x v="0"/>
    <x v="0"/>
    <x v="6"/>
    <n v="-8"/>
    <n v="101.31578949999999"/>
    <n v="3.1395757"/>
    <x v="0"/>
    <n v="1.0210508"/>
    <n v="10.33576216"/>
    <n v="331.66995680000002"/>
    <n v="444.4377728"/>
    <n v="0.74626860518728622"/>
    <n v="0.17665668000000001"/>
    <n v="0.13183333999999999"/>
    <n v="55.783027519999997"/>
    <n v="1.5518376620000001"/>
    <n v="43.11658439"/>
    <n v="165188.87849999999"/>
    <n v="195999.6"/>
    <n v="10.246358000000001"/>
    <n v="66.029385520000005"/>
  </r>
  <r>
    <n v="247"/>
    <x v="246"/>
    <n v="47.892524999999999"/>
    <n v="-122.03237"/>
    <x v="0"/>
    <x v="0"/>
    <x v="6"/>
    <n v="-8"/>
    <n v="72.833333330000002"/>
    <n v="3.0837843"/>
    <x v="0"/>
    <n v="1.0208695999999999"/>
    <n v="16.328464889999999"/>
    <n v="523.97315319999996"/>
    <n v="702.12399040000003"/>
    <n v="0.74626869379793226"/>
    <n v="0.17229758000000001"/>
    <n v="0.12858029000000001"/>
    <n v="57.186308050000001"/>
    <n v="5.0320519419999998"/>
    <n v="56.600688269999999"/>
    <n v="209499.76759999999"/>
    <n v="255987.73"/>
    <n v="13.720957"/>
    <n v="70.907265050000007"/>
  </r>
  <r>
    <n v="248"/>
    <x v="247"/>
    <n v="47.918953000000002"/>
    <n v="-121.87512"/>
    <x v="0"/>
    <x v="0"/>
    <x v="6"/>
    <n v="-8"/>
    <n v="179.1052632"/>
    <n v="3.0043085"/>
    <x v="0"/>
    <n v="1.0201775"/>
    <n v="35.04432568"/>
    <n v="1124.556642"/>
    <n v="1506.9060039999999"/>
    <n v="0.74626860535091477"/>
    <n v="0.1689174"/>
    <n v="0.12605777000000001"/>
    <n v="58.299331600000002"/>
    <n v="2.9737467500000001"/>
    <n v="73.381259679999999"/>
    <n v="268374.27710000001"/>
    <n v="315888.56"/>
    <n v="17.27046"/>
    <n v="75.569791600000002"/>
  </r>
  <r>
    <n v="249"/>
    <x v="248"/>
    <n v="47.945230000000002"/>
    <n v="-121.71773"/>
    <x v="0"/>
    <x v="0"/>
    <x v="6"/>
    <n v="-8"/>
    <n v="445.06666669999998"/>
    <n v="2.9290853000000001"/>
    <x v="1"/>
    <n v="1.0196517"/>
    <n v="17.176536469999999"/>
    <n v="551.18726079999999"/>
    <n v="738.59106840000004"/>
    <n v="0.74626851634427371"/>
    <n v="0.16557546000000001"/>
    <n v="0.12356378"/>
    <n v="59.451782600000001"/>
    <n v="12.02116882"/>
    <n v="102.43865580000001"/>
    <n v="380717.73609999998"/>
    <n v="500460.06"/>
    <n v="27.913729"/>
    <n v="87.365511600000005"/>
  </r>
  <r>
    <n v="250"/>
    <x v="249"/>
    <n v="47.971339999999998"/>
    <n v="-121.56018"/>
    <x v="0"/>
    <x v="0"/>
    <x v="6"/>
    <n v="-8"/>
    <n v="676"/>
    <n v="2.9312157999999999"/>
    <x v="1"/>
    <n v="1.0188075000000001"/>
    <n v="4.5036E-2"/>
    <n v="1.445185132"/>
    <n v="1.9365479800000001"/>
    <n v="0.74626869405012108"/>
    <n v="0.16660456000000001"/>
    <n v="0.12433176999999999"/>
    <n v="91.018246719999993"/>
    <n v="18.316967519999999"/>
    <n v="102.655935"/>
    <n v="381328.73129999998"/>
    <n v="585719.80000000005"/>
    <n v="32.467391999999997"/>
    <n v="123.48563872"/>
  </r>
  <r>
    <n v="251"/>
    <x v="250"/>
    <n v="48.199359999999999"/>
    <n v="-120.13585999999999"/>
    <x v="0"/>
    <x v="0"/>
    <x v="3"/>
    <n v="-8"/>
    <n v="735.41666669999995"/>
    <n v="3.8261229999999999"/>
    <x v="0"/>
    <n v="1.0050056999999999"/>
    <n v="2.732129901"/>
    <n v="87.67281912"/>
    <n v="117.4815857"/>
    <n v="0.74626860539557738"/>
    <n v="0.22852428"/>
    <n v="0.17054050000000001"/>
    <n v="42.585728889999999"/>
    <n v="21.75240908"/>
    <n v="224.81144140000001"/>
    <n v="717372.23459999997"/>
    <n v="842894.25"/>
    <n v="34.063175000000001"/>
    <n v="76.64890389"/>
  </r>
  <r>
    <n v="252"/>
    <x v="251"/>
    <n v="48.223906999999997"/>
    <n v="-119.97689"/>
    <x v="0"/>
    <x v="0"/>
    <x v="3"/>
    <n v="-8"/>
    <n v="933.94736839999996"/>
    <n v="3.9335450000000001"/>
    <x v="0"/>
    <n v="1.003012"/>
    <n v="14.361381079999999"/>
    <n v="460.8502565"/>
    <n v="617.53938640000001"/>
    <n v="0.74626860512746718"/>
    <n v="0.23903986999999999"/>
    <n v="0.17838794999999999"/>
    <n v="40.648620870000002"/>
    <n v="19.879402590000002"/>
    <n v="224.81144140000001"/>
    <n v="717372.23459999997"/>
    <n v="860277.4"/>
    <n v="33.236289999999997"/>
    <n v="73.884910869999999"/>
  </r>
  <r>
    <n v="253"/>
    <x v="252"/>
    <n v="48.2483"/>
    <n v="-119.817795"/>
    <x v="0"/>
    <x v="0"/>
    <x v="3"/>
    <n v="-8"/>
    <n v="767.1875"/>
    <n v="3.8850737"/>
    <x v="0"/>
    <n v="1.0011823"/>
    <n v="29.270645290000001"/>
    <n v="939.281836"/>
    <n v="1258.637747"/>
    <n v="0.74626860527487426"/>
    <n v="0.23446914999999999"/>
    <n v="0.17497699"/>
    <n v="41.381404500000002"/>
    <n v="10.22491557"/>
    <n v="194.0142596"/>
    <n v="566113.16949999996"/>
    <n v="655484.93999999994"/>
    <n v="25.81793"/>
    <n v="67.199334500000006"/>
  </r>
  <r>
    <n v="254"/>
    <x v="253"/>
    <n v="48.272533000000003"/>
    <n v="-119.658554"/>
    <x v="0"/>
    <x v="0"/>
    <x v="3"/>
    <n v="-8"/>
    <n v="530.70000000000005"/>
    <n v="3.8914008"/>
    <x v="0"/>
    <n v="0.99896810000000003"/>
    <n v="25.587737839999999"/>
    <n v="821.09899329999996"/>
    <n v="1100.272727"/>
    <n v="0.74626860518373994"/>
    <n v="0.23399102999999999"/>
    <n v="0.17462015"/>
    <n v="41.39368005"/>
    <n v="2.4363961029999999"/>
    <n v="192.89698039999999"/>
    <n v="557336.40749999997"/>
    <n v="616871"/>
    <n v="24.346668000000001"/>
    <n v="65.740348049999994"/>
  </r>
  <r>
    <n v="255"/>
    <x v="254"/>
    <n v="48.296607999999999"/>
    <n v="-119.49919"/>
    <x v="0"/>
    <x v="0"/>
    <x v="3"/>
    <n v="-8"/>
    <n v="730.25"/>
    <n v="3.9143238"/>
    <x v="0"/>
    <n v="0.997035"/>
    <n v="37.484937160000001"/>
    <n v="1202.8747659999999"/>
    <n v="1611.852298"/>
    <n v="0.7462686050654499"/>
    <n v="0.23726612"/>
    <n v="0.17706427"/>
    <n v="40.760060230000001"/>
    <n v="1.1018376620000001"/>
    <n v="168.40729210000001"/>
    <n v="471124.74160000001"/>
    <n v="515778"/>
    <n v="20.075737"/>
    <n v="60.835797229999997"/>
  </r>
  <r>
    <n v="256"/>
    <x v="255"/>
    <n v="48.320526000000001"/>
    <n v="-119.339676"/>
    <x v="0"/>
    <x v="0"/>
    <x v="3"/>
    <n v="-8"/>
    <n v="749.375"/>
    <n v="3.8551017999999999"/>
    <x v="0"/>
    <n v="0.99492420000000004"/>
    <n v="19.883231760000001"/>
    <n v="638.04388429999995"/>
    <n v="854.97896579999997"/>
    <n v="0.74626851632891944"/>
    <n v="0.23215807999999999"/>
    <n v="0.17325227000000001"/>
    <n v="41.587434739999999"/>
    <n v="12.20756493"/>
    <n v="168.71457129999999"/>
    <n v="471766.49190000002"/>
    <n v="601425.06000000006"/>
    <n v="23.924458000000001"/>
    <n v="65.511892740000008"/>
  </r>
  <r>
    <n v="257"/>
    <x v="256"/>
    <n v="48.344284000000002"/>
    <n v="-119.18004000000001"/>
    <x v="0"/>
    <x v="0"/>
    <x v="3"/>
    <n v="-8"/>
    <n v="1053.055556"/>
    <n v="3.7957535"/>
    <x v="0"/>
    <n v="0.99324614"/>
    <n v="31.626042630000001"/>
    <n v="1014.865597"/>
    <n v="1359.9198329999999"/>
    <n v="0.74626869347231595"/>
    <n v="0.22918218000000001"/>
    <n v="0.17103148000000001"/>
    <n v="42.071499780000003"/>
    <n v="27.44269478"/>
    <n v="186.63316219999999"/>
    <n v="527671.37029999995"/>
    <n v="694828.06"/>
    <n v="27.998895999999998"/>
    <n v="70.070395779999998"/>
  </r>
  <r>
    <n v="258"/>
    <x v="257"/>
    <n v="48.36788"/>
    <n v="-119.02025999999999"/>
    <x v="0"/>
    <x v="0"/>
    <x v="3"/>
    <n v="-8"/>
    <n v="1154.25"/>
    <n v="3.6917224000000002"/>
    <x v="0"/>
    <n v="0.99145925000000001"/>
    <n v="10.918313530000001"/>
    <n v="350.36380960000002"/>
    <n v="469.48748160000002"/>
    <n v="0.74626869369545301"/>
    <n v="0.22125347000000001"/>
    <n v="0.16511454"/>
    <n v="43.517445729999999"/>
    <n v="32.540714270000002"/>
    <n v="138.28488300000001"/>
    <n v="390752.50829999999"/>
    <n v="613840.43999999994"/>
    <n v="25.62181"/>
    <n v="69.139255730000002"/>
  </r>
  <r>
    <n v="259"/>
    <x v="258"/>
    <n v="48.391323"/>
    <n v="-118.86035"/>
    <x v="0"/>
    <x v="0"/>
    <x v="3"/>
    <n v="-8"/>
    <n v="1054.1578950000001"/>
    <n v="3.6672099"/>
    <x v="0"/>
    <n v="0.9896952"/>
    <n v="15.76616353"/>
    <n v="505.92909300000002"/>
    <n v="677.94503159999999"/>
    <n v="0.74626860500175107"/>
    <n v="0.21710446"/>
    <n v="0.16201826999999999"/>
    <n v="44.287024600000002"/>
    <n v="36.055558419999997"/>
    <n v="138.28488300000001"/>
    <n v="390752.50829999999"/>
    <n v="620238.1"/>
    <n v="26.383602"/>
    <n v="70.670626600000006"/>
  </r>
  <r>
    <n v="260"/>
    <x v="259"/>
    <n v="48.414603999999997"/>
    <n v="-118.70031"/>
    <x v="0"/>
    <x v="0"/>
    <x v="5"/>
    <n v="-8"/>
    <n v="1041.75"/>
    <n v="3.6814103"/>
    <x v="0"/>
    <n v="0.98818773000000004"/>
    <n v="12.904110790000001"/>
    <n v="414.08705939999999"/>
    <n v="554.87676399999998"/>
    <n v="0.74626851630067537"/>
    <n v="0.21717885000000001"/>
    <n v="0.16207374999999999"/>
    <n v="44.218837720000003"/>
    <n v="31.554461020000002"/>
    <n v="202.58700640000001"/>
    <n v="848622.83259999997"/>
    <n v="1141578.1000000001"/>
    <n v="48.543663000000002"/>
    <n v="92.762500720000006"/>
  </r>
  <r>
    <n v="261"/>
    <x v="260"/>
    <n v="48.437730000000002"/>
    <n v="-118.54013"/>
    <x v="0"/>
    <x v="0"/>
    <x v="5"/>
    <n v="-8"/>
    <n v="1351.666667"/>
    <n v="3.6899145"/>
    <x v="0"/>
    <n v="0.98722390000000004"/>
    <n v="7.5683158810000002"/>
    <n v="242.86385100000001"/>
    <n v="325.4375829"/>
    <n v="0.74626860498354575"/>
    <n v="0.21931954000000001"/>
    <n v="0.16367128"/>
    <n v="43.75365858"/>
    <n v="22.575201280000002"/>
    <n v="196.21135050000001"/>
    <n v="806904.47889999999"/>
    <n v="1046515.6"/>
    <n v="44.066929999999999"/>
    <n v="87.820588579999992"/>
  </r>
  <r>
    <n v="262"/>
    <x v="261"/>
    <n v="48.460686000000003"/>
    <n v="-118.37982"/>
    <x v="0"/>
    <x v="0"/>
    <x v="5"/>
    <n v="-8"/>
    <n v="1089.3125"/>
    <n v="3.5966523000000001"/>
    <x v="0"/>
    <n v="0.98583489999999996"/>
    <n v="3.7593719600000002"/>
    <n v="120.6365546"/>
    <n v="161.65299429999999"/>
    <n v="0.74626860530723871"/>
    <n v="0.21116608000000001"/>
    <n v="0.15758662000000001"/>
    <n v="45.39280411"/>
    <n v="26.076155830000001"/>
    <n v="169.93710379999999"/>
    <n v="648913.40150000004"/>
    <n v="877750.56"/>
    <n v="38.387630000000001"/>
    <n v="83.780434110000002"/>
  </r>
  <r>
    <n v="263"/>
    <x v="262"/>
    <n v="48.483490000000003"/>
    <n v="-118.21938"/>
    <x v="0"/>
    <x v="0"/>
    <x v="5"/>
    <n v="-8"/>
    <n v="691.33333330000005"/>
    <n v="3.6156678000000002"/>
    <x v="0"/>
    <n v="0.98503333000000004"/>
    <n v="10.82483921"/>
    <n v="347.3642605"/>
    <n v="465.46808600000003"/>
    <n v="0.74626869370373972"/>
    <n v="0.20929737000000001"/>
    <n v="0.1561921"/>
    <n v="45.768836919999998"/>
    <n v="15.39594155"/>
    <n v="169.93710379999999"/>
    <n v="648913.40150000004"/>
    <n v="780206.75"/>
    <n v="34.426299999999998"/>
    <n v="80.195136919999996"/>
  </r>
  <r>
    <n v="264"/>
    <x v="263"/>
    <n v="48.506129999999999"/>
    <n v="-118.058815"/>
    <x v="0"/>
    <x v="0"/>
    <x v="7"/>
    <n v="-8"/>
    <n v="828.17647060000002"/>
    <n v="3.6414637999999999"/>
    <x v="0"/>
    <n v="0.98433599999999999"/>
    <n v="7.476947644"/>
    <n v="239.93191390000001"/>
    <n v="321.50874870000001"/>
    <n v="0.74626869368298465"/>
    <n v="0.21206504000000001"/>
    <n v="0.15825744999999999"/>
    <n v="45.146396469999999"/>
    <n v="9.7839610310000005"/>
    <n v="154.87932459999999"/>
    <n v="569639.41350000002"/>
    <n v="692604.6"/>
    <n v="30.162040000000001"/>
    <n v="75.308436470000004"/>
  </r>
  <r>
    <n v="265"/>
    <x v="264"/>
    <n v="48.52861"/>
    <n v="-117.89812000000001"/>
    <x v="0"/>
    <x v="0"/>
    <x v="7"/>
    <n v="-8"/>
    <n v="654.75"/>
    <n v="3.6006231"/>
    <x v="0"/>
    <n v="0.9838112"/>
    <n v="15.989236849999999"/>
    <n v="513.08747670000002"/>
    <n v="687.53718470000001"/>
    <n v="0.74626869370546212"/>
    <n v="0.20717114"/>
    <n v="0.15460531"/>
    <n v="46.193501570000002"/>
    <n v="1.4772792210000001"/>
    <n v="137.8415454"/>
    <n v="493211.57860000001"/>
    <n v="521803.56"/>
    <n v="23.260667999999999"/>
    <n v="69.454169570000005"/>
  </r>
  <r>
    <n v="266"/>
    <x v="265"/>
    <n v="48.550933999999998"/>
    <n v="-117.73729"/>
    <x v="0"/>
    <x v="0"/>
    <x v="7"/>
    <n v="-8"/>
    <n v="897.47058819999995"/>
    <n v="3.5821575999999999"/>
    <x v="0"/>
    <n v="0.98346800000000001"/>
    <n v="16.224785489999999"/>
    <n v="520.64612729999999"/>
    <n v="697.66577589999997"/>
    <n v="0.7462686938145392"/>
    <n v="0.20754425000000001"/>
    <n v="0.15488378999999999"/>
    <n v="46.097829730000001"/>
    <n v="9.3893311629999996"/>
    <n v="141.8425714"/>
    <n v="509021.87650000001"/>
    <n v="617347.1"/>
    <n v="27.470283999999999"/>
    <n v="73.568113729999993"/>
  </r>
  <r>
    <n v="267"/>
    <x v="266"/>
    <n v="48.573090000000001"/>
    <n v="-117.57634"/>
    <x v="0"/>
    <x v="0"/>
    <x v="7"/>
    <n v="-8"/>
    <n v="1133.083333"/>
    <n v="3.5261705000000001"/>
    <x v="0"/>
    <n v="0.98341392999999999"/>
    <n v="7.1278378419999999"/>
    <n v="228.7291089"/>
    <n v="306.49702719999999"/>
    <n v="0.74626860491780977"/>
    <n v="0.20512148999999999"/>
    <n v="0.15307575000000001"/>
    <n v="46.640290700000001"/>
    <n v="17.512266220000001"/>
    <n v="151.9929285"/>
    <n v="560823.73640000005"/>
    <n v="776880.6"/>
    <n v="34.977400000000003"/>
    <n v="81.617690699999997"/>
  </r>
  <r>
    <n v="268"/>
    <x v="267"/>
    <n v="48.595089999999999"/>
    <n v="-117.41527000000001"/>
    <x v="0"/>
    <x v="0"/>
    <x v="8"/>
    <n v="-8"/>
    <n v="1001.294118"/>
    <n v="3.435908"/>
    <x v="0"/>
    <n v="0.98323923000000002"/>
    <n v="6.8307303959999999"/>
    <n v="219.1950386"/>
    <n v="293.721407"/>
    <n v="0.74626851627467528"/>
    <n v="0.1980497"/>
    <n v="0.14779828"/>
    <n v="48.298939869999998"/>
    <n v="4.5319805149999999"/>
    <n v="138.40183110000001"/>
    <n v="539385.06559999997"/>
    <n v="657453.80000000005"/>
    <n v="30.657412000000001"/>
    <n v="78.956351869999992"/>
  </r>
  <r>
    <n v="269"/>
    <x v="268"/>
    <n v="48.616923999999997"/>
    <n v="-117.25406"/>
    <x v="0"/>
    <x v="0"/>
    <x v="8"/>
    <n v="-8"/>
    <n v="1005.875"/>
    <n v="3.4420297"/>
    <x v="0"/>
    <n v="0.98327774000000001"/>
    <n v="17.496241260000001"/>
    <n v="561.44657580000001"/>
    <n v="752.33837419999998"/>
    <n v="0.74626869378690808"/>
    <n v="0.19822632000000001"/>
    <n v="0.14793012"/>
    <n v="48.257398709999997"/>
    <n v="9.1938896040000007"/>
    <n v="157.87865579999999"/>
    <n v="613296.04399999999"/>
    <n v="759820.4"/>
    <n v="35.399250000000002"/>
    <n v="83.656648709999999"/>
  </r>
  <r>
    <n v="270"/>
    <x v="269"/>
    <n v="48.638599999999997"/>
    <n v="-117.09273"/>
    <x v="0"/>
    <x v="0"/>
    <x v="8"/>
    <n v="-8"/>
    <n v="1120.5714290000001"/>
    <n v="3.3634498000000002"/>
    <x v="0"/>
    <n v="0.98322030000000005"/>
    <n v="10.681956080000001"/>
    <n v="342.77916390000001"/>
    <n v="459.32411139999999"/>
    <n v="0.74626860509286996"/>
    <n v="0.19406126000000001"/>
    <n v="0.14482184000000001"/>
    <n v="49.29085997"/>
    <n v="22.22689609"/>
    <n v="157.87865579999999"/>
    <n v="613296.04399999999"/>
    <n v="858525.6"/>
    <n v="40.856276999999999"/>
    <n v="90.147136969999991"/>
  </r>
  <r>
    <n v="271"/>
    <x v="270"/>
    <n v="48.660114"/>
    <n v="-116.931274"/>
    <x v="0"/>
    <x v="1"/>
    <x v="13"/>
    <n v="-8"/>
    <n v="916.88888889999998"/>
    <n v="3.3384311000000002"/>
    <x v="0"/>
    <n v="0.98232399999999997"/>
    <n v="17.253486469999999"/>
    <n v="553.65661720000003"/>
    <n v="741.89991840000005"/>
    <n v="0.74626860506202741"/>
    <n v="0.19182030999999999"/>
    <n v="0.14314948"/>
    <n v="49.831018819999997"/>
    <n v="61.661428530000002"/>
    <n v="369.06088940000001"/>
    <n v="1404253.102"/>
    <n v="1928386.9"/>
    <n v="92.841896000000006"/>
    <n v="142.67291482000002"/>
  </r>
  <r>
    <n v="272"/>
    <x v="271"/>
    <n v="48.681465000000003"/>
    <n v="-116.7697"/>
    <x v="0"/>
    <x v="1"/>
    <x v="13"/>
    <n v="-8"/>
    <n v="1212.75"/>
    <n v="3.3991516000000002"/>
    <x v="0"/>
    <n v="0.98251080000000002"/>
    <n v="4.2724256839999999"/>
    <n v="137.1002177"/>
    <n v="183.7143044"/>
    <n v="0.74626860520067373"/>
    <n v="0.19565088999999999"/>
    <n v="0.1460081"/>
    <n v="48.862695950000003"/>
    <n v="31.860188279999999"/>
    <n v="381.86227250000002"/>
    <n v="1456689.61"/>
    <n v="1787034.6"/>
    <n v="84.352029999999999"/>
    <n v="133.21472595"/>
  </r>
  <r>
    <n v="273"/>
    <x v="272"/>
    <n v="48.702655999999998"/>
    <n v="-116.608"/>
    <x v="0"/>
    <x v="1"/>
    <x v="10"/>
    <n v="-8"/>
    <n v="1717.166667"/>
    <n v="3.4440005"/>
    <x v="0"/>
    <n v="0.98268246999999997"/>
    <n v="2.8813320099999999"/>
    <n v="92.460647649999999"/>
    <n v="123.8972764"/>
    <n v="0.74626860522335103"/>
    <n v="0.20113929999999999"/>
    <n v="0.15010396000000001"/>
    <n v="47.535906619999999"/>
    <n v="24.769831150000002"/>
    <n v="396.70012320000001"/>
    <n v="1520048.6880000001"/>
    <n v="1762440.9"/>
    <n v="80.921149999999997"/>
    <n v="128.45705662"/>
  </r>
  <r>
    <n v="274"/>
    <x v="273"/>
    <n v="48.723680000000002"/>
    <n v="-116.44618"/>
    <x v="0"/>
    <x v="1"/>
    <x v="10"/>
    <n v="-8"/>
    <n v="716.5"/>
    <n v="3.530341"/>
    <x v="0"/>
    <n v="0.98281099999999999"/>
    <n v="3.0243782870000002"/>
    <n v="97.050938310000006"/>
    <n v="130.04826629999999"/>
    <n v="0.74626860527397909"/>
    <n v="0.20196710000000001"/>
    <n v="0.15072173"/>
    <n v="47.34592507"/>
    <n v="16.754987"/>
    <n v="396.70012320000001"/>
    <n v="1520048.6880000001"/>
    <n v="1640894.5"/>
    <n v="75.031639999999996"/>
    <n v="122.37756507"/>
  </r>
  <r>
    <n v="275"/>
    <x v="274"/>
    <n v="48.744545000000002"/>
    <n v="-116.28422999999999"/>
    <x v="0"/>
    <x v="1"/>
    <x v="10"/>
    <n v="-8"/>
    <n v="770.68421049999995"/>
    <n v="3.5675929000000002"/>
    <x v="0"/>
    <n v="0.98318094"/>
    <n v="29.345081839999999"/>
    <n v="941.67058329999998"/>
    <n v="1261.8385189999999"/>
    <n v="0.74626869375193006"/>
    <n v="0.20588650999999999"/>
    <n v="0.15364665"/>
    <n v="46.458348530000002"/>
    <n v="0.65183766200000004"/>
    <n v="420.30150630000003"/>
    <n v="1615418.8859999999"/>
    <n v="1655057.8"/>
    <n v="74.238590000000002"/>
    <n v="120.69693853000001"/>
  </r>
  <r>
    <n v="276"/>
    <x v="275"/>
    <n v="48.765247000000002"/>
    <n v="-116.12217"/>
    <x v="0"/>
    <x v="1"/>
    <x v="10"/>
    <n v="-8"/>
    <n v="1028.0769230000001"/>
    <n v="3.5063917999999998"/>
    <x v="0"/>
    <n v="0.98341714999999996"/>
    <n v="13.131396280000001"/>
    <n v="421.38059759999999"/>
    <n v="564.65003990000002"/>
    <n v="0.74626860501883052"/>
    <n v="0.20221781999999999"/>
    <n v="0.15090882999999999"/>
    <n v="47.310122409999998"/>
    <n v="9.1102857069999992"/>
    <n v="411.35577899999998"/>
    <n v="1587885.17"/>
    <n v="1699752"/>
    <n v="77.626594999999995"/>
    <n v="124.93671741"/>
  </r>
  <r>
    <n v="277"/>
    <x v="276"/>
    <n v="48.785789999999999"/>
    <n v="-115.95998400000001"/>
    <x v="0"/>
    <x v="2"/>
    <x v="14"/>
    <n v="-7"/>
    <n v="1235.5"/>
    <n v="3.4158460000000002"/>
    <x v="0"/>
    <n v="0.98362433999999999"/>
    <n v="1.2159719600000001"/>
    <n v="39.019993049999997"/>
    <n v="52.286794299999997"/>
    <n v="0.74626860514950333"/>
    <n v="0.19759919000000001"/>
    <n v="0.14746208"/>
    <n v="51.514053769999997"/>
    <n v="21.051597390000001"/>
    <n v="362.84714270000001"/>
    <n v="1621424.642"/>
    <n v="1870790.9"/>
    <n v="87.434839999999994"/>
    <n v="138.94889376999998"/>
  </r>
  <r>
    <n v="278"/>
    <x v="277"/>
    <n v="48.806164000000003"/>
    <n v="-115.79768"/>
    <x v="0"/>
    <x v="2"/>
    <x v="14"/>
    <n v="-7"/>
    <n v="1137.2"/>
    <n v="3.4454129999999998"/>
    <x v="0"/>
    <n v="0.98385739999999999"/>
    <n v="7.8242761779999999"/>
    <n v="251.07750179999999"/>
    <n v="336.44387569999998"/>
    <n v="0.74626860506113235"/>
    <n v="0.19852275"/>
    <n v="0.14815128"/>
    <n v="48.207654089999998"/>
    <n v="28.135558419999999"/>
    <n v="362.84714270000001"/>
    <n v="1621424.642"/>
    <n v="1963277.2"/>
    <n v="91.330489999999998"/>
    <n v="139.53814409"/>
  </r>
  <r>
    <n v="279"/>
    <x v="278"/>
    <n v="48.826377999999998"/>
    <n v="-115.63527000000001"/>
    <x v="0"/>
    <x v="2"/>
    <x v="14"/>
    <n v="-7"/>
    <n v="1134.6153850000001"/>
    <n v="3.446053"/>
    <x v="0"/>
    <n v="0.98403954999999999"/>
    <n v="20.011212159999999"/>
    <n v="642.15079349999996"/>
    <n v="860.48212279999996"/>
    <n v="0.74626860510529602"/>
    <n v="0.19777819999999999"/>
    <n v="0.14759567000000001"/>
    <n v="48.396159300000001"/>
    <n v="47.161285679999999"/>
    <n v="362.84714270000001"/>
    <n v="1621424.642"/>
    <n v="2061815.8"/>
    <n v="96.275509999999997"/>
    <n v="144.67166929999999"/>
  </r>
  <r>
    <n v="280"/>
    <x v="279"/>
    <n v="48.866314000000003"/>
    <n v="-115.310074"/>
    <x v="0"/>
    <x v="2"/>
    <x v="14"/>
    <n v="-7"/>
    <n v="1105.142857"/>
    <n v="3.5295253"/>
    <x v="0"/>
    <n v="0.98442525000000003"/>
    <n v="1.4418"/>
    <n v="46.26671872"/>
    <n v="61.997399999999999"/>
    <n v="0.74626869384845174"/>
    <n v="0.20501019000000001"/>
    <n v="0.15299267999999999"/>
    <n v="48.785677380000003"/>
    <n v="48.834006459999998"/>
    <n v="277.9694609"/>
    <n v="1119163.2320000001"/>
    <n v="1516628.2"/>
    <n v="68.320040000000006"/>
    <n v="117.10571738000002"/>
  </r>
  <r>
    <n v="281"/>
    <x v="280"/>
    <n v="48.886035999999997"/>
    <n v="-115.14731"/>
    <x v="0"/>
    <x v="2"/>
    <x v="14"/>
    <n v="-7"/>
    <n v="900.125"/>
    <n v="3.4964602"/>
    <x v="0"/>
    <n v="0.98450612999999998"/>
    <n v="35.028287839999997"/>
    <n v="1124.042128"/>
    <n v="1506.216377"/>
    <n v="0.74626869363803239"/>
    <n v="0.20114388999999999"/>
    <n v="0.15010738000000001"/>
    <n v="47.60408073"/>
    <n v="34.190045429999998"/>
    <n v="277.9694609"/>
    <n v="1119163.2320000001"/>
    <n v="1364227.1"/>
    <n v="62.636029999999998"/>
    <n v="110.24011073"/>
  </r>
  <r>
    <n v="282"/>
    <x v="281"/>
    <n v="48.905594000000001"/>
    <n v="-114.98442"/>
    <x v="0"/>
    <x v="2"/>
    <x v="14"/>
    <n v="-7"/>
    <n v="957.61538459999997"/>
    <n v="3.4009309999999999"/>
    <x v="0"/>
    <n v="0.98458754999999998"/>
    <n v="31.55687227"/>
    <n v="1012.645831"/>
    <n v="1356.9455069999999"/>
    <n v="0.74626860531695627"/>
    <n v="0.19430184"/>
    <n v="0.1450014"/>
    <n v="49.283576029999999"/>
    <n v="29.717181799999999"/>
    <n v="277.9694609"/>
    <n v="1119163.2320000001"/>
    <n v="1341051"/>
    <n v="63.740110000000001"/>
    <n v="113.02368602999999"/>
  </r>
  <r>
    <n v="283"/>
    <x v="282"/>
    <n v="48.963284000000002"/>
    <n v="-114.49509399999999"/>
    <x v="0"/>
    <x v="2"/>
    <x v="16"/>
    <n v="-7"/>
    <n v="1303.7142859999999"/>
    <n v="3.4184348999999998"/>
    <x v="0"/>
    <n v="0.98147989999999996"/>
    <n v="9.3234243160000005"/>
    <n v="299.18449090000001"/>
    <n v="400.90724560000001"/>
    <n v="0.74626860497928604"/>
    <n v="0.19772582999999999"/>
    <n v="0.14755662"/>
    <n v="48.310074610000001"/>
    <n v="43.063409049999997"/>
    <n v="271.89468820000002"/>
    <n v="1084734.3330000001"/>
    <n v="1547393.1"/>
    <n v="72.273929999999993"/>
    <n v="120.58400460999999"/>
  </r>
  <r>
    <n v="284"/>
    <x v="283"/>
    <n v="48.98218"/>
    <n v="-114.33176"/>
    <x v="0"/>
    <x v="2"/>
    <x v="16"/>
    <n v="-7"/>
    <n v="1214"/>
    <n v="3.4290001000000001"/>
    <x v="0"/>
    <n v="0.98149746999999998"/>
    <n v="0.198935996"/>
    <n v="6.383766584"/>
    <n v="8.554247814"/>
    <n v="0.74626860511946347"/>
    <n v="0.19817673"/>
    <n v="0.14789304"/>
    <n v="62.553515769999997"/>
    <n v="74.489948010000006"/>
    <n v="277.75218169999999"/>
    <n v="1118451.9709999999"/>
    <n v="1578995"/>
    <n v="73.582160000000002"/>
    <n v="136.13567577000001"/>
  </r>
  <r>
    <n v="285"/>
    <x v="284"/>
    <n v="47.384307999999997"/>
    <n v="-124.32545"/>
    <x v="0"/>
    <x v="0"/>
    <x v="15"/>
    <n v="-8"/>
    <n v="65.222222220000006"/>
    <n v="3.1430972000000001"/>
    <x v="0"/>
    <n v="1.0210241"/>
    <n v="24.425389819999999"/>
    <n v="783.79967509999994"/>
    <n v="1050.2917620000001"/>
    <n v="0.7462685164810422"/>
    <n v="0.18156320000000001"/>
    <n v="0.13549493000000001"/>
    <n v="54.274426900000002"/>
    <n v="21.356681810000001"/>
    <n v="264.2096037"/>
    <n v="913839.36369999999"/>
    <n v="1055638.8"/>
    <n v="53.694760000000002"/>
    <n v="107.96918690000001"/>
  </r>
  <r>
    <n v="286"/>
    <x v="285"/>
    <n v="47.412982999999997"/>
    <n v="-124.1707"/>
    <x v="0"/>
    <x v="0"/>
    <x v="15"/>
    <n v="-8"/>
    <n v="101.8421053"/>
    <n v="3.1355754999999998"/>
    <x v="0"/>
    <n v="1.0208934999999999"/>
    <n v="83.306878420000004"/>
    <n v="2673.2802419999998"/>
    <n v="3582.195772"/>
    <n v="0.74626860510961479"/>
    <n v="0.18301075999999999"/>
    <n v="0.13657519000000001"/>
    <n v="53.839690150000003"/>
    <n v="25.1260844"/>
    <n v="264.2096037"/>
    <n v="913839.36369999999"/>
    <n v="1105731.2"/>
    <n v="55.797840000000001"/>
    <n v="109.63753015"/>
  </r>
  <r>
    <n v="287"/>
    <x v="286"/>
    <n v="47.441510000000001"/>
    <n v="-124.01578499999999"/>
    <x v="0"/>
    <x v="0"/>
    <x v="15"/>
    <n v="-8"/>
    <n v="185.94444440000001"/>
    <n v="3.0915678"/>
    <x v="0"/>
    <n v="1.0207915999999999"/>
    <n v="80.915519529999997"/>
    <n v="2596.5423030000002"/>
    <n v="3479.3673399999998"/>
    <n v="0.74626851644816561"/>
    <n v="0.17797325999999999"/>
    <n v="0.13281583999999999"/>
    <n v="55.359243030000002"/>
    <n v="23.880428559999999"/>
    <n v="271.5044479"/>
    <n v="949583.45409999997"/>
    <n v="1122525.8999999999"/>
    <n v="58.248669999999997"/>
    <n v="113.60791302999999"/>
  </r>
  <r>
    <n v="288"/>
    <x v="287"/>
    <n v="47.469883000000003"/>
    <n v="-123.86072"/>
    <x v="0"/>
    <x v="0"/>
    <x v="15"/>
    <n v="-8"/>
    <n v="249.8"/>
    <n v="3.0587382000000001"/>
    <x v="0"/>
    <n v="1.0207337000000001"/>
    <n v="11.05504255"/>
    <n v="354.75134100000002"/>
    <n v="475.3668298"/>
    <n v="0.74626860513017645"/>
    <n v="0.17333038000000001"/>
    <n v="0.12935102000000001"/>
    <n v="56.839546370000001"/>
    <n v="27.035272710000001"/>
    <n v="271.5044479"/>
    <n v="949583.45409999997"/>
    <n v="1194252.1000000001"/>
    <n v="63.630558000000001"/>
    <n v="120.47010437"/>
  </r>
  <r>
    <n v="289"/>
    <x v="288"/>
    <n v="47.498108000000002"/>
    <n v="-123.705505"/>
    <x v="0"/>
    <x v="0"/>
    <x v="9"/>
    <n v="-8"/>
    <n v="231.5"/>
    <n v="3.0580728000000001"/>
    <x v="0"/>
    <n v="1.0206887"/>
    <n v="3.5963996999999998E-2"/>
    <n v="1.154068605"/>
    <n v="1.5464518540000001"/>
    <n v="0.74626869372940718"/>
    <n v="0.17280729"/>
    <n v="0.12896067999999999"/>
    <n v="90.225908200000006"/>
    <n v="37.66121425"/>
    <n v="271.5044479"/>
    <n v="949583.45409999997"/>
    <n v="1302018.2"/>
    <n v="69.582404999999994"/>
    <n v="159.80831319999999"/>
  </r>
  <r>
    <n v="290"/>
    <x v="289"/>
    <n v="47.609467000000002"/>
    <n v="-123.08311500000001"/>
    <x v="0"/>
    <x v="0"/>
    <x v="17"/>
    <n v="-8"/>
    <n v="389.4"/>
    <n v="3.2340466999999999"/>
    <x v="0"/>
    <n v="1.0208994"/>
    <n v="4.709664514"/>
    <n v="151.13099700000001"/>
    <n v="202.51557410000001"/>
    <n v="0.74626851624445012"/>
    <n v="0.18503627"/>
    <n v="0.13808677"/>
    <n v="53.250570930000002"/>
    <n v="20.012623359999999"/>
    <n v="233.38327910000001"/>
    <n v="757057.31660000002"/>
    <n v="861722.44"/>
    <n v="43.008564"/>
    <n v="96.259134930000002"/>
  </r>
  <r>
    <n v="291"/>
    <x v="290"/>
    <n v="47.636924999999998"/>
    <n v="-122.92715"/>
    <x v="0"/>
    <x v="0"/>
    <x v="11"/>
    <n v="-8"/>
    <n v="177.66666670000001"/>
    <n v="3.3196970000000001"/>
    <x v="0"/>
    <n v="1.0210250000000001"/>
    <n v="6.5516037230000004"/>
    <n v="210.23804039999999"/>
    <n v="281.7189601"/>
    <n v="0.74626869389753925"/>
    <n v="0.18901760000000001"/>
    <n v="0.14105791000000001"/>
    <n v="52.134020579999998"/>
    <n v="3.8955844119999998"/>
    <n v="233.38327910000001"/>
    <n v="757057.31660000002"/>
    <n v="796744.9"/>
    <n v="38.927943999999997"/>
    <n v="91.061964579999994"/>
  </r>
  <r>
    <n v="292"/>
    <x v="291"/>
    <n v="47.664230000000003"/>
    <n v="-122.77101999999999"/>
    <x v="0"/>
    <x v="0"/>
    <x v="11"/>
    <n v="-8"/>
    <n v="82.928571430000005"/>
    <n v="3.3189560999999999"/>
    <x v="0"/>
    <n v="1.021118"/>
    <n v="19.305377050000001"/>
    <n v="619.50093609999999"/>
    <n v="830.13121320000005"/>
    <n v="0.74626869373088645"/>
    <n v="0.19009566"/>
    <n v="0.14186241999999999"/>
    <n v="51.842109149999999"/>
    <n v="13.71682466"/>
    <n v="253.35158430000001"/>
    <n v="882012.81880000001"/>
    <n v="930423.8"/>
    <n v="45.201515000000001"/>
    <n v="97.043624149999999"/>
  </r>
  <r>
    <n v="293"/>
    <x v="292"/>
    <n v="47.691383000000002"/>
    <n v="-122.614746"/>
    <x v="0"/>
    <x v="0"/>
    <x v="11"/>
    <n v="-8"/>
    <n v="67.222222220000006"/>
    <n v="3.2750762"/>
    <x v="0"/>
    <n v="1.0211843"/>
    <n v="13.19190304"/>
    <n v="423.32228270000002"/>
    <n v="567.25183070000003"/>
    <n v="0.74626869370806947"/>
    <n v="0.18711660999999999"/>
    <n v="0.13963924"/>
    <n v="52.670175219999997"/>
    <n v="16.193149340000002"/>
    <n v="272.71017519999998"/>
    <n v="948930.1727"/>
    <n v="978026.8"/>
    <n v="48.270614999999999"/>
    <n v="100.94079022"/>
  </r>
  <r>
    <n v="294"/>
    <x v="293"/>
    <n v="47.745224"/>
    <n v="-122.30175"/>
    <x v="0"/>
    <x v="0"/>
    <x v="18"/>
    <n v="-8"/>
    <n v="85.352941180000002"/>
    <n v="3.2587804999999999"/>
    <x v="0"/>
    <n v="1.0212456999999999"/>
    <n v="3.8336488219999998"/>
    <n v="123.0200803"/>
    <n v="164.84689929999999"/>
    <n v="0.74626869429991161"/>
    <n v="0.18508816"/>
    <n v="0.13812550000000001"/>
    <n v="53.249934670000002"/>
    <n v="2.5700714269999998"/>
    <n v="24.777779209999998"/>
    <n v="97427.689029999994"/>
    <n v="140362.70000000001"/>
    <n v="7.0035379999999998"/>
    <n v="60.253472670000001"/>
  </r>
  <r>
    <n v="295"/>
    <x v="294"/>
    <n v="47.771909999999998"/>
    <n v="-122.14503499999999"/>
    <x v="0"/>
    <x v="0"/>
    <x v="18"/>
    <n v="-8"/>
    <n v="94"/>
    <n v="3.1147816000000002"/>
    <x v="0"/>
    <n v="1.0211536000000001"/>
    <n v="10.94415205"/>
    <n v="351.19295640000001"/>
    <n v="470.59853820000001"/>
    <n v="0.74626869378575555"/>
    <n v="0.17546708999999999"/>
    <n v="0.1309456"/>
    <n v="56.165687290000001"/>
    <n v="2.3373506470000001"/>
    <n v="50.412980490000002"/>
    <n v="199373.08420000001"/>
    <n v="239398.28"/>
    <n v="12.5999775"/>
    <n v="68.765664790000002"/>
  </r>
  <r>
    <n v="296"/>
    <x v="295"/>
    <n v="47.798447000000003"/>
    <n v="-121.988174"/>
    <x v="0"/>
    <x v="0"/>
    <x v="6"/>
    <n v="-8"/>
    <n v="107.85"/>
    <n v="3.0735060000000001"/>
    <x v="0"/>
    <n v="1.0209599"/>
    <n v="21.308102049999999"/>
    <n v="683.76748780000003"/>
    <n v="916.24838820000002"/>
    <n v="0.74626869373629534"/>
    <n v="0.17193306999999999"/>
    <n v="0.12830828"/>
    <n v="57.311537600000001"/>
    <n v="0.45"/>
    <n v="55.478564900000002"/>
    <n v="224705.32180000001"/>
    <n v="262638.44"/>
    <n v="14.107279999999999"/>
    <n v="71.418817599999997"/>
  </r>
  <r>
    <n v="297"/>
    <x v="296"/>
    <n v="47.824824999999997"/>
    <n v="-121.831154"/>
    <x v="0"/>
    <x v="0"/>
    <x v="6"/>
    <n v="-8"/>
    <n v="252"/>
    <n v="3.0133238000000002"/>
    <x v="0"/>
    <n v="1.0203507999999999"/>
    <n v="27.731318989999998"/>
    <n v="889.88565370000003"/>
    <n v="1192.446717"/>
    <n v="0.74626869361408965"/>
    <n v="0.16835263"/>
    <n v="0.12563630000000001"/>
    <n v="58.502779779999997"/>
    <n v="4.6155844119999996"/>
    <n v="67.571642819999994"/>
    <n v="290313.3187"/>
    <n v="369739.2"/>
    <n v="20.282430000000002"/>
    <n v="78.785209780000002"/>
  </r>
  <r>
    <n v="298"/>
    <x v="297"/>
    <n v="47.851050000000001"/>
    <n v="-121.673996"/>
    <x v="0"/>
    <x v="0"/>
    <x v="6"/>
    <n v="-8"/>
    <n v="304.2857143"/>
    <n v="2.9274247"/>
    <x v="1"/>
    <n v="1.0196978999999999"/>
    <n v="13.46851725"/>
    <n v="432.19870930000002"/>
    <n v="579.14624170000002"/>
    <n v="0.74626869377817806"/>
    <n v="0.16318145000000001"/>
    <n v="0.12177721399999999"/>
    <n v="60.326161069999998"/>
    <n v="1.6700714270000001"/>
    <n v="102.43865580000001"/>
    <n v="380717.73609999998"/>
    <n v="410672.97"/>
    <n v="23.241797999999999"/>
    <n v="83.567959070000001"/>
  </r>
  <r>
    <n v="299"/>
    <x v="298"/>
    <n v="48.104725000000002"/>
    <n v="-120.09457399999999"/>
    <x v="0"/>
    <x v="0"/>
    <x v="3"/>
    <n v="-8"/>
    <n v="757.61538459999997"/>
    <n v="3.8718433000000001"/>
    <x v="0"/>
    <n v="1.0047029999999999"/>
    <n v="2.7484918120000001"/>
    <n v="88.197875969999998"/>
    <n v="118.1851479"/>
    <n v="0.74626869397013296"/>
    <n v="0.23304722"/>
    <n v="0.17391585000000001"/>
    <n v="41.749303910000002"/>
    <n v="14.372409080000001"/>
    <n v="195.53411679999999"/>
    <n v="577044.15890000004"/>
    <n v="714389.6"/>
    <n v="28.309723000000002"/>
    <n v="70.05902691"/>
  </r>
  <r>
    <n v="300"/>
    <x v="299"/>
    <n v="48.12923"/>
    <n v="-119.93585"/>
    <x v="0"/>
    <x v="0"/>
    <x v="3"/>
    <n v="-8"/>
    <n v="733.66666669999995"/>
    <n v="3.9407093999999998"/>
    <x v="0"/>
    <n v="1.0025729999999999"/>
    <n v="11.7798304"/>
    <n v="378.00945669999999"/>
    <n v="506.53270700000002"/>
    <n v="0.74626860511891879"/>
    <n v="0.23803884"/>
    <n v="0.17764091000000001"/>
    <n v="40.805473859999999"/>
    <n v="7.1819090890000004"/>
    <n v="191.23485700000001"/>
    <n v="560226.47039999999"/>
    <n v="653322.19999999995"/>
    <n v="25.346851000000001"/>
    <n v="66.152324859999993"/>
  </r>
  <r>
    <n v="301"/>
    <x v="300"/>
    <n v="48.153576000000001"/>
    <n v="-119.77701"/>
    <x v="0"/>
    <x v="0"/>
    <x v="3"/>
    <n v="-8"/>
    <n v="567.63157890000002"/>
    <n v="3.9230209999999999"/>
    <x v="0"/>
    <n v="1.0004280999999999"/>
    <n v="21.508660110000001"/>
    <n v="690.20322429999999"/>
    <n v="924.87238460000003"/>
    <n v="0.74626860504490833"/>
    <n v="0.23605385000000001"/>
    <n v="0.1761596"/>
    <n v="41.07919425"/>
    <n v="2.4800714269999999"/>
    <n v="186.70397389999999"/>
    <n v="543984.37280000001"/>
    <n v="599223.19999999995"/>
    <n v="23.443472"/>
    <n v="64.52266625"/>
  </r>
  <r>
    <n v="302"/>
    <x v="301"/>
    <n v="48.177765000000001"/>
    <n v="-119.61803"/>
    <x v="0"/>
    <x v="0"/>
    <x v="3"/>
    <n v="-8"/>
    <n v="602.31578950000005"/>
    <n v="3.929907"/>
    <x v="0"/>
    <n v="0.99824729999999995"/>
    <n v="44.608317630000002"/>
    <n v="1431.46084"/>
    <n v="1918.1576580000001"/>
    <n v="0.74626860520554761"/>
    <n v="0.23814448999999999"/>
    <n v="0.17771976"/>
    <n v="40.648615370000002"/>
    <n v="2.3091168820000001"/>
    <n v="185.65266220000001"/>
    <n v="524066.47230000002"/>
    <n v="579264.06000000006"/>
    <n v="22.463654999999999"/>
    <n v="63.112270370000005"/>
  </r>
  <r>
    <n v="303"/>
    <x v="302"/>
    <n v="48.201796999999999"/>
    <n v="-119.45891"/>
    <x v="0"/>
    <x v="0"/>
    <x v="3"/>
    <n v="-8"/>
    <n v="764.94444439999995"/>
    <n v="3.9093955"/>
    <x v="0"/>
    <n v="0.99630390000000002"/>
    <n v="57.233065430000003"/>
    <n v="1836.583097"/>
    <n v="2461.0218129999998"/>
    <n v="0.7462685163124152"/>
    <n v="0.23773174999999999"/>
    <n v="0.17741175000000001"/>
    <n v="40.656732179999999"/>
    <n v="4.6555129859999997"/>
    <n v="156.04796089999999"/>
    <n v="438322.56630000001"/>
    <n v="506244.3"/>
    <n v="19.666060000000002"/>
    <n v="60.32279218"/>
  </r>
  <r>
    <n v="304"/>
    <x v="303"/>
    <n v="48.225670000000001"/>
    <n v="-119.299644"/>
    <x v="0"/>
    <x v="0"/>
    <x v="3"/>
    <n v="-8"/>
    <n v="710.33333330000005"/>
    <n v="3.8456073000000002"/>
    <x v="0"/>
    <n v="0.99428079999999996"/>
    <n v="29.261412159999999"/>
    <n v="938.98554909999996"/>
    <n v="1258.2407229999999"/>
    <n v="0.74626860499411773"/>
    <n v="0.23194031000000001"/>
    <n v="0.17308982000000001"/>
    <n v="41.605275399999996"/>
    <n v="11.66116882"/>
    <n v="145.1877466"/>
    <n v="407296.6703"/>
    <n v="483094.53"/>
    <n v="19.23536"/>
    <n v="60.840635399999996"/>
  </r>
  <r>
    <n v="305"/>
    <x v="304"/>
    <n v="48.249386000000001"/>
    <n v="-119.14026"/>
    <x v="0"/>
    <x v="0"/>
    <x v="3"/>
    <n v="-8"/>
    <n v="934.2"/>
    <n v="3.8073098999999999"/>
    <x v="0"/>
    <n v="0.99234860000000003"/>
    <n v="29.49436626"/>
    <n v="946.46094140000002"/>
    <n v="1268.2577490000001"/>
    <n v="0.74626860521551597"/>
    <n v="0.23067133000000001"/>
    <n v="0.17214277"/>
    <n v="41.770168169999998"/>
    <n v="21.4285909"/>
    <n v="145.1877466"/>
    <n v="407296.6703"/>
    <n v="548118.56000000006"/>
    <n v="21.944479000000001"/>
    <n v="63.714647169999999"/>
  </r>
  <r>
    <n v="306"/>
    <x v="305"/>
    <n v="48.272939999999998"/>
    <n v="-118.98072999999999"/>
    <x v="0"/>
    <x v="0"/>
    <x v="3"/>
    <n v="-8"/>
    <n v="850.52631580000002"/>
    <n v="3.7380477999999999"/>
    <x v="0"/>
    <n v="0.99032900000000001"/>
    <n v="16.49289529"/>
    <n v="529.24965120000002"/>
    <n v="709.19449740000005"/>
    <n v="0.74626869376496663"/>
    <n v="0.22464629999999999"/>
    <n v="0.1676465"/>
    <n v="42.821774959999999"/>
    <n v="18.498519470000002"/>
    <n v="138.28488300000001"/>
    <n v="390752.50829999999"/>
    <n v="490256.22"/>
    <n v="20.154323999999999"/>
    <n v="62.976098960000002"/>
  </r>
  <r>
    <n v="307"/>
    <x v="306"/>
    <n v="48.296337000000001"/>
    <n v="-118.82107000000001"/>
    <x v="0"/>
    <x v="0"/>
    <x v="5"/>
    <n v="-8"/>
    <n v="951.8125"/>
    <n v="3.7274215000000002"/>
    <x v="0"/>
    <n v="0.98878560000000004"/>
    <n v="13.261643919999999"/>
    <n v="425.56018590000002"/>
    <n v="570.25068859999999"/>
    <n v="0.74626860503189585"/>
    <n v="0.22339313"/>
    <n v="0.16671130000000001"/>
    <n v="43.009208530000002"/>
    <n v="25.062766209999999"/>
    <n v="138.28488300000001"/>
    <n v="390752.50829999999"/>
    <n v="555972.75"/>
    <n v="22.984133"/>
    <n v="65.993341530000009"/>
  </r>
  <r>
    <n v="308"/>
    <x v="307"/>
    <n v="48.319580000000002"/>
    <n v="-118.66128500000001"/>
    <x v="0"/>
    <x v="0"/>
    <x v="5"/>
    <n v="-8"/>
    <n v="971.17647060000002"/>
    <n v="3.6896615000000001"/>
    <x v="0"/>
    <n v="0.98729014000000004"/>
    <n v="12.830886469999999"/>
    <n v="411.7373733"/>
    <n v="551.72811839999997"/>
    <n v="0.74626860507677184"/>
    <n v="0.21856286999999999"/>
    <n v="0.16310659999999999"/>
    <n v="43.90745235"/>
    <n v="33.121740240000001"/>
    <n v="145.19304539999999"/>
    <n v="450701.7818"/>
    <n v="679646.1"/>
    <n v="28.717780999999999"/>
    <n v="72.625233350000002"/>
  </r>
  <r>
    <n v="309"/>
    <x v="308"/>
    <n v="48.342655000000001"/>
    <n v="-118.50136000000001"/>
    <x v="0"/>
    <x v="0"/>
    <x v="5"/>
    <n v="-8"/>
    <n v="1297.5882349999999"/>
    <n v="3.6924538999999998"/>
    <x v="0"/>
    <n v="0.98622829999999995"/>
    <n v="9.2702878420000001"/>
    <n v="297.47936540000001"/>
    <n v="398.62237720000002"/>
    <n v="0.74626860511332072"/>
    <n v="0.22034210000000001"/>
    <n v="0.16443439000000001"/>
    <n v="43.51609526"/>
    <n v="51.914292170000003"/>
    <n v="134.9008766"/>
    <n v="483202.20209999999"/>
    <n v="955373.6"/>
    <n v="40.042408000000002"/>
    <n v="83.558503260000009"/>
  </r>
  <r>
    <n v="310"/>
    <x v="309"/>
    <n v="48.365574000000002"/>
    <n v="-118.34130999999999"/>
    <x v="0"/>
    <x v="0"/>
    <x v="5"/>
    <n v="-8"/>
    <n v="904.375"/>
    <n v="3.6262276"/>
    <x v="0"/>
    <n v="0.98471326000000003"/>
    <n v="9.5756584349999994"/>
    <n v="307.27857030000001"/>
    <n v="411.75331269999998"/>
    <n v="0.74626860506616155"/>
    <n v="0.21153707999999999"/>
    <n v="0.15786349999999999"/>
    <n v="45.272686020000002"/>
    <n v="25.362551929999999"/>
    <n v="134.9008766"/>
    <n v="483202.20209999999"/>
    <n v="697888.4"/>
    <n v="30.467994999999998"/>
    <n v="75.740681019999997"/>
  </r>
  <r>
    <n v="311"/>
    <x v="310"/>
    <n v="48.388331999999998"/>
    <n v="-118.18112000000001"/>
    <x v="0"/>
    <x v="0"/>
    <x v="7"/>
    <n v="-8"/>
    <n v="611.57894739999995"/>
    <n v="3.649435"/>
    <x v="0"/>
    <n v="0.98402506000000001"/>
    <n v="17.32266079"/>
    <n v="555.87638990000005"/>
    <n v="744.874414"/>
    <n v="0.74626860508595749"/>
    <n v="0.21086050000000001"/>
    <n v="0.15735857"/>
    <n v="45.393024050000001"/>
    <n v="10.996538960000001"/>
    <n v="134.9008766"/>
    <n v="483202.20209999999"/>
    <n v="605946.9"/>
    <n v="26.538948000000001"/>
    <n v="71.931972049999999"/>
  </r>
  <r>
    <n v="312"/>
    <x v="311"/>
    <n v="48.410933999999997"/>
    <n v="-118.02081"/>
    <x v="0"/>
    <x v="0"/>
    <x v="7"/>
    <n v="-8"/>
    <n v="920.46666670000002"/>
    <n v="3.6585502999999999"/>
    <x v="0"/>
    <n v="0.98330439999999997"/>
    <n v="11.70377029"/>
    <n v="375.56876670000003"/>
    <n v="503.26212240000001"/>
    <n v="0.74626869375536387"/>
    <n v="0.21327397000000001"/>
    <n v="0.15915968999999999"/>
    <n v="44.853525589999997"/>
    <n v="15.49873375"/>
    <n v="115.389422"/>
    <n v="416170.24969999999"/>
    <n v="529485.1"/>
    <n v="22.927689999999998"/>
    <n v="67.781215589999988"/>
  </r>
  <r>
    <n v="313"/>
    <x v="312"/>
    <n v="48.433371999999999"/>
    <n v="-117.86038000000001"/>
    <x v="0"/>
    <x v="0"/>
    <x v="7"/>
    <n v="-8"/>
    <n v="664"/>
    <n v="3.6167026"/>
    <x v="0"/>
    <n v="0.98293319999999995"/>
    <n v="12.6036"/>
    <n v="404.44385260000001"/>
    <n v="541.95479999999998"/>
    <n v="0.7462686050571008"/>
    <n v="0.20843255999999999"/>
    <n v="0.15554667999999999"/>
    <n v="45.881763509999999"/>
    <n v="1.558233765"/>
    <n v="126.50044800000001"/>
    <n v="449189.90330000001"/>
    <n v="475548.47"/>
    <n v="21.070442"/>
    <n v="66.952205509999999"/>
  </r>
  <r>
    <n v="314"/>
    <x v="313"/>
    <n v="48.455649999999999"/>
    <n v="-117.699814"/>
    <x v="0"/>
    <x v="0"/>
    <x v="7"/>
    <n v="-8"/>
    <n v="849.2"/>
    <n v="3.5951270000000002"/>
    <x v="0"/>
    <n v="0.98287517000000002"/>
    <n v="3.2294698519999998"/>
    <n v="103.63223429999999"/>
    <n v="138.86720360000001"/>
    <n v="0.74626860492206226"/>
    <n v="0.20720395"/>
    <n v="0.15462981000000001"/>
    <n v="46.151687709999997"/>
    <n v="17.180499990000001"/>
    <n v="135.7587532"/>
    <n v="487336.57169999997"/>
    <n v="618601"/>
    <n v="27.571283000000001"/>
    <n v="73.722970709999998"/>
  </r>
  <r>
    <n v="315"/>
    <x v="314"/>
    <n v="48.477767999999998"/>
    <n v="-117.53910999999999"/>
    <x v="0"/>
    <x v="0"/>
    <x v="8"/>
    <n v="-8"/>
    <n v="1327.1"/>
    <n v="3.5495896"/>
    <x v="0"/>
    <n v="0.98245716000000005"/>
    <n v="1.69241402"/>
    <n v="54.308804340000002"/>
    <n v="72.773802849999996"/>
    <n v="0.74626860509049242"/>
    <n v="0.20770632"/>
    <n v="0.1550047"/>
    <n v="47.261640409999998"/>
    <n v="17.422266220000001"/>
    <n v="120.09345450000001"/>
    <n v="491772.13050000003"/>
    <n v="664782.75"/>
    <n v="29.557959"/>
    <n v="76.819599409999995"/>
  </r>
  <r>
    <n v="316"/>
    <x v="315"/>
    <n v="48.499724999999998"/>
    <n v="-117.37829600000001"/>
    <x v="0"/>
    <x v="0"/>
    <x v="8"/>
    <n v="-8"/>
    <n v="890.8"/>
    <n v="3.445138"/>
    <x v="0"/>
    <n v="0.98237056"/>
    <n v="7.1456574460000004"/>
    <n v="229.30095929999999"/>
    <n v="307.26327020000002"/>
    <n v="0.74626869378414884"/>
    <n v="0.19829689"/>
    <n v="0.14798275999999999"/>
    <n v="48.205268709999999"/>
    <n v="1.5672792209999999"/>
    <n v="128.00440900000001"/>
    <n v="499255.511"/>
    <n v="570474.06000000006"/>
    <n v="26.568338000000001"/>
    <n v="74.773606709999996"/>
  </r>
  <r>
    <n v="317"/>
    <x v="316"/>
    <n v="48.521520000000002"/>
    <n v="-117.21735"/>
    <x v="0"/>
    <x v="0"/>
    <x v="8"/>
    <n v="-8"/>
    <n v="1000.4117649999999"/>
    <n v="3.4947661999999999"/>
    <x v="0"/>
    <n v="0.98249920000000002"/>
    <n v="15.02339392"/>
    <n v="482.09395069999999"/>
    <n v="646.00593860000004"/>
    <n v="0.74626860512269599"/>
    <n v="0.20169482999999999"/>
    <n v="0.15051851999999999"/>
    <n v="47.398037500000001"/>
    <n v="5.1774220739999999"/>
    <n v="143.4455778"/>
    <n v="530178.27350000001"/>
    <n v="632984.93999999994"/>
    <n v="28.982979"/>
    <n v="76.381016500000001"/>
  </r>
  <r>
    <n v="318"/>
    <x v="317"/>
    <n v="48.54316"/>
    <n v="-117.056274"/>
    <x v="0"/>
    <x v="1"/>
    <x v="13"/>
    <n v="-8"/>
    <n v="962.07692310000004"/>
    <n v="3.3800626"/>
    <x v="0"/>
    <n v="0.98269419999999996"/>
    <n v="3.7869119109999998"/>
    <n v="121.52031359999999"/>
    <n v="162.83721220000001"/>
    <n v="0.74626869348970581"/>
    <n v="0.19441336000000001"/>
    <n v="0.14508459000000001"/>
    <n v="49.180927709999999"/>
    <n v="17.815798690000001"/>
    <n v="143.4455778"/>
    <n v="530178.27350000001"/>
    <n v="746084.7"/>
    <n v="35.441035999999997"/>
    <n v="84.621963709999989"/>
  </r>
  <r>
    <n v="319"/>
    <x v="318"/>
    <n v="48.564630000000001"/>
    <n v="-116.89507999999999"/>
    <x v="0"/>
    <x v="1"/>
    <x v="13"/>
    <n v="-8"/>
    <n v="818.46666670000002"/>
    <n v="3.3862429000000001"/>
    <x v="0"/>
    <n v="0.98201685999999999"/>
    <n v="15.457149319999999"/>
    <n v="496.01296610000003"/>
    <n v="664.65742060000002"/>
    <n v="0.74626860503902726"/>
    <n v="0.19408560999999999"/>
    <n v="0.14484"/>
    <n v="49.237316280000002"/>
    <n v="51.841285679999999"/>
    <n v="368.57361020000002"/>
    <n v="1403156.943"/>
    <n v="1887866.2"/>
    <n v="89.830185"/>
    <n v="139.06750127999999"/>
  </r>
  <r>
    <n v="320"/>
    <x v="319"/>
    <n v="48.585940000000001"/>
    <n v="-116.73376500000001"/>
    <x v="0"/>
    <x v="1"/>
    <x v="10"/>
    <n v="-8"/>
    <n v="1492.416667"/>
    <n v="3.4642773"/>
    <x v="0"/>
    <n v="0.98208969999999995"/>
    <n v="1.911276054"/>
    <n v="61.331981249999998"/>
    <n v="82.184870340000003"/>
    <n v="0.74626851628856627"/>
    <n v="0.20152695000000001"/>
    <n v="0.15039322999999999"/>
    <n v="48.071740810000001"/>
    <n v="29.260785689999999"/>
    <n v="368.57361020000002"/>
    <n v="1403156.943"/>
    <n v="1684292.1"/>
    <n v="77.184250000000006"/>
    <n v="125.25599081000001"/>
  </r>
  <r>
    <n v="321"/>
    <x v="320"/>
    <n v="48.607093999999996"/>
    <n v="-116.57232999999999"/>
    <x v="0"/>
    <x v="1"/>
    <x v="10"/>
    <n v="-8"/>
    <n v="1396.375"/>
    <n v="3.4392008999999999"/>
    <x v="0"/>
    <n v="0.98220589999999997"/>
    <n v="3.130488089"/>
    <n v="100.4559541"/>
    <n v="134.6109878"/>
    <n v="0.7462686051249674"/>
    <n v="0.20008567999999999"/>
    <n v="0.1493177"/>
    <n v="47.76802035"/>
    <n v="13.73866233"/>
    <n v="377.87029200000001"/>
    <n v="1440230.074"/>
    <n v="1610223.8"/>
    <n v="74.321526000000006"/>
    <n v="122.08954635000001"/>
  </r>
  <r>
    <n v="322"/>
    <x v="321"/>
    <n v="48.628079999999997"/>
    <n v="-116.41077"/>
    <x v="0"/>
    <x v="1"/>
    <x v="10"/>
    <n v="-8"/>
    <n v="831.73684209999999"/>
    <n v="3.517077"/>
    <x v="0"/>
    <n v="0.98252916000000001"/>
    <n v="21.067289209999998"/>
    <n v="676.0398308"/>
    <n v="905.89343599999995"/>
    <n v="0.7462686050415317"/>
    <n v="0.20221917"/>
    <n v="0.15090983999999999"/>
    <n v="47.276256580000002"/>
    <n v="3.281025971"/>
    <n v="387.50248679999999"/>
    <n v="1482382.004"/>
    <n v="1552303.4"/>
    <n v="70.892240000000001"/>
    <n v="118.16849658000001"/>
  </r>
  <r>
    <n v="323"/>
    <x v="322"/>
    <n v="48.648907000000001"/>
    <n v="-116.249084"/>
    <x v="0"/>
    <x v="1"/>
    <x v="10"/>
    <n v="-8"/>
    <n v="809.25"/>
    <n v="3.5758622"/>
    <x v="0"/>
    <n v="0.98282944999999999"/>
    <n v="17.22845676"/>
    <n v="552.85342500000002"/>
    <n v="740.82364080000002"/>
    <n v="0.74626860503936554"/>
    <n v="0.20591404999999999"/>
    <n v="0.15366721"/>
    <n v="46.439090200000003"/>
    <n v="7.7874220740000002"/>
    <n v="396.70012320000001"/>
    <n v="1520048.6880000001"/>
    <n v="1586959.5"/>
    <n v="71.174480000000003"/>
    <n v="117.6135702"/>
  </r>
  <r>
    <n v="324"/>
    <x v="323"/>
    <n v="48.66957"/>
    <n v="-116.08729"/>
    <x v="0"/>
    <x v="1"/>
    <x v="10"/>
    <n v="-8"/>
    <n v="878.125"/>
    <n v="3.4515444999999998"/>
    <x v="0"/>
    <n v="0.98309857"/>
    <n v="20.687724320000001"/>
    <n v="663.85976419999997"/>
    <n v="889.5721456"/>
    <n v="0.74626860506321135"/>
    <n v="0.19834636"/>
    <n v="0.14801966999999999"/>
    <n v="48.221288049999998"/>
    <n v="0.43455844100000002"/>
    <n v="414.78592190000001"/>
    <n v="1604597.399"/>
    <n v="1645658.2"/>
    <n v="76.623115999999996"/>
    <n v="124.84440404999999"/>
  </r>
  <r>
    <n v="325"/>
    <x v="324"/>
    <n v="48.690066999999999"/>
    <n v="-115.92537"/>
    <x v="0"/>
    <x v="2"/>
    <x v="14"/>
    <n v="-7"/>
    <n v="1027"/>
    <n v="3.4090997999999999"/>
    <x v="0"/>
    <n v="0.9833383"/>
    <n v="2.1390478910000001"/>
    <n v="68.641092459999996"/>
    <n v="91.979059320000005"/>
    <n v="0.746268693846868"/>
    <n v="0.19592655"/>
    <n v="0.14621386"/>
    <n v="48.909064800000003"/>
    <n v="12.12396103"/>
    <n v="362.84714270000001"/>
    <n v="1621424.642"/>
    <n v="1785821.4"/>
    <n v="84.176169999999999"/>
    <n v="133.08523479999999"/>
  </r>
  <r>
    <n v="326"/>
    <x v="325"/>
    <n v="48.710406999999996"/>
    <n v="-115.763336"/>
    <x v="0"/>
    <x v="2"/>
    <x v="14"/>
    <n v="-7"/>
    <n v="1253.5714290000001"/>
    <n v="3.4651402999999998"/>
    <x v="0"/>
    <n v="0.98369366000000003"/>
    <n v="0.78861606699999998"/>
    <n v="25.306331709999998"/>
    <n v="33.910490869999997"/>
    <n v="0.74626851634247671"/>
    <n v="0.20033681"/>
    <n v="0.14950506"/>
    <n v="53.245264669999997"/>
    <n v="24.03438959"/>
    <n v="355.64604530000003"/>
    <n v="1582315.5260000001"/>
    <n v="1838025.1"/>
    <n v="84.729590000000002"/>
    <n v="137.97485467000001"/>
  </r>
  <r>
    <n v="327"/>
    <x v="326"/>
    <n v="48.730583000000003"/>
    <n v="-115.60118"/>
    <x v="0"/>
    <x v="2"/>
    <x v="14"/>
    <n v="-7"/>
    <n v="1284.5"/>
    <n v="3.4675145000000001"/>
    <x v="0"/>
    <n v="0.98391289999999998"/>
    <n v="2.6435158809999999"/>
    <n v="84.829245180000001"/>
    <n v="113.67118290000001"/>
    <n v="0.74626869375175642"/>
    <n v="0.19991033999999999"/>
    <n v="0.14918680000000001"/>
    <n v="47.875163030000003"/>
    <n v="34.956370110000002"/>
    <n v="355.64604530000003"/>
    <n v="1582315.5260000001"/>
    <n v="1993938"/>
    <n v="92.112970000000004"/>
    <n v="139.98813303"/>
  </r>
  <r>
    <n v="328"/>
    <x v="327"/>
    <n v="48.750594999999997"/>
    <n v="-115.43891000000001"/>
    <x v="0"/>
    <x v="2"/>
    <x v="14"/>
    <n v="-7"/>
    <n v="1262"/>
    <n v="3.4774639999999999"/>
    <x v="0"/>
    <n v="0.98403839999999998"/>
    <n v="0.15778799600000001"/>
    <n v="5.0633457990000004"/>
    <n v="6.7848838410000001"/>
    <n v="0.74626860498377101"/>
    <n v="0.20314616999999999"/>
    <n v="0.15160162999999999"/>
    <n v="62.771000520000001"/>
    <n v="47.356727239999998"/>
    <n v="293.43996090000002"/>
    <n v="1211180.9369999999"/>
    <n v="1672703.9"/>
    <n v="76.04222"/>
    <n v="138.81322052000002"/>
  </r>
  <r>
    <n v="329"/>
    <x v="328"/>
    <n v="48.770443"/>
    <n v="-115.27652999999999"/>
    <x v="0"/>
    <x v="2"/>
    <x v="14"/>
    <n v="-7"/>
    <n v="1232.5714290000001"/>
    <n v="3.5157747000000001"/>
    <x v="0"/>
    <n v="0.98417639999999995"/>
    <n v="0.202824007"/>
    <n v="6.5085303569999997"/>
    <n v="8.7214323189999998"/>
    <n v="0.74626851633313696"/>
    <n v="0.20421658000000001"/>
    <n v="0.15240044999999999"/>
    <n v="60.709614600000002"/>
    <n v="38.826370109999999"/>
    <n v="277.9694609"/>
    <n v="1119163.2320000001"/>
    <n v="1452881.5"/>
    <n v="65.702759999999998"/>
    <n v="126.41237459999999"/>
  </r>
  <r>
    <n v="330"/>
    <x v="329"/>
    <n v="48.790126999999998"/>
    <n v="-115.11402"/>
    <x v="0"/>
    <x v="2"/>
    <x v="14"/>
    <n v="-7"/>
    <n v="1139.7142859999999"/>
    <n v="3.5090281999999999"/>
    <x v="0"/>
    <n v="0.98435664"/>
    <n v="12.254327050000001"/>
    <n v="393.23584080000001"/>
    <n v="526.93606320000004"/>
    <n v="0.74626860498395275"/>
    <n v="0.20392504"/>
    <n v="0.15218287999999999"/>
    <n v="46.94924623"/>
    <n v="25.784318160000002"/>
    <n v="277.9694609"/>
    <n v="1119163.2320000001"/>
    <n v="1343594.5"/>
    <n v="60.847403999999997"/>
    <n v="107.79665023"/>
  </r>
  <r>
    <n v="331"/>
    <x v="330"/>
    <n v="48.809646999999998"/>
    <n v="-114.95140000000001"/>
    <x v="0"/>
    <x v="2"/>
    <x v="14"/>
    <n v="-7"/>
    <n v="970.1333333"/>
    <n v="3.3820386"/>
    <x v="0"/>
    <n v="0.98441380000000001"/>
    <n v="43.128691259999997"/>
    <n v="1383.9802950000001"/>
    <n v="1854.5337239999999"/>
    <n v="0.74626860492724056"/>
    <n v="0.19405755"/>
    <n v="0.14481907999999999"/>
    <n v="49.338791290000003"/>
    <n v="15.407636350000001"/>
    <n v="277.9694609"/>
    <n v="1119163.2320000001"/>
    <n v="1248522.3999999999"/>
    <n v="59.416927000000001"/>
    <n v="108.75571829"/>
  </r>
  <r>
    <n v="332"/>
    <x v="331"/>
    <n v="48.829006"/>
    <n v="-114.78868"/>
    <x v="0"/>
    <x v="2"/>
    <x v="14"/>
    <n v="-7"/>
    <n v="1196"/>
    <n v="3.3130000000000002"/>
    <x v="0"/>
    <n v="0.98142563999999999"/>
    <n v="5.6376000000000002E-2"/>
    <n v="1.8090804819999999"/>
    <n v="2.4241680130000001"/>
    <n v="0.74626860526931638"/>
    <n v="0.19052646000000001"/>
    <n v="0.14218392999999999"/>
    <n v="75.09337644"/>
    <n v="19.48057141"/>
    <n v="277.9694609"/>
    <n v="1119163.2320000001"/>
    <n v="1320627.6000000001"/>
    <n v="64.013199999999998"/>
    <n v="139.10657644"/>
  </r>
  <r>
    <n v="333"/>
    <x v="332"/>
    <n v="48.867226000000002"/>
    <n v="-114.46289"/>
    <x v="0"/>
    <x v="2"/>
    <x v="16"/>
    <n v="-7"/>
    <n v="1269.4000000000001"/>
    <n v="3.4131236"/>
    <x v="0"/>
    <n v="0.98145150000000003"/>
    <n v="6.9280920589999999"/>
    <n v="222.31938310000001"/>
    <n v="297.90795859999997"/>
    <n v="0.74626869367564463"/>
    <n v="0.19706415999999999"/>
    <n v="0.14706279999999999"/>
    <n v="48.47119721"/>
    <n v="38.073935030000001"/>
    <n v="271.89468820000002"/>
    <n v="1084734.3330000001"/>
    <n v="1469621.6"/>
    <n v="68.871930000000006"/>
    <n v="117.34312721000001"/>
  </r>
  <r>
    <n v="334"/>
    <x v="333"/>
    <n v="48.886090000000003"/>
    <n v="-114.29982"/>
    <x v="0"/>
    <x v="2"/>
    <x v="16"/>
    <n v="-7"/>
    <n v="1186.333333"/>
    <n v="3.4007947000000001"/>
    <x v="0"/>
    <n v="0.98146146999999995"/>
    <n v="2.3311799010000001"/>
    <n v="74.80652293"/>
    <n v="100.2407357"/>
    <n v="0.74626869413529251"/>
    <n v="0.19595660000000001"/>
    <n v="0.14623627"/>
    <n v="48.745541969999998"/>
    <n v="50.583480479999999"/>
    <n v="256.31235049999998"/>
    <n v="994259.30619999999"/>
    <n v="1494335.2"/>
    <n v="70.425929999999994"/>
    <n v="119.17147197"/>
  </r>
  <r>
    <n v="335"/>
    <x v="334"/>
    <n v="48.959899999999998"/>
    <n v="-113.646484"/>
    <x v="0"/>
    <x v="2"/>
    <x v="19"/>
    <n v="-7"/>
    <n v="1707.6"/>
    <n v="3.6546047000000002"/>
    <x v="0"/>
    <n v="0.98153800000000002"/>
    <n v="4.3127640200000004"/>
    <n v="138.39465670000001"/>
    <n v="185.44885289999999"/>
    <n v="0.74626860471672418"/>
    <n v="0.22051974999999999"/>
    <n v="0.16456698"/>
    <n v="43.318545579999999"/>
    <n v="28.477922060000001"/>
    <n v="291.48444790000002"/>
    <n v="795282.28289999999"/>
    <n v="1048441.25"/>
    <n v="43.907733999999998"/>
    <n v="87.226279579999996"/>
  </r>
  <r>
    <n v="336"/>
    <x v="335"/>
    <n v="48.977936"/>
    <n v="-113.48287999999999"/>
    <x v="0"/>
    <x v="2"/>
    <x v="19"/>
    <n v="-7"/>
    <n v="1522.727273"/>
    <n v="3.6737301000000002"/>
    <x v="0"/>
    <n v="0.98157139999999998"/>
    <n v="39.098700000000001"/>
    <n v="1254.6596890000001"/>
    <n v="1681.2440999999999"/>
    <n v="0.74626860489800395"/>
    <n v="0.22279428000000001"/>
    <n v="0.16626440000000001"/>
    <n v="42.877446480000003"/>
    <n v="21.112266219999999"/>
    <n v="291.48444790000002"/>
    <n v="795282.28289999999"/>
    <n v="949387.7"/>
    <n v="39.353554000000003"/>
    <n v="82.231000480000006"/>
  </r>
  <r>
    <n v="337"/>
    <x v="336"/>
    <n v="48.995809999999999"/>
    <n v="-113.31917"/>
    <x v="0"/>
    <x v="2"/>
    <x v="19"/>
    <n v="-7"/>
    <n v="1407.8888890000001"/>
    <n v="3.6556864"/>
    <x v="0"/>
    <n v="0.98159724000000004"/>
    <n v="28.45141216"/>
    <n v="912.99290499999995"/>
    <n v="1223.410723"/>
    <n v="0.74626851623565504"/>
    <n v="0.22323277999999999"/>
    <n v="0.16659162999999999"/>
    <n v="42.794115339999998"/>
    <n v="17.560142849999998"/>
    <n v="283.56709719999998"/>
    <n v="767152.33550000004"/>
    <n v="903386.3"/>
    <n v="37.373173000000001"/>
    <n v="80.167288339999999"/>
  </r>
  <r>
    <n v="338"/>
    <x v="337"/>
    <n v="47.319583999999999"/>
    <n v="-124.12335"/>
    <x v="0"/>
    <x v="0"/>
    <x v="15"/>
    <n v="-8"/>
    <n v="85.473684210000002"/>
    <n v="3.1586344"/>
    <x v="0"/>
    <n v="1.0208492"/>
    <n v="87.884351370000005"/>
    <n v="2820.1692889999999"/>
    <n v="3779.0271090000001"/>
    <n v="0.74626860502894576"/>
    <n v="0.18396652999999999"/>
    <n v="0.13728845000000001"/>
    <n v="53.558141759999998"/>
    <n v="17.966012970000001"/>
    <n v="271.5044479"/>
    <n v="949583.45409999997"/>
    <n v="1087684.5"/>
    <n v="54.601993999999998"/>
    <n v="108.16013576"/>
  </r>
  <r>
    <n v="339"/>
    <x v="338"/>
    <n v="47.348059999999997"/>
    <n v="-123.96867"/>
    <x v="0"/>
    <x v="0"/>
    <x v="15"/>
    <n v="-8"/>
    <n v="110.6111111"/>
    <n v="3.1039789"/>
    <x v="0"/>
    <n v="1.0207516000000001"/>
    <n v="71.576456840000006"/>
    <n v="2296.8562919999999"/>
    <n v="3077.787644"/>
    <n v="0.74626860513837323"/>
    <n v="0.17830461"/>
    <n v="0.13306314999999999"/>
    <n v="55.254655700000001"/>
    <n v="11.24205194"/>
    <n v="271.5044479"/>
    <n v="949583.45409999997"/>
    <n v="1059641.2"/>
    <n v="54.883360000000003"/>
    <n v="110.13801570000001"/>
  </r>
  <r>
    <n v="340"/>
    <x v="339"/>
    <n v="47.376390000000001"/>
    <n v="-123.81384"/>
    <x v="0"/>
    <x v="0"/>
    <x v="15"/>
    <n v="-8"/>
    <n v="247"/>
    <n v="3.0818509999999999"/>
    <x v="0"/>
    <n v="1.0206838"/>
    <n v="5.4717121579999999"/>
    <n v="175.58478099999999"/>
    <n v="235.28362279999999"/>
    <n v="0.74626860514322202"/>
    <n v="0.17547876000000001"/>
    <n v="0.1309543"/>
    <n v="56.14149742"/>
    <n v="16.70601297"/>
    <n v="271.5044479"/>
    <n v="949583.45409999997"/>
    <n v="1101759.8"/>
    <n v="57.983809999999998"/>
    <n v="114.12530742"/>
  </r>
  <r>
    <n v="341"/>
    <x v="340"/>
    <n v="47.404555999999999"/>
    <n v="-123.65886"/>
    <x v="0"/>
    <x v="0"/>
    <x v="15"/>
    <n v="-8"/>
    <n v="342.4"/>
    <n v="3.1438486999999999"/>
    <x v="0"/>
    <n v="1.020651"/>
    <n v="6.6342243160000001"/>
    <n v="212.889273"/>
    <n v="285.2716456"/>
    <n v="0.74626860497207437"/>
    <n v="0.18043718"/>
    <n v="0.13465461000000001"/>
    <n v="54.597341919999998"/>
    <n v="27.109831150000002"/>
    <n v="271.5044479"/>
    <n v="949583.45409999997"/>
    <n v="1211457.8999999999"/>
    <n v="62.004997000000003"/>
    <n v="116.60233891999999"/>
  </r>
  <r>
    <n v="342"/>
    <x v="341"/>
    <n v="47.460445"/>
    <n v="-123.348434"/>
    <x v="0"/>
    <x v="0"/>
    <x v="17"/>
    <n v="-8"/>
    <n v="517"/>
    <n v="3.3080002999999998"/>
    <x v="0"/>
    <n v="1.0208024"/>
    <n v="5.5079999999999999E-3"/>
    <n v="0.176749243"/>
    <n v="0.236844002"/>
    <n v="0.7462686051048909"/>
    <n v="0.19170825"/>
    <n v="0.14306587000000001"/>
    <n v="101.6113637"/>
    <n v="16.51322077"/>
    <n v="193.420896"/>
    <n v="609422.67050000001"/>
    <n v="757197.06"/>
    <n v="36.476447999999998"/>
    <n v="138.0878117"/>
  </r>
  <r>
    <n v="343"/>
    <x v="342"/>
    <n v="47.488160000000001"/>
    <n v="-123.19298999999999"/>
    <x v="0"/>
    <x v="0"/>
    <x v="17"/>
    <n v="-8"/>
    <n v="412.6"/>
    <n v="3.2671399999999999"/>
    <x v="0"/>
    <n v="1.0208105999999999"/>
    <n v="15.52737568"/>
    <n v="498.26655790000001"/>
    <n v="667.67715439999995"/>
    <n v="0.74626869380870353"/>
    <n v="0.18806571"/>
    <n v="0.14034756000000001"/>
    <n v="52.38917841"/>
    <n v="5.2674220739999997"/>
    <n v="207.2431622"/>
    <n v="655676.57889999996"/>
    <n v="742498.5"/>
    <n v="36.461150000000004"/>
    <n v="88.850328410000003"/>
  </r>
  <r>
    <n v="344"/>
    <x v="343"/>
    <n v="47.543132999999997"/>
    <n v="-122.88164999999999"/>
    <x v="0"/>
    <x v="0"/>
    <x v="11"/>
    <n v="-8"/>
    <n v="161.11111109999999"/>
    <n v="3.2770402000000001"/>
    <x v="0"/>
    <n v="1.0210281999999999"/>
    <n v="52.030516110000001"/>
    <n v="1669.6356510000001"/>
    <n v="2237.3121930000002"/>
    <n v="0.74626851640279779"/>
    <n v="0.18623175"/>
    <n v="0.13897891000000001"/>
    <n v="52.91402231"/>
    <n v="16.674032459999999"/>
    <n v="203.75125310000001"/>
    <n v="653289.25870000001"/>
    <n v="774214.06"/>
    <n v="38.392975"/>
    <n v="91.30699731"/>
  </r>
  <r>
    <n v="345"/>
    <x v="344"/>
    <n v="47.570390000000003"/>
    <n v="-122.72577"/>
    <x v="0"/>
    <x v="0"/>
    <x v="11"/>
    <n v="-8"/>
    <n v="137.92857140000001"/>
    <n v="3.2889971999999998"/>
    <x v="0"/>
    <n v="1.021139"/>
    <n v="15.14035745"/>
    <n v="485.84731529999999"/>
    <n v="651.03537019999999"/>
    <n v="0.74626869374354621"/>
    <n v="0.18917510000000001"/>
    <n v="0.14117542999999999"/>
    <n v="52.09522235"/>
    <n v="0.70455844099999998"/>
    <n v="227.39366219999999"/>
    <n v="746716.15040000004"/>
    <n v="791903.7"/>
    <n v="38.659194999999997"/>
    <n v="90.754417349999997"/>
  </r>
  <r>
    <n v="346"/>
    <x v="345"/>
    <n v="47.597492000000003"/>
    <n v="-122.56973000000001"/>
    <x v="0"/>
    <x v="0"/>
    <x v="11"/>
    <n v="-8"/>
    <n v="50.125"/>
    <n v="3.3071628"/>
    <x v="0"/>
    <n v="1.0212213000000001"/>
    <n v="3.1709067630000001"/>
    <n v="101.7529833"/>
    <n v="136.3489908"/>
    <n v="0.74626869405475649"/>
    <n v="0.18974907999999999"/>
    <n v="0.1416038"/>
    <n v="51.940951099999999"/>
    <n v="3.979188309"/>
    <n v="276.78575960000001"/>
    <n v="964315.01560000004"/>
    <n v="1018719.4"/>
    <n v="49.58146"/>
    <n v="101.5224111"/>
  </r>
  <r>
    <n v="347"/>
    <x v="346"/>
    <n v="47.624442999999999"/>
    <n v="-122.41354"/>
    <x v="0"/>
    <x v="0"/>
    <x v="18"/>
    <n v="-8"/>
    <n v="47.142857139999997"/>
    <n v="3.3895729000000001"/>
    <x v="0"/>
    <n v="1.0212996999999999"/>
    <n v="0.55946699799999999"/>
    <n v="17.953044200000001"/>
    <n v="24.057080890000002"/>
    <n v="0.74626860515993387"/>
    <n v="0.19386682"/>
    <n v="0.14467672000000001"/>
    <n v="58.900229160000002"/>
    <n v="5.2519805149999996"/>
    <n v="8.1628636330000006"/>
    <n v="33734.327799999999"/>
    <n v="69891.88"/>
    <n v="3.3294131999999999"/>
    <n v="62.22964236"/>
  </r>
  <r>
    <n v="348"/>
    <x v="347"/>
    <n v="47.651237000000002"/>
    <n v="-122.25721"/>
    <x v="0"/>
    <x v="0"/>
    <x v="18"/>
    <n v="-8"/>
    <n v="57.866666670000001"/>
    <n v="3.2548401"/>
    <x v="0"/>
    <n v="1.0212890999999999"/>
    <n v="3.1826518620000002"/>
    <n v="102.12987819999999"/>
    <n v="136.85402999999999"/>
    <n v="0.74626869373156202"/>
    <n v="0.18529092"/>
    <n v="0.13827681999999999"/>
    <n v="53.193456419999997"/>
    <n v="5.1710259709999997"/>
    <n v="11.391168820000001"/>
    <n v="53438.662980000001"/>
    <n v="177400.62"/>
    <n v="8.8418960000000002"/>
    <n v="62.035352419999995"/>
  </r>
  <r>
    <n v="349"/>
    <x v="348"/>
    <n v="47.677880000000002"/>
    <n v="-122.10074"/>
    <x v="0"/>
    <x v="0"/>
    <x v="18"/>
    <n v="-8"/>
    <n v="89.166666669999998"/>
    <n v="3.1389040000000001"/>
    <x v="0"/>
    <n v="1.0211878999999999"/>
    <n v="12.01157029"/>
    <n v="385.44593140000001"/>
    <n v="516.49752239999998"/>
    <n v="0.74626869381474503"/>
    <n v="0.17677358000000001"/>
    <n v="0.13192059"/>
    <n v="55.752063720000002"/>
    <n v="1.356396103"/>
    <n v="48.892025949999997"/>
    <n v="197601.63070000001"/>
    <n v="225658.36"/>
    <n v="11.7890415"/>
    <n v="67.541105220000006"/>
  </r>
  <r>
    <n v="350"/>
    <x v="349"/>
    <n v="47.704369999999997"/>
    <n v="-121.94410999999999"/>
    <x v="0"/>
    <x v="0"/>
    <x v="18"/>
    <n v="-8"/>
    <n v="141.44444440000001"/>
    <n v="3.0657260000000002"/>
    <x v="0"/>
    <n v="1.0209303999999999"/>
    <n v="27.612089210000001"/>
    <n v="886.05962309999995"/>
    <n v="1187.3198359999999"/>
    <n v="0.74626869377090066"/>
    <n v="0.17137958"/>
    <n v="0.12789519999999999"/>
    <n v="57.495320929999998"/>
    <n v="0.27"/>
    <n v="64.609590870000005"/>
    <n v="260006.3014"/>
    <n v="298430.62"/>
    <n v="16.081579999999999"/>
    <n v="73.576900929999994"/>
  </r>
  <r>
    <n v="351"/>
    <x v="350"/>
    <n v="47.730697999999997"/>
    <n v="-121.78734"/>
    <x v="0"/>
    <x v="0"/>
    <x v="18"/>
    <n v="-8"/>
    <n v="388.61538460000003"/>
    <n v="3.0183453999999998"/>
    <x v="0"/>
    <n v="1.0203518"/>
    <n v="9.9633243159999996"/>
    <n v="319.718594"/>
    <n v="428.42294559999999"/>
    <n v="0.74626860508658999"/>
    <n v="0.16968196999999999"/>
    <n v="0.12662834000000001"/>
    <n v="58.044485659999999"/>
    <n v="3.2437467500000001"/>
    <n v="76.538110349999997"/>
    <n v="322507.76030000002"/>
    <n v="388944.56"/>
    <n v="21.168807999999999"/>
    <n v="79.213293660000005"/>
  </r>
  <r>
    <n v="352"/>
    <x v="351"/>
    <n v="47.756878"/>
    <n v="-121.63042"/>
    <x v="0"/>
    <x v="0"/>
    <x v="18"/>
    <n v="-8"/>
    <n v="725.125"/>
    <n v="3.0202464999999998"/>
    <x v="0"/>
    <n v="1.0197240999999999"/>
    <n v="1.0244880270000001"/>
    <n v="32.875363700000001"/>
    <n v="44.052985169999999"/>
    <n v="0.7462686937816887"/>
    <n v="0.17297045999999999"/>
    <n v="0.12908241000000001"/>
    <n v="61.708198760000002"/>
    <n v="14.703077909999999"/>
    <n v="102.43865580000001"/>
    <n v="380717.73609999998"/>
    <n v="513677.06"/>
    <n v="27.426010000000002"/>
    <n v="89.134208760000007"/>
  </r>
  <r>
    <n v="353"/>
    <x v="352"/>
    <n v="47.782898000000003"/>
    <n v="-121.47336"/>
    <x v="0"/>
    <x v="0"/>
    <x v="6"/>
    <n v="-8"/>
    <n v="405"/>
    <n v="2.9938411999999999"/>
    <x v="1"/>
    <n v="1.019242"/>
    <n v="0.15487199099999999"/>
    <n v="4.9697731039999997"/>
    <n v="6.6594956280000002"/>
    <n v="0.74626869384889694"/>
    <n v="0.16788879000000001"/>
    <n v="0.12529013"/>
    <n v="78.398432189999994"/>
    <n v="1.0491168820000001"/>
    <n v="108.2743116"/>
    <n v="421864.65120000002"/>
    <n v="480947.38"/>
    <n v="26.455760999999999"/>
    <n v="104.85419318999999"/>
  </r>
  <r>
    <n v="354"/>
    <x v="353"/>
    <n v="47.910682999999999"/>
    <n v="-120.68591000000001"/>
    <x v="0"/>
    <x v="0"/>
    <x v="12"/>
    <n v="-8"/>
    <n v="908.16666669999995"/>
    <n v="3.8104955999999999"/>
    <x v="0"/>
    <n v="1.012168"/>
    <n v="1.36209603"/>
    <n v="43.709048670000001"/>
    <n v="58.570129280000003"/>
    <n v="0.74626860495808012"/>
    <n v="0.22446506999999999"/>
    <n v="0.16751125"/>
    <n v="45.834590710000001"/>
    <n v="15.314987"/>
    <n v="172.5616363"/>
    <n v="607159.78839999996"/>
    <n v="788964.1"/>
    <n v="32.460326999999999"/>
    <n v="78.294917709999993"/>
  </r>
  <r>
    <n v="355"/>
    <x v="354"/>
    <n v="47.960700000000003"/>
    <n v="-120.36995"/>
    <x v="0"/>
    <x v="0"/>
    <x v="12"/>
    <n v="-8"/>
    <n v="1822"/>
    <n v="4.0179995999999996"/>
    <x v="2"/>
    <n v="1.008429"/>
    <n v="5.3784002999999997E-2"/>
    <n v="1.725904447"/>
    <n v="2.31271212"/>
    <n v="0.7462686047582956"/>
    <n v="0.24482509999999999"/>
    <n v="0.18270529999999999"/>
    <n v="60.142369979999998"/>
    <n v="19.691454530000001"/>
    <n v="183.38347390000001"/>
    <n v="593980.13340000005"/>
    <n v="800698.1"/>
    <n v="30.203503000000001"/>
    <n v="90.345872979999996"/>
  </r>
  <r>
    <n v="356"/>
    <x v="355"/>
    <n v="47.985474000000004"/>
    <n v="-120.21176"/>
    <x v="0"/>
    <x v="0"/>
    <x v="12"/>
    <n v="-8"/>
    <n v="636"/>
    <n v="3.9390695"/>
    <x v="0"/>
    <n v="1.0062070999999999"/>
    <n v="0.52261203499999997"/>
    <n v="16.770385019999999"/>
    <n v="22.472317489999998"/>
    <n v="0.74626860480512014"/>
    <n v="0.23689284999999999"/>
    <n v="0.17678569999999999"/>
    <n v="47.976821049999998"/>
    <n v="12.212863629999999"/>
    <n v="183.20347390000001"/>
    <n v="593476.73540000001"/>
    <n v="740723.44"/>
    <n v="28.876764000000001"/>
    <n v="76.853585049999992"/>
  </r>
  <r>
    <n v="357"/>
    <x v="356"/>
    <n v="48.010094000000002"/>
    <n v="-120.05342"/>
    <x v="0"/>
    <x v="0"/>
    <x v="3"/>
    <n v="-8"/>
    <n v="1001.555556"/>
    <n v="3.9731255000000001"/>
    <x v="0"/>
    <n v="1.0039463"/>
    <n v="0.63342003700000005"/>
    <n v="20.326163959999999"/>
    <n v="27.23706159"/>
    <n v="0.74626860510763338"/>
    <n v="0.24110627000000001"/>
    <n v="0.17993006"/>
    <n v="46.067850450000002"/>
    <n v="11.61484415"/>
    <n v="195.6241168"/>
    <n v="577405.97620000003"/>
    <n v="720482.9"/>
    <n v="27.596855000000001"/>
    <n v="73.66470545"/>
  </r>
  <r>
    <n v="358"/>
    <x v="357"/>
    <n v="48.034554"/>
    <n v="-119.89496"/>
    <x v="0"/>
    <x v="0"/>
    <x v="3"/>
    <n v="-8"/>
    <n v="560.25"/>
    <n v="3.9428592"/>
    <x v="0"/>
    <n v="1.0020032000000001"/>
    <n v="14.14259901"/>
    <n v="453.82969229999998"/>
    <n v="608.13175750000005"/>
    <n v="0.74626869375424776"/>
    <n v="0.23668787999999999"/>
    <n v="0.17663275000000001"/>
    <n v="41.01999515"/>
    <n v="2.9210259710000002"/>
    <n v="195.53411679999999"/>
    <n v="577044.15890000004"/>
    <n v="641631.5"/>
    <n v="25.035374000000001"/>
    <n v="66.055369150000004"/>
  </r>
  <r>
    <n v="359"/>
    <x v="358"/>
    <n v="48.058857000000003"/>
    <n v="-119.73636"/>
    <x v="0"/>
    <x v="0"/>
    <x v="3"/>
    <n v="-8"/>
    <n v="545"/>
    <n v="3.9241822000000002"/>
    <x v="0"/>
    <n v="0.999857"/>
    <n v="15.765030400000001"/>
    <n v="505.8927314"/>
    <n v="677.89630699999998"/>
    <n v="0.74626860505968207"/>
    <n v="0.23631278999999999"/>
    <n v="0.17635284000000001"/>
    <n v="41.015716390000001"/>
    <n v="1.362792206"/>
    <n v="174.56082459999999"/>
    <n v="481601.50280000002"/>
    <n v="531807.4"/>
    <n v="20.783156999999999"/>
    <n v="61.798873389999997"/>
  </r>
  <r>
    <n v="360"/>
    <x v="359"/>
    <n v="48.082999999999998"/>
    <n v="-119.57762"/>
    <x v="0"/>
    <x v="0"/>
    <x v="3"/>
    <n v="-8"/>
    <n v="575.8823529"/>
    <n v="3.9183091999999999"/>
    <x v="0"/>
    <n v="0.9980985"/>
    <n v="26.021327119999999"/>
    <n v="835.01287679999996"/>
    <n v="1118.917066"/>
    <n v="0.74626878271244457"/>
    <n v="0.23729005"/>
    <n v="0.17708212000000001"/>
    <n v="40.790201959999997"/>
    <n v="4.2736753240000001"/>
    <n v="173.52979859999999"/>
    <n v="485964.42810000002"/>
    <n v="558177.5"/>
    <n v="21.723870000000002"/>
    <n v="62.514071959999995"/>
  </r>
  <r>
    <n v="361"/>
    <x v="360"/>
    <n v="48.106994999999998"/>
    <n v="-119.418755"/>
    <x v="0"/>
    <x v="0"/>
    <x v="3"/>
    <n v="-8"/>
    <n v="634.05263160000004"/>
    <n v="3.8931993999999999"/>
    <x v="0"/>
    <n v="0.99552039999999997"/>
    <n v="49.848214749999997"/>
    <n v="1599.6065900000001"/>
    <n v="2143.473234"/>
    <n v="0.74626851626923563"/>
    <n v="0.23649205000000001"/>
    <n v="0.17648660999999999"/>
    <n v="40.84454787"/>
    <n v="9.1720519419999995"/>
    <n v="145.1877466"/>
    <n v="407296.6703"/>
    <n v="480063.72"/>
    <n v="18.746782"/>
    <n v="59.591329869999996"/>
  </r>
  <r>
    <n v="362"/>
    <x v="361"/>
    <n v="48.13082"/>
    <n v="-119.25973999999999"/>
    <x v="0"/>
    <x v="0"/>
    <x v="3"/>
    <n v="-8"/>
    <n v="550.8666667"/>
    <n v="3.8800482999999999"/>
    <x v="0"/>
    <n v="0.99332094000000004"/>
    <n v="34.452052729999998"/>
    <n v="1105.551001"/>
    <n v="1481.4382680000001"/>
    <n v="0.74626869366115223"/>
    <n v="0.23518074999999999"/>
    <n v="0.17550805"/>
    <n v="41.000836730000003"/>
    <n v="1.6700714270000001"/>
    <n v="139.51664930000001"/>
    <n v="392324.69390000001"/>
    <n v="440427.88"/>
    <n v="17.294874"/>
    <n v="58.295710730000003"/>
  </r>
  <r>
    <n v="363"/>
    <x v="362"/>
    <n v="48.154490000000003"/>
    <n v="-119.10061"/>
    <x v="0"/>
    <x v="0"/>
    <x v="3"/>
    <n v="-8"/>
    <n v="644.66666669999995"/>
    <n v="3.8304303000000002"/>
    <x v="0"/>
    <n v="0.99160280000000001"/>
    <n v="12.46257971"/>
    <n v="399.91852749999998"/>
    <n v="535.89092760000005"/>
    <n v="0.74626851641442105"/>
    <n v="0.23184769"/>
    <n v="0.17302068000000001"/>
    <n v="41.533650469999998"/>
    <n v="9.8803571340000005"/>
    <n v="138.28488300000001"/>
    <n v="390752.50829999999"/>
    <n v="478955.6"/>
    <n v="19.078178000000001"/>
    <n v="60.611828469999999"/>
  </r>
  <r>
    <n v="364"/>
    <x v="363"/>
    <n v="48.177999999999997"/>
    <n v="-118.94132999999999"/>
    <x v="0"/>
    <x v="0"/>
    <x v="3"/>
    <n v="-8"/>
    <n v="707.375"/>
    <n v="3.8139842000000002"/>
    <x v="0"/>
    <n v="0.98951982999999999"/>
    <n v="51.929586469999997"/>
    <n v="1666.3968649999999"/>
    <n v="2232.9722179999999"/>
    <n v="0.74626851671828554"/>
    <n v="0.22997450999999999"/>
    <n v="0.17162278"/>
    <n v="41.802764680000003"/>
    <n v="6.6057272659999997"/>
    <n v="138.28488300000001"/>
    <n v="390752.50829999999"/>
    <n v="456460.88"/>
    <n v="18.330244"/>
    <n v="60.133008680000003"/>
  </r>
  <r>
    <n v="365"/>
    <x v="364"/>
    <n v="48.201363000000001"/>
    <n v="-118.78192"/>
    <x v="0"/>
    <x v="0"/>
    <x v="5"/>
    <n v="-8"/>
    <n v="879.44444439999995"/>
    <n v="3.7489097"/>
    <x v="0"/>
    <n v="0.98801470000000002"/>
    <n v="31.854626369999998"/>
    <n v="1022.200748"/>
    <n v="1369.748934"/>
    <n v="0.74626869393862216"/>
    <n v="0.2258482"/>
    <n v="0.16854342999999999"/>
    <n v="42.515602999999999"/>
    <n v="18.23866233"/>
    <n v="138.28488300000001"/>
    <n v="390752.50829999999"/>
    <n v="504539.34"/>
    <n v="20.631119999999999"/>
    <n v="63.146722999999994"/>
  </r>
  <r>
    <n v="366"/>
    <x v="365"/>
    <n v="48.224556"/>
    <n v="-118.62239"/>
    <x v="0"/>
    <x v="0"/>
    <x v="5"/>
    <n v="-8"/>
    <n v="957.82352939999998"/>
    <n v="3.7190525999999999"/>
    <x v="0"/>
    <n v="0.98641710000000005"/>
    <n v="5.4524341190000003"/>
    <n v="174.96615739999999"/>
    <n v="234.45466709999999"/>
    <n v="0.74626860520278371"/>
    <n v="0.22350621000000001"/>
    <n v="0.16679569999999999"/>
    <n v="42.90649286"/>
    <n v="21.076084399999999"/>
    <n v="145.19304539999999"/>
    <n v="450701.7818"/>
    <n v="638313.19999999995"/>
    <n v="26.374765"/>
    <n v="69.281257859999997"/>
  </r>
  <r>
    <n v="367"/>
    <x v="366"/>
    <n v="48.247593000000002"/>
    <n v="-118.46272"/>
    <x v="0"/>
    <x v="0"/>
    <x v="5"/>
    <n v="-8"/>
    <n v="1066.8125"/>
    <n v="3.6735783"/>
    <x v="0"/>
    <n v="0.98491390000000001"/>
    <n v="8.6514476439999992"/>
    <n v="277.62106189999997"/>
    <n v="372.01224869999999"/>
    <n v="0.74626860505305714"/>
    <n v="0.21925995000000001"/>
    <n v="0.16362683"/>
    <n v="43.685062729999999"/>
    <n v="42.372097369999999"/>
    <n v="134.9008766"/>
    <n v="483202.20209999999"/>
    <n v="873033.1"/>
    <n v="36.771877000000003"/>
    <n v="80.456939730000002"/>
  </r>
  <r>
    <n v="368"/>
    <x v="367"/>
    <n v="48.270465999999999"/>
    <n v="-118.30292"/>
    <x v="0"/>
    <x v="0"/>
    <x v="5"/>
    <n v="-8"/>
    <n v="755.8"/>
    <n v="3.6634312000000002"/>
    <x v="0"/>
    <n v="0.98388845000000003"/>
    <n v="26.956232450000002"/>
    <n v="865.01347220000002"/>
    <n v="1159.1179950000001"/>
    <n v="0.7462686938959997"/>
    <n v="0.21513272999999999"/>
    <n v="0.16054681000000001"/>
    <n v="44.48673161"/>
    <n v="35.239162309999998"/>
    <n v="134.9008766"/>
    <n v="483202.20209999999"/>
    <n v="800780.6"/>
    <n v="34.375694000000003"/>
    <n v="78.862425610000003"/>
  </r>
  <r>
    <n v="369"/>
    <x v="368"/>
    <n v="48.293182000000002"/>
    <n v="-118.14299"/>
    <x v="0"/>
    <x v="0"/>
    <x v="7"/>
    <n v="-8"/>
    <n v="649.4"/>
    <n v="3.6897541999999999"/>
    <x v="0"/>
    <n v="0.98317719999999997"/>
    <n v="17.314236470000001"/>
    <n v="555.60605740000005"/>
    <n v="744.51216839999995"/>
    <n v="0.7462686051109545"/>
    <n v="0.21413948999999999"/>
    <n v="0.15980559999999999"/>
    <n v="44.66769309"/>
    <n v="3.3273506469999998"/>
    <n v="134.9008766"/>
    <n v="483202.20209999999"/>
    <n v="532609.56000000006"/>
    <n v="22.969768999999999"/>
    <n v="67.63746209"/>
  </r>
  <r>
    <n v="370"/>
    <x v="369"/>
    <n v="48.315742"/>
    <n v="-117.98294"/>
    <x v="0"/>
    <x v="0"/>
    <x v="7"/>
    <n v="-8"/>
    <n v="985.78947370000003"/>
    <n v="3.6697478000000001"/>
    <x v="0"/>
    <n v="0.98225932999999999"/>
    <n v="12.17527196"/>
    <n v="390.69899859999998"/>
    <n v="523.53669430000002"/>
    <n v="0.74626860514980331"/>
    <n v="0.21480171000000001"/>
    <n v="0.16029978"/>
    <n v="44.497343569999998"/>
    <n v="14.16042856"/>
    <n v="115.389422"/>
    <n v="416170.24969999999"/>
    <n v="527466.80000000005"/>
    <n v="22.677845000000001"/>
    <n v="67.175188570000003"/>
  </r>
  <r>
    <n v="371"/>
    <x v="370"/>
    <n v="48.338140000000003"/>
    <n v="-117.822754"/>
    <x v="0"/>
    <x v="0"/>
    <x v="7"/>
    <n v="-8"/>
    <n v="717.1333333"/>
    <n v="3.6070082000000001"/>
    <x v="0"/>
    <n v="0.98191890000000004"/>
    <n v="10.37618108"/>
    <n v="332.96694220000001"/>
    <n v="446.17578639999999"/>
    <n v="0.74626851646649561"/>
    <n v="0.20874951999999999"/>
    <n v="0.15578320000000001"/>
    <n v="45.77499289"/>
    <n v="3.612792206"/>
    <n v="115.389422"/>
    <n v="416170.24969999999"/>
    <n v="459266.94"/>
    <n v="20.318148000000001"/>
    <n v="66.093140890000001"/>
  </r>
  <r>
    <n v="372"/>
    <x v="371"/>
    <n v="48.360374"/>
    <n v="-117.66244500000001"/>
    <x v="0"/>
    <x v="0"/>
    <x v="7"/>
    <n v="-8"/>
    <n v="905.4375"/>
    <n v="3.6028152000000002"/>
    <x v="0"/>
    <n v="0.98160296999999996"/>
    <n v="6.7573439210000004"/>
    <n v="216.84012569999999"/>
    <n v="290.56578860000002"/>
    <n v="0.74626860493376046"/>
    <n v="0.20913968999999999"/>
    <n v="0.15607436999999999"/>
    <n v="45.678053370000001"/>
    <n v="1.5209545440000001"/>
    <n v="124.3377986"/>
    <n v="471085.1974"/>
    <n v="532578.56000000006"/>
    <n v="23.517524999999999"/>
    <n v="69.195578369999993"/>
  </r>
  <r>
    <n v="373"/>
    <x v="372"/>
    <n v="48.382454000000003"/>
    <n v="-117.502014"/>
    <x v="0"/>
    <x v="0"/>
    <x v="8"/>
    <n v="-8"/>
    <n v="1257.6875"/>
    <n v="3.5730696000000002"/>
    <x v="0"/>
    <n v="0.98169669999999998"/>
    <n v="2.6150042180000002"/>
    <n v="83.914308640000002"/>
    <n v="112.4451814"/>
    <n v="0.74626860480123702"/>
    <n v="0.20918967999999999"/>
    <n v="0.15611172000000001"/>
    <n v="45.670544159999999"/>
    <n v="3.9855844120000001"/>
    <n v="120.09345450000001"/>
    <n v="491772.13050000003"/>
    <n v="568409.9"/>
    <n v="25.093761000000001"/>
    <n v="70.764305159999992"/>
  </r>
  <r>
    <n v="374"/>
    <x v="373"/>
    <n v="48.40437"/>
    <n v="-117.341446"/>
    <x v="0"/>
    <x v="0"/>
    <x v="8"/>
    <n v="-8"/>
    <n v="762.64285710000001"/>
    <n v="3.4876014999999998"/>
    <x v="0"/>
    <n v="0.98157846999999998"/>
    <n v="8.8717682369999995"/>
    <n v="284.69105059999998"/>
    <n v="381.48603420000001"/>
    <n v="0.7462686050801699"/>
    <n v="0.20015358999999999"/>
    <n v="0.14936835000000001"/>
    <n v="47.727866980000002"/>
    <n v="0.38183766200000002"/>
    <n v="115.9497077"/>
    <n v="442743.39270000003"/>
    <n v="486363.8"/>
    <n v="22.441004"/>
    <n v="70.168870980000008"/>
  </r>
  <r>
    <n v="375"/>
    <x v="374"/>
    <n v="48.426124999999999"/>
    <n v="-117.180756"/>
    <x v="0"/>
    <x v="0"/>
    <x v="8"/>
    <n v="-8"/>
    <n v="1099.6875"/>
    <n v="3.5281549999999999"/>
    <x v="0"/>
    <n v="0.98172915000000005"/>
    <n v="6.3306354860000003"/>
    <n v="203.14726820000001"/>
    <n v="272.21732589999999"/>
    <n v="0.74626869369301974"/>
    <n v="0.20446868000000001"/>
    <n v="0.15258856000000001"/>
    <n v="46.726261549999997"/>
    <n v="10.36763635"/>
    <n v="141.49006489999999"/>
    <n v="518562.2794"/>
    <n v="684877"/>
    <n v="30.933579999999999"/>
    <n v="77.659841549999996"/>
  </r>
  <r>
    <n v="376"/>
    <x v="375"/>
    <n v="48.447719999999997"/>
    <n v="-117.01994999999999"/>
    <x v="0"/>
    <x v="1"/>
    <x v="13"/>
    <n v="-8"/>
    <n v="928.8"/>
    <n v="3.4473335999999999"/>
    <x v="0"/>
    <n v="0.98184269999999996"/>
    <n v="12.14206216"/>
    <n v="389.63326460000002"/>
    <n v="522.10867280000002"/>
    <n v="0.7462685163041789"/>
    <n v="0.19777429999999999"/>
    <n v="0.14759274"/>
    <n v="48.312266399999999"/>
    <n v="35.741883090000002"/>
    <n v="315.34175310000001"/>
    <n v="1168665.02"/>
    <n v="1436043.2"/>
    <n v="67.05668"/>
    <n v="115.3689464"/>
  </r>
  <r>
    <n v="377"/>
    <x v="376"/>
    <n v="48.469154000000003"/>
    <n v="-116.85902400000001"/>
    <x v="0"/>
    <x v="1"/>
    <x v="13"/>
    <n v="-8"/>
    <n v="875.15789470000004"/>
    <n v="3.4363315000000001"/>
    <x v="0"/>
    <n v="0.98128170000000003"/>
    <n v="29.459537839999999"/>
    <n v="945.34342549999997"/>
    <n v="1266.760127"/>
    <n v="0.74626869393087547"/>
    <n v="0.19664063000000001"/>
    <n v="0.14674673999999999"/>
    <n v="48.568994629999999"/>
    <n v="31.468207769999999"/>
    <n v="352.48215570000002"/>
    <n v="1337688.531"/>
    <n v="1624272.8"/>
    <n v="76.283410000000003"/>
    <n v="124.85240463"/>
  </r>
  <r>
    <n v="378"/>
    <x v="377"/>
    <n v="48.490425000000002"/>
    <n v="-116.69797"/>
    <x v="0"/>
    <x v="1"/>
    <x v="13"/>
    <n v="-8"/>
    <n v="1459.666667"/>
    <n v="3.4096462999999999"/>
    <x v="0"/>
    <n v="0.98155340000000002"/>
    <n v="0.51418802699999999"/>
    <n v="16.500064380000001"/>
    <n v="22.110085170000001"/>
    <n v="0.74626869381706684"/>
    <n v="0.19793638999999999"/>
    <n v="0.14771369000000001"/>
    <n v="56.367111180000002"/>
    <n v="22.127850630000001"/>
    <n v="362.55530499999998"/>
    <n v="1379563.746"/>
    <n v="1553391.8"/>
    <n v="72.476929999999996"/>
    <n v="128.84404118"/>
  </r>
  <r>
    <n v="379"/>
    <x v="378"/>
    <n v="48.511536"/>
    <n v="-116.53677999999999"/>
    <x v="0"/>
    <x v="1"/>
    <x v="13"/>
    <n v="-8"/>
    <n v="1027.526316"/>
    <n v="3.4480032999999999"/>
    <x v="0"/>
    <n v="0.98187685000000002"/>
    <n v="6.7474616640000002"/>
    <n v="216.52303430000001"/>
    <n v="290.1408515"/>
    <n v="0.74626869391399719"/>
    <n v="0.1987892"/>
    <n v="0.14835016000000001"/>
    <n v="48.066909410000001"/>
    <n v="12.313006489999999"/>
    <n v="362.55530499999998"/>
    <n v="1379563.746"/>
    <n v="1506643.2"/>
    <n v="69.994200000000006"/>
    <n v="118.06110941"/>
  </r>
  <r>
    <n v="380"/>
    <x v="379"/>
    <n v="48.532485999999999"/>
    <n v="-116.37549"/>
    <x v="0"/>
    <x v="1"/>
    <x v="10"/>
    <n v="-8"/>
    <n v="918"/>
    <n v="3.5127907"/>
    <x v="0"/>
    <n v="0.98224929999999999"/>
    <n v="20.942063529999999"/>
    <n v="672.02147490000004"/>
    <n v="900.50873160000003"/>
    <n v="0.74626869381485073"/>
    <n v="0.2029436"/>
    <n v="0.15145046000000001"/>
    <n v="47.096970919999997"/>
    <n v="4.4355844119999999"/>
    <n v="378.34212969999999"/>
    <n v="1442074.584"/>
    <n v="1531212.6"/>
    <n v="69.679429999999996"/>
    <n v="116.77640091999999"/>
  </r>
  <r>
    <n v="381"/>
    <x v="380"/>
    <n v="48.553272"/>
    <n v="-116.214066"/>
    <x v="0"/>
    <x v="1"/>
    <x v="10"/>
    <n v="-8"/>
    <n v="1405.666667"/>
    <n v="3.59259"/>
    <x v="0"/>
    <n v="0.98243994000000001"/>
    <n v="0.35996398899999998"/>
    <n v="11.55108517"/>
    <n v="15.47845152"/>
    <n v="0.74626878244730255"/>
    <n v="0.21157618"/>
    <n v="0.1578927"/>
    <n v="54.887749419999999"/>
    <n v="18.313220770000001"/>
    <n v="396.70012320000001"/>
    <n v="1520048.6880000001"/>
    <n v="1717032.9"/>
    <n v="74.947339999999997"/>
    <n v="129.83508942"/>
  </r>
  <r>
    <n v="382"/>
    <x v="381"/>
    <n v="48.573900000000002"/>
    <n v="-116.052536"/>
    <x v="0"/>
    <x v="2"/>
    <x v="14"/>
    <n v="-7"/>
    <n v="936.5"/>
    <n v="3.4796163999999998"/>
    <x v="0"/>
    <n v="0.98279870000000003"/>
    <n v="10.83488313"/>
    <n v="347.68656549999997"/>
    <n v="465.89997460000001"/>
    <n v="0.74626869382963035"/>
    <n v="0.20022261"/>
    <n v="0.14941984"/>
    <n v="47.757983420000002"/>
    <n v="10.36124025"/>
    <n v="363.42442190000003"/>
    <n v="1624341.7120000001"/>
    <n v="1772242.4"/>
    <n v="81.743719999999996"/>
    <n v="129.50170342000001"/>
  </r>
  <r>
    <n v="383"/>
    <x v="382"/>
    <n v="48.594360000000002"/>
    <n v="-115.89087000000001"/>
    <x v="0"/>
    <x v="2"/>
    <x v="14"/>
    <n v="-7"/>
    <n v="966.07692310000004"/>
    <n v="3.4427238"/>
    <x v="0"/>
    <n v="0.98301755999999996"/>
    <n v="7.2164523559999996"/>
    <n v="231.57270879999999"/>
    <n v="310.30745130000003"/>
    <n v="0.74626860499111702"/>
    <n v="0.19808998999999999"/>
    <n v="0.14782835999999999"/>
    <n v="48.280572409999998"/>
    <n v="7.9301428530000004"/>
    <n v="355.64604530000003"/>
    <n v="1582315.5260000001"/>
    <n v="1694317.4"/>
    <n v="78.990819999999999"/>
    <n v="127.27139241"/>
  </r>
  <r>
    <n v="384"/>
    <x v="383"/>
    <n v="48.614662000000003"/>
    <n v="-115.729095"/>
    <x v="0"/>
    <x v="2"/>
    <x v="14"/>
    <n v="-7"/>
    <n v="1357"/>
    <n v="3.4582307000000001"/>
    <x v="0"/>
    <n v="0.98346882999999996"/>
    <n v="7.0307994999999998E-2"/>
    <n v="2.2561521820000001"/>
    <n v="3.023243774"/>
    <n v="0.74626869371335058"/>
    <n v="0.20015050000000001"/>
    <n v="0.14936604000000001"/>
    <n v="69.814668470000001"/>
    <n v="20.028519469999999"/>
    <n v="355.64604530000003"/>
    <n v="1582315.5260000001"/>
    <n v="1798091.5"/>
    <n v="82.965869999999995"/>
    <n v="152.78053847000001"/>
  </r>
  <r>
    <n v="385"/>
    <x v="384"/>
    <n v="48.634796000000001"/>
    <n v="-115.567215"/>
    <x v="0"/>
    <x v="2"/>
    <x v="14"/>
    <n v="-7"/>
    <n v="1336.333333"/>
    <n v="3.4502856999999998"/>
    <x v="0"/>
    <n v="0.98360055999999996"/>
    <n v="1.282391936"/>
    <n v="41.151385060000003"/>
    <n v="55.142853240000001"/>
    <n v="0.7462686938032661"/>
    <n v="0.19991390000000001"/>
    <n v="0.14918946"/>
    <n v="50.626943750000002"/>
    <n v="27.2796883"/>
    <n v="310.80511669999999"/>
    <n v="1317859.344"/>
    <n v="1601169.2"/>
    <n v="73.967110000000005"/>
    <n v="124.59405375"/>
  </r>
  <r>
    <n v="386"/>
    <x v="385"/>
    <n v="48.654769999999999"/>
    <n v="-115.40521"/>
    <x v="0"/>
    <x v="2"/>
    <x v="14"/>
    <n v="-7"/>
    <n v="1076"/>
    <n v="3.456842"/>
    <x v="0"/>
    <n v="0.98382645999999996"/>
    <n v="0.157463989"/>
    <n v="5.0529491479999997"/>
    <n v="6.7709515219999998"/>
    <n v="0.74626869378433569"/>
    <n v="0.19992797000000001"/>
    <n v="0.14919999"/>
    <n v="63.784683680000001"/>
    <n v="30.821668809999998"/>
    <n v="295.59027259999999"/>
    <n v="1242294.4909999999"/>
    <n v="1560929.1"/>
    <n v="72.103120000000004"/>
    <n v="135.88780367999999"/>
  </r>
  <r>
    <n v="387"/>
    <x v="386"/>
    <n v="48.694229999999997"/>
    <n v="-115.08085"/>
    <x v="0"/>
    <x v="2"/>
    <x v="14"/>
    <n v="-7"/>
    <n v="1306.4285709999999"/>
    <n v="3.5259068"/>
    <x v="0"/>
    <n v="0.98417412999999998"/>
    <n v="2.2083841190000002"/>
    <n v="70.866052640000007"/>
    <n v="94.960517100000004"/>
    <n v="0.74626860514431637"/>
    <n v="0.20557238"/>
    <n v="0.15341225"/>
    <n v="46.566235169999999"/>
    <n v="16.302337649999998"/>
    <n v="286.24790890000003"/>
    <n v="1163172.7890000001"/>
    <n v="1347539.2"/>
    <n v="60.537019999999998"/>
    <n v="107.10325517"/>
  </r>
  <r>
    <n v="388"/>
    <x v="387"/>
    <n v="48.713715000000001"/>
    <n v="-114.91849999999999"/>
    <x v="0"/>
    <x v="2"/>
    <x v="14"/>
    <n v="-7"/>
    <n v="1134.7"/>
    <n v="3.4164987"/>
    <x v="0"/>
    <n v="0.98422719999999997"/>
    <n v="42.288640579999999"/>
    <n v="1357.023447"/>
    <n v="1818.4115449999999"/>
    <n v="0.7462686049983257"/>
    <n v="0.19680887"/>
    <n v="0.14687230000000001"/>
    <n v="48.641799470000002"/>
    <n v="4.7055844120000003"/>
    <n v="278.14946090000001"/>
    <n v="1119900.7649999999"/>
    <n v="1207440.8"/>
    <n v="56.658560000000001"/>
    <n v="105.30035947"/>
  </r>
  <r>
    <n v="389"/>
    <x v="388"/>
    <n v="48.733035999999998"/>
    <n v="-114.75604"/>
    <x v="0"/>
    <x v="2"/>
    <x v="14"/>
    <n v="-7"/>
    <n v="1561.5454549999999"/>
    <n v="3.3647783000000002"/>
    <x v="0"/>
    <n v="0.98135229999999996"/>
    <n v="5.4717121579999999"/>
    <n v="175.58478099999999"/>
    <n v="235.28362279999999"/>
    <n v="0.74626860514322202"/>
    <n v="0.19402834999999999"/>
    <n v="0.14479729999999999"/>
    <n v="49.22567076"/>
    <n v="7.3347727210000002"/>
    <n v="271.89468820000002"/>
    <n v="1084734.3330000001"/>
    <n v="1217226.8"/>
    <n v="57.93629"/>
    <n v="107.16196076"/>
  </r>
  <r>
    <n v="390"/>
    <x v="389"/>
    <n v="48.752189999999999"/>
    <n v="-114.593475"/>
    <x v="0"/>
    <x v="2"/>
    <x v="16"/>
    <n v="-7"/>
    <n v="1823.25"/>
    <n v="3.3323168999999999"/>
    <x v="0"/>
    <n v="0.98136389999999996"/>
    <n v="1.605743921"/>
    <n v="51.527599870000003"/>
    <n v="69.046988600000006"/>
    <n v="0.74626860511625559"/>
    <n v="0.19323868"/>
    <n v="0.14420796999999999"/>
    <n v="51.040080920000001"/>
    <n v="17.705058430000001"/>
    <n v="270.78645440000003"/>
    <n v="1077404.2790000001"/>
    <n v="1285935.2"/>
    <n v="61.45673"/>
    <n v="112.49681092"/>
  </r>
  <r>
    <n v="391"/>
    <x v="390"/>
    <n v="48.771183000000001"/>
    <n v="-114.430786"/>
    <x v="0"/>
    <x v="2"/>
    <x v="16"/>
    <n v="-7"/>
    <n v="1197"/>
    <n v="3.3997543000000001"/>
    <x v="0"/>
    <n v="0.98141104000000001"/>
    <n v="2.70993598"/>
    <n v="86.960626180000006"/>
    <n v="116.5272471"/>
    <n v="0.7462686053620845"/>
    <n v="0.19591747000000001"/>
    <n v="0.14620702999999999"/>
    <n v="48.753326520000002"/>
    <n v="27.86446102"/>
    <n v="256.31235049999998"/>
    <n v="994259.30619999999"/>
    <n v="1300979.3999999999"/>
    <n v="61.325577000000003"/>
    <n v="110.07890352000001"/>
  </r>
  <r>
    <n v="392"/>
    <x v="391"/>
    <n v="48.790016000000001"/>
    <n v="-114.268"/>
    <x v="0"/>
    <x v="2"/>
    <x v="16"/>
    <n v="-7"/>
    <n v="1212.8461540000001"/>
    <n v="3.4085885999999999"/>
    <x v="0"/>
    <n v="0.98143256000000001"/>
    <n v="9.1063439210000006"/>
    <n v="292.21847869999999"/>
    <n v="391.57278860000002"/>
    <n v="0.74626860498855407"/>
    <n v="0.19549051000000001"/>
    <n v="0.14588846"/>
    <n v="48.860629340000003"/>
    <n v="38.43658439"/>
    <n v="251.18764920000001"/>
    <n v="963404.30980000005"/>
    <n v="1364340.4"/>
    <n v="64.452749999999995"/>
    <n v="113.31337934"/>
  </r>
  <r>
    <n v="393"/>
    <x v="392"/>
    <n v="48.863678"/>
    <n v="-113.61574"/>
    <x v="0"/>
    <x v="2"/>
    <x v="19"/>
    <n v="-7"/>
    <n v="1778.25"/>
    <n v="3.6731777000000001"/>
    <x v="0"/>
    <n v="0.98157170000000005"/>
    <n v="0.85698008699999995"/>
    <n v="27.500102080000001"/>
    <n v="36.850143719999998"/>
    <n v="0.74626851631720048"/>
    <n v="0.22001088999999999"/>
    <n v="0.16418724000000001"/>
    <n v="47.965108290000003"/>
    <n v="18.868662329999999"/>
    <n v="291.48444790000002"/>
    <n v="795282.28289999999"/>
    <n v="972438.25"/>
    <n v="40.818989999999999"/>
    <n v="88.784098290000003"/>
  </r>
  <r>
    <n v="394"/>
    <x v="393"/>
    <n v="48.881683000000002"/>
    <n v="-113.45241"/>
    <x v="0"/>
    <x v="2"/>
    <x v="19"/>
    <n v="-7"/>
    <n v="1545.166667"/>
    <n v="3.6914098000000002"/>
    <x v="0"/>
    <n v="0.98162097000000004"/>
    <n v="54.366551370000003"/>
    <n v="1744.5981690000001"/>
    <n v="2337.7617089999999"/>
    <n v="0.74626860482981761"/>
    <n v="0.22379832999999999"/>
    <n v="0.16701367"/>
    <n v="42.686777159999998"/>
    <n v="7.0429350599999996"/>
    <n v="291.48444790000002"/>
    <n v="795282.28289999999"/>
    <n v="892771.94"/>
    <n v="36.840719999999997"/>
    <n v="79.527497159999996"/>
  </r>
  <r>
    <n v="395"/>
    <x v="394"/>
    <n v="48.899524999999997"/>
    <n v="-113.28897000000001"/>
    <x v="0"/>
    <x v="2"/>
    <x v="19"/>
    <n v="-7"/>
    <n v="1493.058824"/>
    <n v="3.6826186000000001"/>
    <x v="0"/>
    <n v="0.98166960000000003"/>
    <n v="60.919368310000003"/>
    <n v="1954.8751159999999"/>
    <n v="2619.5328370000002"/>
    <n v="0.74626860499248626"/>
    <n v="0.22534900999999999"/>
    <n v="0.16817090000000001"/>
    <n v="42.394691299999998"/>
    <n v="5.6673506470000001"/>
    <n v="283.56709719999998"/>
    <n v="767152.33550000004"/>
    <n v="843618.3"/>
    <n v="34.572814999999999"/>
    <n v="76.967506299999997"/>
  </r>
  <r>
    <n v="396"/>
    <x v="395"/>
    <n v="48.917200000000001"/>
    <n v="-113.125435"/>
    <x v="0"/>
    <x v="2"/>
    <x v="19"/>
    <n v="-7"/>
    <n v="1418.85"/>
    <n v="3.6766157000000002"/>
    <x v="0"/>
    <n v="0.98171140000000001"/>
    <n v="68.950846580000004"/>
    <n v="2212.6016399999999"/>
    <n v="2964.886403"/>
    <n v="0.74626860501677028"/>
    <n v="0.22510932"/>
    <n v="0.16799204000000001"/>
    <n v="42.441241040000001"/>
    <n v="11.17763635"/>
    <n v="279.81158429999999"/>
    <n v="756731.21400000004"/>
    <n v="847815.4"/>
    <n v="34.781815000000002"/>
    <n v="77.223056040000003"/>
  </r>
  <r>
    <n v="397"/>
    <x v="396"/>
    <n v="48.934708000000001"/>
    <n v="-112.96178999999999"/>
    <x v="0"/>
    <x v="2"/>
    <x v="19"/>
    <n v="-7"/>
    <n v="1352.8125"/>
    <n v="3.6882630000000001"/>
    <x v="0"/>
    <n v="0.98176030000000003"/>
    <n v="105.10714249999999"/>
    <n v="3372.8405050000001"/>
    <n v="4519.6071270000002"/>
    <n v="0.74626851631655111"/>
    <n v="0.22574965999999999"/>
    <n v="0.16846990000000001"/>
    <n v="42.32251582"/>
    <n v="22.755201280000001"/>
    <n v="275.06872060000001"/>
    <n v="742573.81050000002"/>
    <n v="886211.44"/>
    <n v="36.253895"/>
    <n v="78.576410820000007"/>
  </r>
  <r>
    <n v="398"/>
    <x v="397"/>
    <n v="48.95205"/>
    <n v="-112.79804"/>
    <x v="0"/>
    <x v="2"/>
    <x v="19"/>
    <n v="-7"/>
    <n v="1285.5"/>
    <n v="3.6913497"/>
    <x v="0"/>
    <n v="0.98181490000000005"/>
    <n v="66.796808200000001"/>
    <n v="2143.479773"/>
    <n v="2872.262753"/>
    <n v="0.74626869382377847"/>
    <n v="0.22602072000000001"/>
    <n v="0.16867219999999999"/>
    <n v="42.273607130000002"/>
    <n v="34.191597389999998"/>
    <n v="275.06872060000001"/>
    <n v="742573.81050000002"/>
    <n v="921893.1"/>
    <n v="37.66836"/>
    <n v="79.941967129999995"/>
  </r>
  <r>
    <n v="399"/>
    <x v="398"/>
    <n v="48.969226999999997"/>
    <n v="-112.63420000000001"/>
    <x v="0"/>
    <x v="2"/>
    <x v="19"/>
    <n v="-7"/>
    <n v="1252.363636"/>
    <n v="3.6983244000000002"/>
    <x v="0"/>
    <n v="0.98187100000000005"/>
    <n v="58.377024319999997"/>
    <n v="1873.2922189999999"/>
    <n v="2510.2120460000001"/>
    <n v="0.7462685162335484"/>
    <n v="0.22662508000000001"/>
    <n v="0.1691232"/>
    <n v="42.162766619999999"/>
    <n v="32.151383099999997"/>
    <n v="237.1732336"/>
    <n v="633079.50639999995"/>
    <n v="801226.94"/>
    <n v="32.650660000000002"/>
    <n v="74.813426620000001"/>
  </r>
  <r>
    <n v="400"/>
    <x v="399"/>
    <n v="48.986237000000003"/>
    <n v="-112.47024500000001"/>
    <x v="0"/>
    <x v="2"/>
    <x v="19"/>
    <n v="-7"/>
    <n v="1264.9000000000001"/>
    <n v="3.6862887999999998"/>
    <x v="0"/>
    <n v="0.98190105000000005"/>
    <n v="39.152077730000002"/>
    <n v="1256.3727060000001"/>
    <n v="1683.5393429999999"/>
    <n v="0.74626869352586322"/>
    <n v="0.22567087"/>
    <n v="0.16841110000000001"/>
    <n v="42.342055469999998"/>
    <n v="19.438448050000002"/>
    <n v="237.1732336"/>
    <n v="633079.50639999995"/>
    <n v="748101.4"/>
    <n v="30.614653000000001"/>
    <n v="72.956708469999995"/>
  </r>
  <r>
    <n v="401"/>
    <x v="400"/>
    <n v="47.226179999999999"/>
    <n v="-124.07617"/>
    <x v="0"/>
    <x v="0"/>
    <x v="15"/>
    <n v="-8"/>
    <n v="75.650000000000006"/>
    <n v="3.1657467000000001"/>
    <x v="0"/>
    <n v="1.0208018000000001"/>
    <n v="78.794537700000006"/>
    <n v="2528.4809580000001"/>
    <n v="3388.165121"/>
    <n v="0.74626851635074132"/>
    <n v="0.18399824000000001"/>
    <n v="0.13731213"/>
    <n v="53.546933660000001"/>
    <n v="7.8657272660000004"/>
    <n v="254.2004154"/>
    <n v="880561.99910000002"/>
    <n v="974275.1"/>
    <n v="48.900393999999999"/>
    <n v="102.44732766"/>
  </r>
  <r>
    <n v="402"/>
    <x v="401"/>
    <n v="47.25461"/>
    <n v="-123.92171999999999"/>
    <x v="0"/>
    <x v="0"/>
    <x v="15"/>
    <n v="-8"/>
    <n v="124.16666669999999"/>
    <n v="3.0999857999999998"/>
    <x v="0"/>
    <n v="1.0206983999999999"/>
    <n v="66.386144529999996"/>
    <n v="2130.3012520000002"/>
    <n v="2854.6042149999998"/>
    <n v="0.74626851624683121"/>
    <n v="0.17848994000000001"/>
    <n v="0.13320141999999999"/>
    <n v="55.195004369999999"/>
    <n v="0.36"/>
    <n v="269.43709719999998"/>
    <n v="940518.32750000001"/>
    <n v="980473.06"/>
    <n v="50.730167000000002"/>
    <n v="105.92517137"/>
  </r>
  <r>
    <n v="403"/>
    <x v="402"/>
    <n v="47.282882999999998"/>
    <n v="-123.76712000000001"/>
    <x v="0"/>
    <x v="0"/>
    <x v="15"/>
    <n v="-8"/>
    <n v="217"/>
    <n v="3.1079496999999998"/>
    <x v="0"/>
    <n v="1.0206401000000001"/>
    <n v="26.294140500000001"/>
    <n v="843.76703659999998"/>
    <n v="1130.648042"/>
    <n v="0.74626851615774514"/>
    <n v="0.17824358000000001"/>
    <n v="0.13301760000000001"/>
    <n v="55.268791829999998"/>
    <n v="12.365727270000001"/>
    <n v="271.5044479"/>
    <n v="949583.45409999997"/>
    <n v="1087988"/>
    <n v="56.370857000000001"/>
    <n v="111.63964883"/>
  </r>
  <r>
    <n v="404"/>
    <x v="403"/>
    <n v="47.311010000000003"/>
    <n v="-123.61236599999999"/>
    <x v="0"/>
    <x v="0"/>
    <x v="15"/>
    <n v="-8"/>
    <n v="273.35294119999998"/>
    <n v="3.1785996000000001"/>
    <x v="0"/>
    <n v="1.0206145"/>
    <n v="28.122066870000001"/>
    <n v="902.42436420000001"/>
    <n v="1209.248875"/>
    <n v="0.74626851664426819"/>
    <n v="0.18251848000000001"/>
    <n v="0.13620782000000001"/>
    <n v="53.973221850000002"/>
    <n v="26.131525960000001"/>
    <n v="271.5044479"/>
    <n v="949583.45409999997"/>
    <n v="1166960"/>
    <n v="59.046413000000001"/>
    <n v="113.01963485"/>
  </r>
  <r>
    <n v="405"/>
    <x v="404"/>
    <n v="47.338977999999997"/>
    <n v="-123.45746"/>
    <x v="0"/>
    <x v="0"/>
    <x v="17"/>
    <n v="-8"/>
    <n v="362.11111110000002"/>
    <n v="3.1797236999999998"/>
    <x v="0"/>
    <n v="1.0206287999999999"/>
    <n v="4.3518060790000002"/>
    <n v="139.64749879999999"/>
    <n v="187.12766139999999"/>
    <n v="0.74626860484026758"/>
    <n v="0.18220049999999999"/>
    <n v="0.13597049999999999"/>
    <n v="54.068026029999999"/>
    <n v="21.510642839999999"/>
    <n v="184.54707780000001"/>
    <n v="583727.13529999997"/>
    <n v="783304.7"/>
    <n v="39.703204999999997"/>
    <n v="93.771231029999996"/>
  </r>
  <r>
    <n v="406"/>
    <x v="405"/>
    <n v="47.366799999999998"/>
    <n v="-123.30240000000001"/>
    <x v="0"/>
    <x v="0"/>
    <x v="17"/>
    <n v="-8"/>
    <n v="279.08333329999999"/>
    <n v="3.3364235999999998"/>
    <x v="0"/>
    <n v="1.020696"/>
    <n v="15.262182749999999"/>
    <n v="489.7565768"/>
    <n v="656.27385830000003"/>
    <n v="0.74626860510436388"/>
    <n v="0.19069895000000001"/>
    <n v="0.14231266000000001"/>
    <n v="51.661179480000001"/>
    <n v="10.6274935"/>
    <n v="193.420896"/>
    <n v="609422.67050000001"/>
    <n v="708418.44"/>
    <n v="34.307254999999998"/>
    <n v="85.968434479999999"/>
  </r>
  <r>
    <n v="407"/>
    <x v="406"/>
    <n v="47.394463000000002"/>
    <n v="-123.147194"/>
    <x v="0"/>
    <x v="0"/>
    <x v="17"/>
    <n v="-8"/>
    <n v="144.1538462"/>
    <n v="3.3349842999999999"/>
    <x v="0"/>
    <n v="1.0207808"/>
    <n v="28.566675"/>
    <n v="916.69174629999998"/>
    <n v="1228.367025"/>
    <n v="0.74626860510196447"/>
    <n v="0.18961425000000001"/>
    <n v="0.14150317000000001"/>
    <n v="51.960137330000002"/>
    <n v="7.0030064860000003"/>
    <n v="201.40750639999999"/>
    <n v="633451.71660000004"/>
    <n v="688487.25"/>
    <n v="33.532760000000003"/>
    <n v="85.492897330000005"/>
  </r>
  <r>
    <n v="408"/>
    <x v="407"/>
    <n v="47.421973999999999"/>
    <n v="-122.99184"/>
    <x v="0"/>
    <x v="0"/>
    <x v="17"/>
    <n v="-8"/>
    <n v="96"/>
    <n v="3.3335911999999999"/>
    <x v="0"/>
    <n v="1.0208976999999999"/>
    <n v="44.345312839999998"/>
    <n v="1423.021135"/>
    <n v="1906.848452"/>
    <n v="0.74626860540881623"/>
    <n v="0.18915536999999999"/>
    <n v="0.14116073000000001"/>
    <n v="52.090914159999997"/>
    <n v="12.92116882"/>
    <n v="203.75125310000001"/>
    <n v="653289.25870000001"/>
    <n v="780983.7"/>
    <n v="38.130077"/>
    <n v="90.220991159999997"/>
  </r>
  <r>
    <n v="409"/>
    <x v="408"/>
    <n v="47.449337"/>
    <n v="-122.83633"/>
    <x v="0"/>
    <x v="0"/>
    <x v="17"/>
    <n v="-8"/>
    <n v="108.3125"/>
    <n v="3.2689870000000001"/>
    <x v="0"/>
    <n v="1.0210163999999999"/>
    <n v="54.708372949999998"/>
    <n v="1755.5670700000001"/>
    <n v="2352.4600369999998"/>
    <n v="0.74626860494463743"/>
    <n v="0.18617009000000001"/>
    <n v="0.13893288000000001"/>
    <n v="52.931070499999997"/>
    <n v="3.588305192"/>
    <n v="203.75125310000001"/>
    <n v="653289.25870000001"/>
    <n v="700597.4"/>
    <n v="34.753857000000004"/>
    <n v="87.684927500000001"/>
  </r>
  <r>
    <n v="410"/>
    <x v="409"/>
    <n v="47.476546999999997"/>
    <n v="-122.68066399999999"/>
    <x v="0"/>
    <x v="0"/>
    <x v="11"/>
    <n v="-8"/>
    <n v="112.25"/>
    <n v="3.2509749999999999"/>
    <x v="0"/>
    <n v="1.0211302"/>
    <n v="38.652958740000003"/>
    <n v="1240.3561999999999"/>
    <n v="1662.0772260000001"/>
    <n v="0.74626869353421965"/>
    <n v="0.18575121"/>
    <n v="0.13862031999999999"/>
    <n v="53.055102390000002"/>
    <n v="2.5019090890000002"/>
    <n v="222.91814919999999"/>
    <n v="717958.73340000003"/>
    <n v="760757.25"/>
    <n v="37.823250000000002"/>
    <n v="90.878352390000003"/>
  </r>
  <r>
    <n v="411"/>
    <x v="410"/>
    <n v="47.503599999999999"/>
    <n v="-122.52487000000001"/>
    <x v="0"/>
    <x v="0"/>
    <x v="11"/>
    <n v="-8"/>
    <n v="72.142857140000004"/>
    <n v="3.3097061999999999"/>
    <x v="0"/>
    <n v="1.0212292999999999"/>
    <n v="9.5603493159999999"/>
    <n v="306.78730760000002"/>
    <n v="411.0950206"/>
    <n v="0.74626860513230941"/>
    <n v="0.18933393000000001"/>
    <n v="0.14129399000000001"/>
    <n v="52.055154440000003"/>
    <n v="7.8593311630000002"/>
    <n v="228.9737336"/>
    <n v="774277.24739999999"/>
    <n v="819297.06"/>
    <n v="39.962935999999999"/>
    <n v="92.018090440000009"/>
  </r>
  <r>
    <n v="412"/>
    <x v="411"/>
    <n v="47.530501999999998"/>
    <n v="-122.36891"/>
    <x v="0"/>
    <x v="0"/>
    <x v="18"/>
    <n v="-8"/>
    <n v="58.111111110000003"/>
    <n v="3.3717622999999999"/>
    <x v="0"/>
    <n v="1.0212821999999999"/>
    <n v="4.8287341189999999"/>
    <n v="154.9519234"/>
    <n v="207.6355671"/>
    <n v="0.74626869357778736"/>
    <n v="0.19275321000000001"/>
    <n v="0.14384565999999999"/>
    <n v="51.133838130000001"/>
    <n v="0.56183766199999996"/>
    <n v="8.0329350599999998"/>
    <n v="35343.807119999998"/>
    <n v="77033.835999999996"/>
    <n v="3.6908324000000001"/>
    <n v="54.824670529999999"/>
  </r>
  <r>
    <n v="413"/>
    <x v="412"/>
    <n v="47.557250000000003"/>
    <n v="-122.21281399999999"/>
    <x v="0"/>
    <x v="0"/>
    <x v="18"/>
    <n v="-8"/>
    <n v="85.5"/>
    <n v="3.2517027999999999"/>
    <x v="0"/>
    <n v="1.0212607"/>
    <n v="3.6245067629999999"/>
    <n v="116.3088049"/>
    <n v="155.85379080000001"/>
    <n v="0.74626869390205419"/>
    <n v="0.18461900000000001"/>
    <n v="0.13777538"/>
    <n v="53.38588034"/>
    <n v="1.4463961030000001"/>
    <n v="39.12725322"/>
    <n v="156810.58720000001"/>
    <n v="188419.56"/>
    <n v="9.4252749999999992"/>
    <n v="62.811155339999999"/>
  </r>
  <r>
    <n v="414"/>
    <x v="413"/>
    <n v="47.583846999999999"/>
    <n v="-122.05658"/>
    <x v="0"/>
    <x v="0"/>
    <x v="18"/>
    <n v="-8"/>
    <n v="136.94444440000001"/>
    <n v="3.1368407999999999"/>
    <x v="0"/>
    <n v="1.0211513999999999"/>
    <n v="10.461959800000001"/>
    <n v="335.71958239999998"/>
    <n v="449.86427149999997"/>
    <n v="0.74626860515194304"/>
    <n v="0.17606889000000001"/>
    <n v="0.1313947"/>
    <n v="55.973613960000002"/>
    <n v="1.536396103"/>
    <n v="43.057467500000001"/>
    <n v="182062.6654"/>
    <n v="213080.08"/>
    <n v="11.17647"/>
    <n v="67.150083960000003"/>
  </r>
  <r>
    <n v="415"/>
    <x v="414"/>
    <n v="47.610287"/>
    <n v="-121.90018999999999"/>
    <x v="0"/>
    <x v="0"/>
    <x v="18"/>
    <n v="-8"/>
    <n v="155.07692309999999"/>
    <n v="3.0806746"/>
    <x v="0"/>
    <n v="1.0209903"/>
    <n v="15.604487840000001"/>
    <n v="500.74099310000003"/>
    <n v="670.99297720000004"/>
    <n v="0.74626860505985038"/>
    <n v="0.17150217000000001"/>
    <n v="0.12798667999999999"/>
    <n v="57.456893780000001"/>
    <n v="0.63"/>
    <n v="61.978850610000002"/>
    <n v="270576.40549999999"/>
    <n v="315397.94"/>
    <n v="16.983753"/>
    <n v="74.440646780000009"/>
  </r>
  <r>
    <n v="416"/>
    <x v="415"/>
    <n v="47.636574000000003"/>
    <n v="-121.74365"/>
    <x v="0"/>
    <x v="0"/>
    <x v="18"/>
    <n v="-8"/>
    <n v="513"/>
    <n v="2.9977771999999998"/>
    <x v="1"/>
    <n v="1.0201960000000001"/>
    <n v="0.85535998800000002"/>
    <n v="27.448117109999998"/>
    <n v="36.780479470000003"/>
    <n v="0.74626860512756654"/>
    <n v="0.17006560000000001"/>
    <n v="0.12691464"/>
    <n v="64.03121831"/>
    <n v="9.5538896040000001"/>
    <n v="62.09333762"/>
    <n v="258768.5828"/>
    <n v="380834.3"/>
    <n v="20.680641000000001"/>
    <n v="84.711859309999994"/>
  </r>
  <r>
    <n v="417"/>
    <x v="416"/>
    <n v="47.662703999999998"/>
    <n v="-121.586975"/>
    <x v="0"/>
    <x v="0"/>
    <x v="18"/>
    <n v="-8"/>
    <n v="802.33333330000005"/>
    <n v="3.0066060000000001"/>
    <x v="0"/>
    <n v="1.0196297999999999"/>
    <n v="0.57477599300000004"/>
    <n v="18.444305159999999"/>
    <n v="24.71536768"/>
    <n v="0.74626869398853302"/>
    <n v="0.17220592000000001"/>
    <n v="0.12851185000000001"/>
    <n v="66.023313590000001"/>
    <n v="17.55594155"/>
    <n v="78.748181770000002"/>
    <n v="335859.32299999997"/>
    <n v="501059.44"/>
    <n v="26.871106999999999"/>
    <n v="92.894420589999996"/>
  </r>
  <r>
    <n v="418"/>
    <x v="417"/>
    <n v="47.688682999999997"/>
    <n v="-121.43016"/>
    <x v="0"/>
    <x v="0"/>
    <x v="18"/>
    <n v="-8"/>
    <n v="519"/>
    <n v="3.1645243000000001"/>
    <x v="0"/>
    <n v="1.0187573000000001"/>
    <n v="0.25757999399999998"/>
    <n v="8.2656270779999996"/>
    <n v="11.07593973"/>
    <n v="0.74626869407856555"/>
    <n v="0.17820057"/>
    <n v="0.13298546999999999"/>
    <n v="69.711666589999993"/>
    <n v="4.9447012949999998"/>
    <n v="118.5082726"/>
    <n v="470881.21950000001"/>
    <n v="584360.80000000005"/>
    <n v="30.284222"/>
    <n v="99.995888589999993"/>
  </r>
  <r>
    <n v="419"/>
    <x v="418"/>
    <n v="47.714500000000001"/>
    <n v="-121.27319"/>
    <x v="0"/>
    <x v="0"/>
    <x v="18"/>
    <n v="-8"/>
    <n v="613.66666669999995"/>
    <n v="3.2488291"/>
    <x v="0"/>
    <n v="1.0177293000000001"/>
    <n v="0.27215998800000002"/>
    <n v="8.7334925749999996"/>
    <n v="11.702879469999999"/>
    <n v="0.74626869373371407"/>
    <n v="0.18341716"/>
    <n v="0.13687848"/>
    <n v="67.255269310000003"/>
    <n v="0.09"/>
    <n v="127.6121622"/>
    <n v="502459.37190000003"/>
    <n v="538772.06000000006"/>
    <n v="27.127485"/>
    <n v="94.382754309999996"/>
  </r>
  <r>
    <n v="420"/>
    <x v="419"/>
    <n v="47.740169999999999"/>
    <n v="-121.11609"/>
    <x v="0"/>
    <x v="0"/>
    <x v="18"/>
    <n v="-8"/>
    <n v="1280.666667"/>
    <n v="3.3285762999999999"/>
    <x v="0"/>
    <n v="1.0165759000000001"/>
    <n v="0.107892005"/>
    <n v="3.4622054879999999"/>
    <n v="4.6393562260000003"/>
    <n v="0.7462685164370475"/>
    <n v="0.19082186000000001"/>
    <n v="0.14240436000000001"/>
    <n v="71.716577970000003"/>
    <n v="2.7655129860000001"/>
    <n v="145.5062661"/>
    <n v="608157.071"/>
    <n v="664353.1"/>
    <n v="32.152540000000002"/>
    <n v="103.86911797"/>
  </r>
  <r>
    <n v="421"/>
    <x v="420"/>
    <n v="47.765680000000003"/>
    <n v="-120.95883000000001"/>
    <x v="0"/>
    <x v="0"/>
    <x v="12"/>
    <n v="-8"/>
    <n v="1251.5"/>
    <n v="3.4355880999999999"/>
    <x v="0"/>
    <n v="1.0157149000000001"/>
    <n v="5.5079999999999999E-3"/>
    <n v="0.176749243"/>
    <n v="0.236844002"/>
    <n v="0.7462686051048909"/>
    <n v="0.19682870999999999"/>
    <n v="0.14688709999999999"/>
    <n v="98.526760359999997"/>
    <n v="0.9"/>
    <n v="155.52824659999999"/>
    <n v="655511.01260000002"/>
    <n v="712620.94"/>
    <n v="33.436016000000002"/>
    <n v="131.96277635999999"/>
  </r>
  <r>
    <n v="422"/>
    <x v="421"/>
    <n v="47.791035000000001"/>
    <n v="-120.80145"/>
    <x v="0"/>
    <x v="0"/>
    <x v="12"/>
    <n v="-8"/>
    <n v="939.6"/>
    <n v="3.8702673999999999"/>
    <x v="0"/>
    <n v="1.0134890000000001"/>
    <n v="1.86429603"/>
    <n v="59.824413579999998"/>
    <n v="80.164729280000003"/>
    <n v="0.74626851630777435"/>
    <n v="0.22813411"/>
    <n v="0.17024933"/>
    <n v="43.650717810000003"/>
    <n v="2.2473506470000002"/>
    <n v="173.4525908"/>
    <n v="602792.20420000004"/>
    <n v="671744.2"/>
    <n v="27.193062000000001"/>
    <n v="70.843779810000001"/>
  </r>
  <r>
    <n v="423"/>
    <x v="422"/>
    <n v="47.816229999999997"/>
    <n v="-120.64391999999999"/>
    <x v="0"/>
    <x v="0"/>
    <x v="12"/>
    <n v="-8"/>
    <n v="737.25"/>
    <n v="3.8743707999999999"/>
    <x v="0"/>
    <n v="1.0120391"/>
    <n v="3.211973822"/>
    <n v="103.07080689999999"/>
    <n v="138.1148743"/>
    <n v="0.74626869424736531"/>
    <n v="0.22841481999999999"/>
    <n v="0.17045884"/>
    <n v="42.841354279999997"/>
    <n v="6.788376618"/>
    <n v="173.0244285"/>
    <n v="615481.33640000003"/>
    <n v="714436.56"/>
    <n v="28.885760999999999"/>
    <n v="71.727115279999992"/>
  </r>
  <r>
    <n v="424"/>
    <x v="423"/>
    <n v="47.841278000000003"/>
    <n v="-120.48625"/>
    <x v="0"/>
    <x v="0"/>
    <x v="12"/>
    <n v="-8"/>
    <n v="1131.2857140000001"/>
    <n v="4.0161300000000004"/>
    <x v="2"/>
    <n v="1.0097951000000001"/>
    <n v="0.54853194800000005"/>
    <n v="17.602145480000001"/>
    <n v="23.58687377"/>
    <n v="0.74626869383546968"/>
    <n v="0.24169752999999999"/>
    <n v="0.18037127999999999"/>
    <n v="46.909565870000002"/>
    <n v="19.827779209999999"/>
    <n v="148.42975319999999"/>
    <n v="472695.56459999998"/>
    <n v="635364.4"/>
    <n v="24.277000000000001"/>
    <n v="71.18656587000001"/>
  </r>
  <r>
    <n v="425"/>
    <x v="424"/>
    <n v="47.866165000000002"/>
    <n v="-120.328445"/>
    <x v="0"/>
    <x v="0"/>
    <x v="12"/>
    <n v="-8"/>
    <n v="1022.333333"/>
    <n v="4.0396004000000003"/>
    <x v="2"/>
    <n v="1.0079503000000001"/>
    <n v="0.17657999399999999"/>
    <n v="5.6663725439999997"/>
    <n v="7.5929397339999998"/>
    <n v="0.74626860511309834"/>
    <n v="0.24419156"/>
    <n v="0.18223248"/>
    <n v="52.610551569999998"/>
    <n v="16.605870119999999"/>
    <n v="147.38063629999999"/>
    <n v="477865.56160000002"/>
    <n v="625269.93999999994"/>
    <n v="23.647286999999999"/>
    <n v="76.25783856999999"/>
  </r>
  <r>
    <n v="426"/>
    <x v="425"/>
    <n v="47.890892000000001"/>
    <n v="-120.1705"/>
    <x v="0"/>
    <x v="0"/>
    <x v="12"/>
    <n v="-8"/>
    <n v="523.38461540000003"/>
    <n v="3.9507306"/>
    <x v="0"/>
    <n v="1.0059578"/>
    <n v="3.9157018620000001"/>
    <n v="125.6531107"/>
    <n v="168.37518"/>
    <n v="0.74626860502836578"/>
    <n v="0.23686624000000001"/>
    <n v="0.17676583000000001"/>
    <n v="41.116651650000001"/>
    <n v="0.959116882"/>
    <n v="183.60075309999999"/>
    <n v="594710.39910000004"/>
    <n v="639269.25"/>
    <n v="24.924420999999999"/>
    <n v="66.041072650000004"/>
  </r>
  <r>
    <n v="427"/>
    <x v="426"/>
    <n v="47.915466000000002"/>
    <n v="-120.01242000000001"/>
    <x v="0"/>
    <x v="0"/>
    <x v="12"/>
    <n v="-8"/>
    <n v="725.16666669999995"/>
    <n v="4.0232986999999998"/>
    <x v="2"/>
    <n v="1.0038533999999999"/>
    <n v="16.012970289999998"/>
    <n v="513.84901100000002"/>
    <n v="688.55772239999999"/>
    <n v="0.74626860506183179"/>
    <n v="0.24371409999999999"/>
    <n v="0.18187619999999999"/>
    <n v="39.89538795"/>
    <n v="5.6929350599999999"/>
    <n v="173.17399990000001"/>
    <n v="558000.37840000005"/>
    <n v="653048.80000000005"/>
    <n v="24.74625"/>
    <n v="64.641637950000003"/>
  </r>
  <r>
    <n v="428"/>
    <x v="427"/>
    <n v="47.939880000000002"/>
    <n v="-119.85420000000001"/>
    <x v="0"/>
    <x v="0"/>
    <x v="20"/>
    <n v="-8"/>
    <n v="630.04999999999995"/>
    <n v="3.9955463"/>
    <x v="0"/>
    <n v="1.0015438999999999"/>
    <n v="23.906501370000001"/>
    <n v="767.14887139999996"/>
    <n v="1027.9795590000001"/>
    <n v="0.74626860493828151"/>
    <n v="0.24133036999999999"/>
    <n v="0.18009731000000001"/>
    <n v="40.216344460000002"/>
    <n v="0.86911688200000004"/>
    <n v="180.76707780000001"/>
    <n v="509542.76490000001"/>
    <n v="553812"/>
    <n v="21.193114999999999"/>
    <n v="61.409459460000001"/>
  </r>
  <r>
    <n v="429"/>
    <x v="428"/>
    <n v="47.96414"/>
    <n v="-119.69584999999999"/>
    <x v="0"/>
    <x v="0"/>
    <x v="20"/>
    <n v="-8"/>
    <n v="658.47058819999995"/>
    <n v="3.9677137999999998"/>
    <x v="0"/>
    <n v="0.99943729999999997"/>
    <n v="28.826280400000002"/>
    <n v="925.02236660000005"/>
    <n v="1239.5300569999999"/>
    <n v="0.74626860508635495"/>
    <n v="0.24064724000000001"/>
    <n v="0.17958747999999999"/>
    <n v="40.263635039999997"/>
    <n v="2.144558441"/>
    <n v="166.50605179999999"/>
    <n v="450959.99040000001"/>
    <n v="503944.53"/>
    <n v="19.339545999999999"/>
    <n v="59.603181039999996"/>
  </r>
  <r>
    <n v="430"/>
    <x v="429"/>
    <n v="47.988242999999997"/>
    <n v="-119.53736000000001"/>
    <x v="0"/>
    <x v="0"/>
    <x v="20"/>
    <n v="-8"/>
    <n v="598.5"/>
    <n v="3.9324126000000001"/>
    <x v="0"/>
    <n v="0.99707924999999997"/>
    <n v="48.487814210000003"/>
    <n v="1555.9519539999999"/>
    <n v="2084.9760110000002"/>
    <n v="0.7462685161800644"/>
    <n v="0.239233"/>
    <n v="0.17853205999999999"/>
    <n v="40.426370179999999"/>
    <n v="1.0491168820000001"/>
    <n v="152.35576610000001"/>
    <n v="408143.99329999997"/>
    <n v="450761.44"/>
    <n v="17.400835000000001"/>
    <n v="57.82720518"/>
  </r>
  <r>
    <n v="431"/>
    <x v="430"/>
    <n v="48.012188000000002"/>
    <n v="-119.37873999999999"/>
    <x v="0"/>
    <x v="0"/>
    <x v="20"/>
    <n v="-8"/>
    <n v="670.66666669999995"/>
    <n v="3.9221156000000001"/>
    <x v="0"/>
    <n v="0.99493854999999998"/>
    <n v="80.579527729999995"/>
    <n v="2585.7607859999998"/>
    <n v="3464.9196929999998"/>
    <n v="0.74626860507730675"/>
    <n v="0.23871328"/>
    <n v="0.17814426"/>
    <n v="40.445868279999999"/>
    <n v="0.84727922099999997"/>
    <n v="140.22650640000001"/>
    <n v="374869.12119999999"/>
    <n v="416388.97"/>
    <n v="16.108941999999999"/>
    <n v="56.554810279999998"/>
  </r>
  <r>
    <n v="432"/>
    <x v="431"/>
    <n v="48.035972999999998"/>
    <n v="-119.21998000000001"/>
    <x v="0"/>
    <x v="0"/>
    <x v="20"/>
    <n v="-8"/>
    <n v="662.94736839999996"/>
    <n v="3.9152529999999999"/>
    <x v="0"/>
    <n v="0.99260300000000001"/>
    <n v="72.637398630000007"/>
    <n v="2330.901437"/>
    <n v="3123.4081409999999"/>
    <n v="0.74626860524661742"/>
    <n v="0.23807803999999999"/>
    <n v="0.17767021"/>
    <n v="40.478842450000002"/>
    <n v="3.4327922059999998"/>
    <n v="128.3736428"/>
    <n v="352649.17509999999"/>
    <n v="415052.75"/>
    <n v="16.100090000000002"/>
    <n v="56.578932450000003"/>
  </r>
  <r>
    <n v="433"/>
    <x v="432"/>
    <n v="48.059600000000003"/>
    <n v="-119.06108999999999"/>
    <x v="0"/>
    <x v="0"/>
    <x v="20"/>
    <n v="-8"/>
    <n v="616.29411760000005"/>
    <n v="3.8958482999999999"/>
    <x v="0"/>
    <n v="0.99058526999999996"/>
    <n v="54.030887839999998"/>
    <n v="1733.8266719999999"/>
    <n v="2323.3281769999999"/>
    <n v="0.74626851650325421"/>
    <n v="0.23642521999999999"/>
    <n v="0.17643671999999999"/>
    <n v="40.696634009999997"/>
    <n v="1.1982337649999999"/>
    <n v="127.0172467"/>
    <n v="349313.05469999998"/>
    <n v="395865.25"/>
    <n v="15.463150000000001"/>
    <n v="56.159784009999996"/>
  </r>
  <r>
    <n v="434"/>
    <x v="433"/>
    <n v="48.083072999999999"/>
    <n v="-118.90206999999999"/>
    <x v="0"/>
    <x v="0"/>
    <x v="3"/>
    <n v="-8"/>
    <n v="721.47058819999995"/>
    <n v="3.8490388000000002"/>
    <x v="0"/>
    <n v="0.98885672999999996"/>
    <n v="30.328100679999999"/>
    <n v="973.21510379999995"/>
    <n v="1304.1083289999999"/>
    <n v="0.74626860526707062"/>
    <n v="0.23273842"/>
    <n v="0.17368539"/>
    <n v="41.284565010000001"/>
    <n v="8.1511688249999992"/>
    <n v="138.28488300000001"/>
    <n v="390752.50829999999"/>
    <n v="464722.97"/>
    <n v="18.440404999999998"/>
    <n v="59.72497001"/>
  </r>
  <r>
    <n v="435"/>
    <x v="434"/>
    <n v="48.106383999999998"/>
    <n v="-118.74290999999999"/>
    <x v="0"/>
    <x v="0"/>
    <x v="5"/>
    <n v="-8"/>
    <n v="856.26315790000001"/>
    <n v="3.7707269999999999"/>
    <x v="0"/>
    <n v="0.98701799999999995"/>
    <n v="10.865663530000001"/>
    <n v="348.6742946"/>
    <n v="467.2235316"/>
    <n v="0.74626869371491222"/>
    <n v="0.22834840000000001"/>
    <n v="0.17040926000000001"/>
    <n v="42.01675333"/>
    <n v="6.8629350599999999"/>
    <n v="145.19304539999999"/>
    <n v="450701.7818"/>
    <n v="538405.6"/>
    <n v="21.774892999999999"/>
    <n v="63.791646329999999"/>
  </r>
  <r>
    <n v="436"/>
    <x v="435"/>
    <n v="48.129536000000002"/>
    <n v="-118.58363"/>
    <x v="0"/>
    <x v="0"/>
    <x v="5"/>
    <n v="-8"/>
    <n v="897.06666670000004"/>
    <n v="3.7377813"/>
    <x v="0"/>
    <n v="0.98540859999999997"/>
    <n v="7.8322135250000002"/>
    <n v="251.33223760000001"/>
    <n v="336.78518159999999"/>
    <n v="0.74626869390740447"/>
    <n v="0.22586455999999999"/>
    <n v="0.16855565"/>
    <n v="42.424378840000003"/>
    <n v="11.2521948"/>
    <n v="145.19304539999999"/>
    <n v="450701.7818"/>
    <n v="563163.06000000006"/>
    <n v="23.026636"/>
    <n v="65.451014839999999"/>
  </r>
  <r>
    <n v="437"/>
    <x v="436"/>
    <n v="48.152526999999999"/>
    <n v="-118.42421"/>
    <x v="0"/>
    <x v="0"/>
    <x v="5"/>
    <n v="-8"/>
    <n v="941.94444439999995"/>
    <n v="3.7291234000000002"/>
    <x v="0"/>
    <n v="0.98382329999999996"/>
    <n v="2.5030619110000001"/>
    <n v="80.32213994"/>
    <n v="107.63166219999999"/>
    <n v="0.7462686936000883"/>
    <n v="0.22336523"/>
    <n v="0.16669047000000001"/>
    <n v="42.844866799999998"/>
    <n v="23.965129860000001"/>
    <n v="145.19304539999999"/>
    <n v="450701.7818"/>
    <n v="680198.1"/>
    <n v="28.123169000000001"/>
    <n v="70.968035799999996"/>
  </r>
  <r>
    <n v="438"/>
    <x v="437"/>
    <n v="48.175364999999999"/>
    <n v="-118.26466000000001"/>
    <x v="0"/>
    <x v="0"/>
    <x v="5"/>
    <n v="-8"/>
    <n v="687.5625"/>
    <n v="3.7378821000000002"/>
    <x v="0"/>
    <n v="0.98293763000000001"/>
    <n v="13.404851369999999"/>
    <n v="430.15569959999999"/>
    <n v="576.40860880000002"/>
    <n v="0.7462686938273223"/>
    <n v="0.22028328"/>
    <n v="0.16439053000000001"/>
    <n v="43.413585769999997"/>
    <n v="24.647850630000001"/>
    <n v="134.9008766"/>
    <n v="483202.20209999999"/>
    <n v="713399"/>
    <n v="29.908550000000002"/>
    <n v="73.322135770000003"/>
  </r>
  <r>
    <n v="439"/>
    <x v="438"/>
    <n v="48.198039999999999"/>
    <n v="-118.104996"/>
    <x v="0"/>
    <x v="0"/>
    <x v="7"/>
    <n v="-8"/>
    <n v="759.89473680000003"/>
    <n v="3.7445986000000002"/>
    <x v="0"/>
    <n v="0.9821221"/>
    <n v="9.920069604"/>
    <n v="318.33056979999998"/>
    <n v="426.56299300000001"/>
    <n v="0.74626860516237981"/>
    <n v="0.22028329999999999"/>
    <n v="0.16439053000000001"/>
    <n v="43.385299930000002"/>
    <n v="16.233077909999999"/>
    <n v="134.9008766"/>
    <n v="483202.20209999999"/>
    <n v="622577"/>
    <n v="26.100923999999999"/>
    <n v="69.486223929999994"/>
  </r>
  <r>
    <n v="440"/>
    <x v="439"/>
    <n v="48.220559999999999"/>
    <n v="-117.94519"/>
    <x v="0"/>
    <x v="0"/>
    <x v="7"/>
    <n v="-8"/>
    <n v="1069.4705879999999"/>
    <n v="3.6572678000000001"/>
    <x v="0"/>
    <n v="0.98146129999999998"/>
    <n v="8.3856060790000004"/>
    <n v="269.09029370000002"/>
    <n v="360.58106140000001"/>
    <n v="0.74626851630871593"/>
    <n v="0.21596159000000001"/>
    <n v="0.16116536000000001"/>
    <n v="44.230134489999998"/>
    <n v="19.595058430000002"/>
    <n v="100.3907597"/>
    <n v="377791.69579999999"/>
    <n v="530577.5"/>
    <n v="22.689071999999999"/>
    <n v="66.919206489999993"/>
  </r>
  <r>
    <n v="441"/>
    <x v="440"/>
    <n v="48.242911999999997"/>
    <n v="-117.78525999999999"/>
    <x v="0"/>
    <x v="0"/>
    <x v="7"/>
    <n v="-8"/>
    <n v="680.82352939999998"/>
    <n v="3.6187437"/>
    <x v="0"/>
    <n v="0.9810702"/>
    <n v="11.510504409999999"/>
    <n v="369.3669069"/>
    <n v="494.95168949999999"/>
    <n v="0.74626860506958637"/>
    <n v="0.21070807999999999"/>
    <n v="0.15724482000000001"/>
    <n v="45.318732699999998"/>
    <n v="6.031097398"/>
    <n v="100.3907597"/>
    <n v="377791.69579999999"/>
    <n v="435307.4"/>
    <n v="19.079159000000001"/>
    <n v="64.397891700000002"/>
  </r>
  <r>
    <n v="442"/>
    <x v="441"/>
    <n v="48.26511"/>
    <n v="-117.62521"/>
    <x v="0"/>
    <x v="0"/>
    <x v="7"/>
    <n v="-8"/>
    <n v="945.33333330000005"/>
    <n v="3.6203832999999999"/>
    <x v="0"/>
    <n v="0.98063915999999995"/>
    <n v="8.6791499999999999"/>
    <n v="278.510018"/>
    <n v="373.20344999999998"/>
    <n v="0.74626860496600456"/>
    <n v="0.21070433"/>
    <n v="0.15724203"/>
    <n v="45.303908020000001"/>
    <n v="7.958376618"/>
    <n v="100.3907597"/>
    <n v="377791.69579999999"/>
    <n v="464269.7"/>
    <n v="20.348917"/>
    <n v="65.652825019999995"/>
  </r>
  <r>
    <n v="443"/>
    <x v="442"/>
    <n v="48.287143999999998"/>
    <n v="-117.46503"/>
    <x v="0"/>
    <x v="0"/>
    <x v="8"/>
    <n v="-8"/>
    <n v="1048.4000000000001"/>
    <n v="3.5542587999999999"/>
    <x v="0"/>
    <n v="0.98068580000000005"/>
    <n v="8.6112719599999998"/>
    <n v="276.3318094"/>
    <n v="370.28469430000001"/>
    <n v="0.7462685162355629"/>
    <n v="0.20685396"/>
    <n v="0.15436864"/>
    <n v="46.148907850000001"/>
    <n v="5.1401428530000004"/>
    <n v="110.9150064"/>
    <n v="430859.58110000001"/>
    <n v="538162.25"/>
    <n v="24.026682000000001"/>
    <n v="70.175589849999994"/>
  </r>
  <r>
    <n v="444"/>
    <x v="443"/>
    <n v="48.309019999999997"/>
    <n v="-117.304726"/>
    <x v="0"/>
    <x v="0"/>
    <x v="8"/>
    <n v="-8"/>
    <n v="669.31578950000005"/>
    <n v="3.5257700000000001"/>
    <x v="0"/>
    <n v="0.98079939999999999"/>
    <n v="23.565087160000001"/>
    <n v="756.19313290000002"/>
    <n v="1013.298748"/>
    <n v="0.74626869360347814"/>
    <n v="0.20218131"/>
    <n v="0.15088156999999999"/>
    <n v="47.219756740000001"/>
    <n v="0.21727922099999999"/>
    <n v="108.95044799999999"/>
    <n v="410036.59749999997"/>
    <n v="446819.44"/>
    <n v="20.409645000000001"/>
    <n v="67.629401740000006"/>
  </r>
  <r>
    <n v="445"/>
    <x v="444"/>
    <n v="48.330737999999997"/>
    <n v="-117.1443"/>
    <x v="0"/>
    <x v="0"/>
    <x v="8"/>
    <n v="-8"/>
    <n v="892.33333330000005"/>
    <n v="3.5309327000000001"/>
    <x v="0"/>
    <n v="0.98107069999999996"/>
    <n v="7.2867598019999997"/>
    <n v="233.8288431"/>
    <n v="313.33067149999999"/>
    <n v="0.74626860492334535"/>
    <n v="0.20435685000000001"/>
    <n v="0.1525051"/>
    <n v="46.72721104"/>
    <n v="13.260428559999999"/>
    <n v="112.54779859999999"/>
    <n v="421811.89279999997"/>
    <n v="562966.93999999994"/>
    <n v="25.441229"/>
    <n v="72.168440040000007"/>
  </r>
  <r>
    <n v="446"/>
    <x v="445"/>
    <n v="48.352294999999998"/>
    <n v="-116.98375"/>
    <x v="0"/>
    <x v="1"/>
    <x v="13"/>
    <n v="-8"/>
    <n v="832.8823529"/>
    <n v="3.4776535000000002"/>
    <x v="0"/>
    <n v="0.98136570000000001"/>
    <n v="21.141891869999998"/>
    <n v="678.433716"/>
    <n v="909.1013504"/>
    <n v="0.74626851637773128"/>
    <n v="0.19932857000000001"/>
    <n v="0.14875267"/>
    <n v="47.917251559999997"/>
    <n v="21.677850629999998"/>
    <n v="315.34175310000001"/>
    <n v="1168665.02"/>
    <n v="1327880.2"/>
    <n v="61.522469999999998"/>
    <n v="109.43972156"/>
  </r>
  <r>
    <n v="447"/>
    <x v="446"/>
    <n v="48.373688000000001"/>
    <n v="-116.82307400000001"/>
    <x v="0"/>
    <x v="1"/>
    <x v="13"/>
    <n v="-8"/>
    <n v="925.08333330000005"/>
    <n v="3.4444275000000002"/>
    <x v="0"/>
    <n v="0.98087679999999999"/>
    <n v="21.97319392"/>
    <n v="705.1099054"/>
    <n v="944.84733859999994"/>
    <n v="0.74626860508997794"/>
    <n v="0.19686168000000001"/>
    <n v="0.14691167999999999"/>
    <n v="48.498749250000003"/>
    <n v="22.27431816"/>
    <n v="315.34175310000001"/>
    <n v="1168665.02"/>
    <n v="1325888.1000000001"/>
    <n v="62.199959999999997"/>
    <n v="110.69870925000001"/>
  </r>
  <r>
    <n v="448"/>
    <x v="447"/>
    <n v="48.394917"/>
    <n v="-116.66227000000001"/>
    <x v="0"/>
    <x v="1"/>
    <x v="13"/>
    <n v="-8"/>
    <n v="1433.5"/>
    <n v="3.4380487999999998"/>
    <x v="0"/>
    <n v="0.98113793000000005"/>
    <n v="0.41212797800000001"/>
    <n v="13.225004500000001"/>
    <n v="17.721503040000002"/>
    <n v="0.74626878262804508"/>
    <n v="0.20091181999999999"/>
    <n v="0.14993419999999999"/>
    <n v="56.881118780000001"/>
    <n v="11.636681810000001"/>
    <n v="352.48215570000002"/>
    <n v="1337688.531"/>
    <n v="1480053.2"/>
    <n v="68.032470000000004"/>
    <n v="124.91358878"/>
  </r>
  <r>
    <n v="449"/>
    <x v="448"/>
    <n v="48.415993"/>
    <n v="-116.50136000000001"/>
    <x v="0"/>
    <x v="1"/>
    <x v="13"/>
    <n v="-8"/>
    <n v="792.4"/>
    <n v="3.4898129999999998"/>
    <x v="0"/>
    <n v="0.98149149999999996"/>
    <n v="31.078402730000001"/>
    <n v="997.29195900000002"/>
    <n v="1336.371318"/>
    <n v="0.74626860481601565"/>
    <n v="0.20068792999999999"/>
    <n v="0.14976712"/>
    <n v="47.597474949999999"/>
    <n v="1.0336753240000001"/>
    <n v="359.814279"/>
    <n v="1366160.16"/>
    <n v="1413830.8"/>
    <n v="65.060974000000002"/>
    <n v="112.65844895000001"/>
  </r>
  <r>
    <n v="450"/>
    <x v="449"/>
    <n v="48.436900000000001"/>
    <n v="-116.34032000000001"/>
    <x v="0"/>
    <x v="1"/>
    <x v="13"/>
    <n v="-8"/>
    <n v="935.52941180000005"/>
    <n v="3.4939022"/>
    <x v="0"/>
    <n v="0.98183330000000002"/>
    <n v="24.505739210000002"/>
    <n v="786.37814409999999"/>
    <n v="1053.7467859999999"/>
    <n v="0.74626860508403015"/>
    <n v="0.20226221"/>
    <n v="0.15094194"/>
    <n v="47.239929799999999"/>
    <n v="11.891240249999999"/>
    <n v="362.55530499999998"/>
    <n v="1379563.746"/>
    <n v="1494345.6"/>
    <n v="68.230840000000001"/>
    <n v="115.4707698"/>
  </r>
  <r>
    <n v="451"/>
    <x v="450"/>
    <n v="48.457650000000001"/>
    <n v="-116.17917"/>
    <x v="0"/>
    <x v="1"/>
    <x v="13"/>
    <n v="-8"/>
    <n v="1383.5"/>
    <n v="3.4223180000000002"/>
    <x v="0"/>
    <n v="0.98197204000000005"/>
    <n v="0.77435998800000005"/>
    <n v="24.848863560000002"/>
    <n v="33.297479469999999"/>
    <n v="0.74626860517739968"/>
    <n v="0.19916327"/>
    <n v="0.14862928"/>
    <n v="53.58939307"/>
    <n v="24.582337649999999"/>
    <n v="362.55530499999998"/>
    <n v="1379563.746"/>
    <n v="1630294.8"/>
    <n v="75.596429999999998"/>
    <n v="129.18582307"/>
  </r>
  <r>
    <n v="452"/>
    <x v="451"/>
    <n v="48.478237"/>
    <n v="-116.01788000000001"/>
    <x v="0"/>
    <x v="2"/>
    <x v="14"/>
    <n v="-7"/>
    <n v="1041.1111109999999"/>
    <n v="3.4901423"/>
    <x v="0"/>
    <n v="0.98264085999999995"/>
    <n v="1.9164600490000001"/>
    <n v="61.498347930000001"/>
    <n v="82.407782130000001"/>
    <n v="0.74626869381079897"/>
    <n v="0.20192404"/>
    <n v="0.15068960000000001"/>
    <n v="47.984620360000001"/>
    <n v="16.06587012"/>
    <n v="333.76480500000002"/>
    <n v="1447217.798"/>
    <n v="1588322.5"/>
    <n v="72.643219999999999"/>
    <n v="120.62784035999999"/>
  </r>
  <r>
    <n v="453"/>
    <x v="452"/>
    <n v="48.498657000000001"/>
    <n v="-115.85648999999999"/>
    <x v="0"/>
    <x v="2"/>
    <x v="14"/>
    <n v="-7"/>
    <n v="853.11111110000002"/>
    <n v="3.4469264000000002"/>
    <x v="0"/>
    <n v="0.98287409999999997"/>
    <n v="11.101536469999999"/>
    <n v="356.24326760000002"/>
    <n v="477.36606840000002"/>
    <n v="0.74626851630663582"/>
    <n v="0.19736217"/>
    <n v="0.14728521"/>
    <n v="48.453059410000002"/>
    <n v="3.1319090890000001"/>
    <n v="339.42575959999999"/>
    <n v="1483412.094"/>
    <n v="1555368.6"/>
    <n v="72.780299999999997"/>
    <n v="121.23335940999999"/>
  </r>
  <r>
    <n v="454"/>
    <x v="453"/>
    <n v="48.518920000000001"/>
    <n v="-115.69499"/>
    <x v="0"/>
    <x v="2"/>
    <x v="14"/>
    <n v="-7"/>
    <n v="1139.333333"/>
    <n v="3.514716"/>
    <x v="0"/>
    <n v="0.98311912999999995"/>
    <n v="0.90558002500000001"/>
    <n v="29.059658949999999"/>
    <n v="38.939941060000002"/>
    <n v="0.74626869376160265"/>
    <n v="0.20225066"/>
    <n v="0.15093335999999999"/>
    <n v="51.932225950000003"/>
    <n v="8.8674220740000003"/>
    <n v="319.22628559999998"/>
    <n v="1364360.1569999999"/>
    <n v="1501114.5"/>
    <n v="68.543816000000007"/>
    <n v="120.47604195000001"/>
  </r>
  <r>
    <n v="455"/>
    <x v="454"/>
    <n v="48.539020000000001"/>
    <n v="-115.533356"/>
    <x v="0"/>
    <x v="2"/>
    <x v="14"/>
    <n v="-7"/>
    <n v="1246.9285709999999"/>
    <n v="3.5064003000000001"/>
    <x v="0"/>
    <n v="0.98338749999999997"/>
    <n v="5.9249878420000002"/>
    <n v="190.13019370000001"/>
    <n v="254.77447720000001"/>
    <n v="0.74626860504063086"/>
    <n v="0.20223324000000001"/>
    <n v="0.15092032"/>
    <n v="47.305398500000003"/>
    <n v="18.954915570000001"/>
    <n v="305.93497389999999"/>
    <n v="1295964.9110000001"/>
    <n v="1471780.1"/>
    <n v="67.210139999999996"/>
    <n v="114.51553849999999"/>
  </r>
  <r>
    <n v="456"/>
    <x v="455"/>
    <n v="48.558956000000002"/>
    <n v="-115.37161"/>
    <x v="0"/>
    <x v="2"/>
    <x v="14"/>
    <n v="-7"/>
    <n v="1187.5"/>
    <n v="3.5204680000000002"/>
    <x v="0"/>
    <n v="0.98357660000000002"/>
    <n v="1.44892804"/>
    <n v="46.495448799999998"/>
    <n v="62.303905700000001"/>
    <n v="0.74626860511571425"/>
    <n v="0.20308809"/>
    <n v="0.15155826999999999"/>
    <n v="49.187753450000002"/>
    <n v="17.450499990000001"/>
    <n v="295.59027259999999"/>
    <n v="1242294.4909999999"/>
    <n v="1445974.4"/>
    <n v="65.753749999999997"/>
    <n v="114.94150345"/>
  </r>
  <r>
    <n v="457"/>
    <x v="456"/>
    <n v="48.578727999999998"/>
    <n v="-115.20976"/>
    <x v="0"/>
    <x v="2"/>
    <x v="14"/>
    <n v="-7"/>
    <n v="930.25"/>
    <n v="3.463838"/>
    <x v="0"/>
    <n v="0.98384369999999999"/>
    <n v="0.67165204700000003"/>
    <n v="21.553011959999999"/>
    <n v="28.881038019999998"/>
    <n v="0.74626860520299265"/>
    <n v="0.1980847"/>
    <n v="0.14782445"/>
    <n v="54.80643542"/>
    <n v="19.997636350000001"/>
    <n v="293.43996090000002"/>
    <n v="1211180.9369999999"/>
    <n v="1395952.1"/>
    <n v="65.082465999999997"/>
    <n v="119.88890142"/>
  </r>
  <r>
    <n v="458"/>
    <x v="457"/>
    <n v="48.59834"/>
    <n v="-115.04779000000001"/>
    <x v="0"/>
    <x v="2"/>
    <x v="14"/>
    <n v="-7"/>
    <n v="1329.6"/>
    <n v="3.5290225"/>
    <x v="0"/>
    <n v="0.98405019999999999"/>
    <n v="6.3263432369999997"/>
    <n v="203.00948360000001"/>
    <n v="272.03275919999999"/>
    <n v="0.74626851632507363"/>
    <n v="0.20507"/>
    <n v="0.15303732"/>
    <n v="46.675702989999998"/>
    <n v="7.0610259710000003"/>
    <n v="293.43996090000002"/>
    <n v="1211180.9369999999"/>
    <n v="1312294.8"/>
    <n v="59.098117999999999"/>
    <n v="105.77382098999999"/>
  </r>
  <r>
    <n v="459"/>
    <x v="458"/>
    <n v="48.617789999999999"/>
    <n v="-114.88571"/>
    <x v="0"/>
    <x v="2"/>
    <x v="14"/>
    <n v="-7"/>
    <n v="1266.75"/>
    <n v="3.4829829000000001"/>
    <x v="0"/>
    <n v="0.98414880000000005"/>
    <n v="16.304003720000001"/>
    <n v="523.18820519999997"/>
    <n v="701.07216010000002"/>
    <n v="0.74626869383227701"/>
    <n v="0.2015864"/>
    <n v="0.15043761"/>
    <n v="47.486044040000003"/>
    <n v="2.1791883090000002"/>
    <n v="288.8089349"/>
    <n v="1180776.541"/>
    <n v="1247235.5"/>
    <n v="57.138869999999997"/>
    <n v="104.62491403999999"/>
  </r>
  <r>
    <n v="460"/>
    <x v="459"/>
    <n v="48.637073999999998"/>
    <n v="-114.72351"/>
    <x v="0"/>
    <x v="2"/>
    <x v="16"/>
    <n v="-7"/>
    <n v="1259.6923079999999"/>
    <n v="3.3618519999999998"/>
    <x v="0"/>
    <n v="0.98130360000000005"/>
    <n v="11.3594402"/>
    <n v="364.5192811"/>
    <n v="488.45592850000003"/>
    <n v="0.7462685164235856"/>
    <n v="0.19335579999999999"/>
    <n v="0.14429536000000001"/>
    <n v="49.394982630000001"/>
    <n v="0.30727922099999999"/>
    <n v="263.61624010000003"/>
    <n v="1034074.013"/>
    <n v="1072256.5"/>
    <n v="51.21367"/>
    <n v="100.60865262999999"/>
  </r>
  <r>
    <n v="461"/>
    <x v="460"/>
    <n v="48.656193000000002"/>
    <n v="-114.56121"/>
    <x v="0"/>
    <x v="2"/>
    <x v="16"/>
    <n v="-7"/>
    <n v="1489"/>
    <n v="3.3429346"/>
    <x v="0"/>
    <n v="0.98133429999999999"/>
    <n v="10.463903719999999"/>
    <n v="335.7819619"/>
    <n v="449.94786010000001"/>
    <n v="0.74626860504542269"/>
    <n v="0.19308448"/>
    <n v="0.14409289"/>
    <n v="49.465609579999999"/>
    <n v="15.20314934"/>
    <n v="246.13485700000001"/>
    <n v="937054.66070000001"/>
    <n v="1093807.5"/>
    <n v="52.316409999999998"/>
    <n v="101.78201958"/>
  </r>
  <r>
    <n v="462"/>
    <x v="461"/>
    <n v="48.675150000000002"/>
    <n v="-114.39879999999999"/>
    <x v="0"/>
    <x v="2"/>
    <x v="16"/>
    <n v="-7"/>
    <n v="1532.75"/>
    <n v="3.4914749"/>
    <x v="0"/>
    <n v="0.98137003"/>
    <n v="1.309284119"/>
    <n v="42.014338209999998"/>
    <n v="56.2992171"/>
    <n v="0.74626860503891446"/>
    <n v="0.20172292999999999"/>
    <n v="0.15053952000000001"/>
    <n v="49.971007610000001"/>
    <n v="22.243435049999999"/>
    <n v="246.13485700000001"/>
    <n v="937054.66070000001"/>
    <n v="1161720.6000000001"/>
    <n v="53.185203999999999"/>
    <n v="103.15621161"/>
  </r>
  <r>
    <n v="463"/>
    <x v="462"/>
    <n v="48.693947000000001"/>
    <n v="-114.23627"/>
    <x v="0"/>
    <x v="2"/>
    <x v="16"/>
    <n v="-7"/>
    <n v="1306"/>
    <n v="3.4208810000000001"/>
    <x v="0"/>
    <n v="0.98141175999999997"/>
    <n v="7.3648439210000003"/>
    <n v="236.33452740000001"/>
    <n v="316.68828860000002"/>
    <n v="0.746268605147276"/>
    <n v="0.19767275000000001"/>
    <n v="0.14751700000000001"/>
    <n v="48.320414290000002"/>
    <n v="33.458350619999997"/>
    <n v="246.494857"/>
    <n v="938794.97930000001"/>
    <n v="1275767.2"/>
    <n v="59.60313"/>
    <n v="107.92354429"/>
  </r>
  <r>
    <n v="464"/>
    <x v="463"/>
    <n v="48.785442000000003"/>
    <n v="-113.42203499999999"/>
    <x v="0"/>
    <x v="2"/>
    <x v="19"/>
    <n v="-7"/>
    <n v="1563.4375"/>
    <n v="3.6815096999999999"/>
    <x v="0"/>
    <n v="0.98168880000000003"/>
    <n v="35.943912159999996"/>
    <n v="1153.4241039999999"/>
    <n v="1545.588223"/>
    <n v="0.74626869358592407"/>
    <n v="0.22300215000000001"/>
    <n v="0.16641951999999999"/>
    <n v="42.841501890000004"/>
    <n v="8.2129350599999995"/>
    <n v="291.26716870000001"/>
    <n v="794563.39159999997"/>
    <n v="944491.7"/>
    <n v="39.114113000000003"/>
    <n v="81.955614890000007"/>
  </r>
  <r>
    <n v="465"/>
    <x v="464"/>
    <n v="48.803249999999998"/>
    <n v="-113.25887"/>
    <x v="0"/>
    <x v="2"/>
    <x v="19"/>
    <n v="-7"/>
    <n v="1574.176471"/>
    <n v="3.7007902000000001"/>
    <x v="0"/>
    <n v="0.98173730000000003"/>
    <n v="79.930958200000006"/>
    <n v="2564.9484809999999"/>
    <n v="3437.031203"/>
    <n v="0.74626860494056446"/>
    <n v="0.2257778"/>
    <n v="0.16849089"/>
    <n v="42.316475539999999"/>
    <n v="5.6556558389999996"/>
    <n v="274.97872059999997"/>
    <n v="742358.06850000005"/>
    <n v="811476.2"/>
    <n v="33.192419999999998"/>
    <n v="75.508895539999997"/>
  </r>
  <r>
    <n v="466"/>
    <x v="465"/>
    <n v="48.820889999999999"/>
    <n v="-113.09560999999999"/>
    <x v="0"/>
    <x v="2"/>
    <x v="19"/>
    <n v="-7"/>
    <n v="1439.9473680000001"/>
    <n v="3.6991166999999998"/>
    <x v="0"/>
    <n v="0.98181370000000001"/>
    <n v="91.446405470000002"/>
    <n v="2934.473653"/>
    <n v="3932.1954350000001"/>
    <n v="0.74626851627988833"/>
    <n v="0.22616712999999999"/>
    <n v="0.16878144"/>
    <n v="42.246199939999997"/>
    <n v="7.3619090890000001"/>
    <n v="271.5523245"/>
    <n v="731969.77740000002"/>
    <n v="817490.9"/>
    <n v="33.380882"/>
    <n v="75.627081939999997"/>
  </r>
  <r>
    <n v="467"/>
    <x v="466"/>
    <n v="48.838363999999999"/>
    <n v="-112.932236"/>
    <x v="0"/>
    <x v="2"/>
    <x v="19"/>
    <n v="-7"/>
    <n v="1364.684211"/>
    <n v="3.7139964000000001"/>
    <x v="0"/>
    <n v="0.98186949999999995"/>
    <n v="108.69001609999999"/>
    <n v="3487.813294"/>
    <n v="4673.670693"/>
    <n v="0.74626851635565161"/>
    <n v="0.22746511"/>
    <n v="0.16975008"/>
    <n v="42.007008149999997"/>
    <n v="20.78579869"/>
    <n v="275.06872060000001"/>
    <n v="742573.81050000002"/>
    <n v="871716.1"/>
    <n v="35.391967999999999"/>
    <n v="77.398976149999996"/>
  </r>
  <r>
    <n v="468"/>
    <x v="467"/>
    <n v="48.855674999999998"/>
    <n v="-112.76877"/>
    <x v="0"/>
    <x v="2"/>
    <x v="19"/>
    <n v="-7"/>
    <n v="1292.315789"/>
    <n v="3.7211243999999999"/>
    <x v="0"/>
    <n v="0.98194426000000001"/>
    <n v="70.169081840000004"/>
    <n v="2251.6942610000001"/>
    <n v="3017.2705190000001"/>
    <n v="0.74626860495964698"/>
    <n v="0.22822954000000001"/>
    <n v="0.17032057"/>
    <n v="41.868808199999997"/>
    <n v="32.970428560000002"/>
    <n v="274.05688300000003"/>
    <n v="739481.90260000003"/>
    <n v="923851.56"/>
    <n v="37.383052999999997"/>
    <n v="79.251861199999993"/>
  </r>
  <r>
    <n v="469"/>
    <x v="468"/>
    <n v="48.872818000000002"/>
    <n v="-112.605194"/>
    <x v="0"/>
    <x v="2"/>
    <x v="19"/>
    <n v="-7"/>
    <n v="1254.5999999999999"/>
    <n v="3.7159239999999998"/>
    <x v="0"/>
    <n v="0.98199930000000002"/>
    <n v="66.381524999999996"/>
    <n v="2130.1532670000001"/>
    <n v="2854.4055750000002"/>
    <n v="0.74626860515433235"/>
    <n v="0.22770688"/>
    <n v="0.16993050000000001"/>
    <n v="41.966761220000002"/>
    <n v="26.605558420000001"/>
    <n v="204.56280509999999"/>
    <n v="544004.75120000006"/>
    <n v="699818.6"/>
    <n v="28.382701999999998"/>
    <n v="70.349463220000004"/>
  </r>
  <r>
    <n v="470"/>
    <x v="469"/>
    <n v="48.889792999999997"/>
    <n v="-112.44150999999999"/>
    <x v="0"/>
    <x v="2"/>
    <x v="19"/>
    <n v="-7"/>
    <n v="1236"/>
    <n v="3.7086158"/>
    <x v="0"/>
    <n v="0.98205142999999995"/>
    <n v="57.482211620000001"/>
    <n v="1844.578524"/>
    <n v="2471.7350999999999"/>
    <n v="0.74626869359908354"/>
    <n v="0.22711548000000001"/>
    <n v="0.16948915000000001"/>
    <n v="42.077794279999999"/>
    <n v="20.201668810000001"/>
    <n v="214.17206479999999"/>
    <n v="571916.85609999998"/>
    <n v="677336.5"/>
    <n v="27.542422999999999"/>
    <n v="69.620217279999991"/>
  </r>
  <r>
    <n v="471"/>
    <x v="470"/>
    <n v="48.906610000000001"/>
    <n v="-112.27775"/>
    <x v="0"/>
    <x v="2"/>
    <x v="19"/>
    <n v="-7"/>
    <n v="1221"/>
    <n v="3.7061234000000001"/>
    <x v="0"/>
    <n v="0.98209610000000003"/>
    <n v="49.208472950000001"/>
    <n v="1579.0777539999999"/>
    <n v="2115.9643369999999"/>
    <n v="0.74626860499870518"/>
    <n v="0.22661704999999999"/>
    <n v="0.16911720999999999"/>
    <n v="42.171848420000003"/>
    <n v="5.540071427"/>
    <n v="227.70404529999999"/>
    <n v="608202.13690000004"/>
    <n v="680297.4"/>
    <n v="27.723662999999998"/>
    <n v="69.895511420000005"/>
  </r>
  <r>
    <n v="472"/>
    <x v="471"/>
    <n v="48.923251999999998"/>
    <n v="-112.11387999999999"/>
    <x v="0"/>
    <x v="2"/>
    <x v="21"/>
    <n v="-7"/>
    <n v="1188.8421049999999"/>
    <n v="3.6984564999999998"/>
    <x v="0"/>
    <n v="0.98209849999999999"/>
    <n v="55.716656839999999"/>
    <n v="1787.9226590000001"/>
    <n v="2395.8162440000001"/>
    <n v="0.74626869380221128"/>
    <n v="0.22585419000000001"/>
    <n v="0.1685479"/>
    <n v="42.314369579999997"/>
    <n v="6.1572792209999996"/>
    <n v="226.4594869"/>
    <n v="604865.3639"/>
    <n v="684766.25"/>
    <n v="28.000038"/>
    <n v="70.314407579999994"/>
  </r>
  <r>
    <n v="473"/>
    <x v="472"/>
    <n v="48.939734999999999"/>
    <n v="-111.94991"/>
    <x v="0"/>
    <x v="2"/>
    <x v="21"/>
    <n v="-7"/>
    <n v="1069.4375"/>
    <n v="3.6993992000000002"/>
    <x v="0"/>
    <n v="0.98213569999999994"/>
    <n v="50.797528419999999"/>
    <n v="1630.070023"/>
    <n v="2184.2937219999999"/>
    <n v="0.74626869389500539"/>
    <n v="0.22563858000000001"/>
    <n v="0.16838700000000001"/>
    <n v="42.35606782"/>
    <n v="15.533363619999999"/>
    <n v="225.32411680000001"/>
    <n v="600320.38060000003"/>
    <n v="711061.4"/>
    <n v="29.103024000000001"/>
    <n v="71.459091819999998"/>
  </r>
  <r>
    <n v="474"/>
    <x v="473"/>
    <n v="48.956046999999998"/>
    <n v="-111.78583999999999"/>
    <x v="0"/>
    <x v="2"/>
    <x v="21"/>
    <n v="-7"/>
    <n v="1052.7857140000001"/>
    <n v="3.6641164000000002"/>
    <x v="0"/>
    <n v="0.98208004000000004"/>
    <n v="35.966183200000003"/>
    <n v="1154.138772"/>
    <n v="1546.5458779999999"/>
    <n v="0.74626869362099846"/>
    <n v="0.22274350000000001"/>
    <n v="0.16622649"/>
    <n v="42.904680069999998"/>
    <n v="25.893506469999998"/>
    <n v="225.32411680000001"/>
    <n v="600320.38060000003"/>
    <n v="751438.56"/>
    <n v="31.155365"/>
    <n v="74.060045070000001"/>
  </r>
  <r>
    <n v="475"/>
    <x v="474"/>
    <n v="48.972189999999998"/>
    <n v="-111.62169"/>
    <x v="0"/>
    <x v="2"/>
    <x v="21"/>
    <n v="-7"/>
    <n v="1336.3"/>
    <n v="3.6402798000000001"/>
    <x v="0"/>
    <n v="0.98203706999999996"/>
    <n v="26.957770969999999"/>
    <n v="865.06273999999996"/>
    <n v="1159.184152"/>
    <n v="0.74626860495587588"/>
    <n v="0.22127253999999999"/>
    <n v="0.16512878"/>
    <n v="43.18840557"/>
    <n v="37.6371818"/>
    <n v="225.32411680000001"/>
    <n v="600320.38060000003"/>
    <n v="809063.56"/>
    <n v="33.767547999999998"/>
    <n v="76.955953569999991"/>
  </r>
  <r>
    <n v="476"/>
    <x v="475"/>
    <n v="48.988174000000001"/>
    <n v="-111.45744000000001"/>
    <x v="0"/>
    <x v="2"/>
    <x v="21"/>
    <n v="-7"/>
    <n v="1286.2"/>
    <n v="3.6485894000000001"/>
    <x v="0"/>
    <n v="0.98198116000000002"/>
    <n v="41.361518850000003"/>
    <n v="1327.272528"/>
    <n v="1778.54531"/>
    <n v="0.74626860532442663"/>
    <n v="0.22153811000000001"/>
    <n v="0.16532695"/>
    <n v="43.134698819999997"/>
    <n v="53.53584412"/>
    <n v="225.32411680000001"/>
    <n v="600320.38060000003"/>
    <n v="845808.4"/>
    <n v="35.258834999999998"/>
    <n v="78.393533819999988"/>
  </r>
  <r>
    <n v="477"/>
    <x v="476"/>
    <n v="47.445059999999998"/>
    <n v="-69.139279999999999"/>
    <x v="0"/>
    <x v="3"/>
    <x v="22"/>
    <n v="-5"/>
    <n v="298.125"/>
    <n v="3.5632758"/>
    <x v="0"/>
    <n v="1.0306033000000001"/>
    <n v="36.285409420000001"/>
    <n v="1164.3823219999999"/>
    <n v="1560.2726050000001"/>
    <n v="0.74626851632763225"/>
    <n v="0.20844235"/>
    <n v="0.15555398000000001"/>
    <n v="47.626687969999999"/>
    <n v="333.89401279999998"/>
    <n v="331.14019459999997"/>
    <n v="2707776.8029999998"/>
    <n v="5070727"/>
    <n v="224.66150999999999"/>
    <n v="272.28819797"/>
  </r>
  <r>
    <n v="478"/>
    <x v="477"/>
    <n v="47.306609999999999"/>
    <n v="-68.363370000000003"/>
    <x v="0"/>
    <x v="3"/>
    <x v="22"/>
    <n v="-5"/>
    <n v="260.41666670000001"/>
    <n v="3.5505211000000001"/>
    <x v="0"/>
    <n v="1.0314698"/>
    <n v="25.723331760000001"/>
    <n v="825.45014119999996"/>
    <n v="1106.1032660000001"/>
    <n v="0.74626860490618951"/>
    <n v="0.20771848000000001"/>
    <n v="0.15501377999999999"/>
    <n v="47.824532349999998"/>
    <n v="241.82628560000001"/>
    <n v="337.17129199999999"/>
    <n v="2750671.6120000002"/>
    <n v="4593075"/>
    <n v="204.20802"/>
    <n v="252.03255235"/>
  </r>
  <r>
    <n v="479"/>
    <x v="478"/>
    <n v="47.278460000000003"/>
    <n v="-68.208629999999999"/>
    <x v="0"/>
    <x v="3"/>
    <x v="22"/>
    <n v="-5"/>
    <n v="230.8666667"/>
    <n v="3.5504115000000001"/>
    <x v="0"/>
    <n v="1.0317335999999999"/>
    <n v="51.895810109999999"/>
    <n v="1665.3131940000001"/>
    <n v="2231.5198350000001"/>
    <n v="0.74626860486767754"/>
    <n v="0.20810799999999999"/>
    <n v="0.15530447999999999"/>
    <n v="47.744695839999999"/>
    <n v="214.90924659999999"/>
    <n v="344.12422700000002"/>
    <n v="2806523.0419999999"/>
    <n v="4505066"/>
    <n v="199.92026999999999"/>
    <n v="247.66496583999998"/>
  </r>
  <r>
    <n v="480"/>
    <x v="479"/>
    <n v="47.250163999999998"/>
    <n v="-68.054053999999994"/>
    <x v="0"/>
    <x v="3"/>
    <x v="22"/>
    <n v="-5"/>
    <n v="203.66666670000001"/>
    <n v="3.5571985000000002"/>
    <x v="0"/>
    <n v="1.0318456"/>
    <n v="29.307581760000001"/>
    <n v="940.46722269999998"/>
    <n v="1260.2260160000001"/>
    <n v="0.74626869367851545"/>
    <n v="0.20976402"/>
    <n v="0.15654029"/>
    <n v="47.371851790000001"/>
    <n v="199.46698040000001"/>
    <n v="344.12422700000002"/>
    <n v="2806523.0419999999"/>
    <n v="4346756.5"/>
    <n v="191.37215"/>
    <n v="238.74400179"/>
  </r>
  <r>
    <n v="481"/>
    <x v="480"/>
    <n v="47.104247999999998"/>
    <n v="-124.18321"/>
    <x v="0"/>
    <x v="0"/>
    <x v="15"/>
    <n v="-8"/>
    <n v="24.25"/>
    <n v="3.2089650000000001"/>
    <x v="0"/>
    <n v="1.0208455000000001"/>
    <n v="30.10381216"/>
    <n v="966.017786"/>
    <n v="1294.463923"/>
    <n v="0.74626860496907022"/>
    <n v="0.18623108999999999"/>
    <n v="0.13897839000000001"/>
    <n v="52.906738439999998"/>
    <n v="8.1783051919999998"/>
    <n v="244.79454530000001"/>
    <n v="848902.56389999995"/>
    <n v="890601.2"/>
    <n v="44.164720000000003"/>
    <n v="97.071458440000001"/>
  </r>
  <r>
    <n v="482"/>
    <x v="481"/>
    <n v="47.132779999999997"/>
    <n v="-124.029144"/>
    <x v="0"/>
    <x v="0"/>
    <x v="15"/>
    <n v="-8"/>
    <n v="49.888888889999997"/>
    <n v="3.1492306999999999"/>
    <x v="0"/>
    <n v="1.0207352999999999"/>
    <n v="59.970133740000001"/>
    <n v="1924.414606"/>
    <n v="2578.7157510000002"/>
    <n v="0.74626860492620462"/>
    <n v="0.18190698"/>
    <n v="0.13575149"/>
    <n v="54.159735849999997"/>
    <n v="1.0336753240000001"/>
    <n v="246.39380510000001"/>
    <n v="848462.37399999995"/>
    <n v="895499.06"/>
    <n v="45.46322"/>
    <n v="99.622955849999997"/>
  </r>
  <r>
    <n v="483"/>
    <x v="482"/>
    <n v="47.161149999999999"/>
    <n v="-123.87492"/>
    <x v="0"/>
    <x v="0"/>
    <x v="15"/>
    <n v="-8"/>
    <n v="89.052631579999996"/>
    <n v="3.1083796000000001"/>
    <x v="0"/>
    <n v="1.0206299000000001"/>
    <n v="62.96057227"/>
    <n v="2020.3761930000001"/>
    <n v="2707.304607"/>
    <n v="0.74626851658144433"/>
    <n v="0.17856695"/>
    <n v="0.13325891000000001"/>
    <n v="55.168271480000001"/>
    <n v="0.09"/>
    <n v="266.91444790000003"/>
    <n v="929107.90480000002"/>
    <n v="965014.9"/>
    <n v="49.908825"/>
    <n v="105.07709647999999"/>
  </r>
  <r>
    <n v="484"/>
    <x v="483"/>
    <n v="47.189377"/>
    <n v="-123.72055"/>
    <x v="0"/>
    <x v="0"/>
    <x v="15"/>
    <n v="-8"/>
    <n v="145.25"/>
    <n v="3.1170779999999998"/>
    <x v="0"/>
    <n v="1.0205747000000001"/>
    <n v="46.865627050000001"/>
    <n v="1503.8967050000001"/>
    <n v="2015.221963"/>
    <n v="0.74626851662592775"/>
    <n v="0.17855515"/>
    <n v="0.13325010000000001"/>
    <n v="55.169558049999999"/>
    <n v="11.717636349999999"/>
    <n v="273.82370759999998"/>
    <n v="957072.37930000003"/>
    <n v="1080173.2"/>
    <n v="55.868299999999998"/>
    <n v="111.03785805"/>
  </r>
  <r>
    <n v="485"/>
    <x v="484"/>
    <n v="47.217452999999999"/>
    <n v="-123.566025"/>
    <x v="0"/>
    <x v="0"/>
    <x v="15"/>
    <n v="-8"/>
    <n v="160.2777778"/>
    <n v="3.1605237000000002"/>
    <x v="0"/>
    <n v="1.0205580999999999"/>
    <n v="57.66463169"/>
    <n v="1850.431863"/>
    <n v="2479.5791629999999"/>
    <n v="0.74626851629177049"/>
    <n v="0.18066447999999999"/>
    <n v="0.13482422999999999"/>
    <n v="54.524726450000003"/>
    <n v="23.84159739"/>
    <n v="273.82370759999998"/>
    <n v="957072.37930000003"/>
    <n v="1135147.5"/>
    <n v="58.026173"/>
    <n v="112.55089945"/>
  </r>
  <r>
    <n v="486"/>
    <x v="485"/>
    <n v="47.245376999999998"/>
    <n v="-123.41135"/>
    <x v="0"/>
    <x v="0"/>
    <x v="17"/>
    <n v="-8"/>
    <n v="169.05555559999999"/>
    <n v="3.1965629999999998"/>
    <x v="0"/>
    <n v="1.0205723"/>
    <n v="69.682433200000006"/>
    <n v="2236.0779259999999"/>
    <n v="2996.3446279999998"/>
    <n v="0.74626860512121307"/>
    <n v="0.18161374"/>
    <n v="0.13553265"/>
    <n v="54.240328570000003"/>
    <n v="19.31491557"/>
    <n v="181.3842856"/>
    <n v="574410.10320000001"/>
    <n v="700365.2"/>
    <n v="35.613959999999999"/>
    <n v="89.854288569999994"/>
  </r>
  <r>
    <n v="487"/>
    <x v="486"/>
    <n v="47.273147999999999"/>
    <n v="-123.256516"/>
    <x v="0"/>
    <x v="0"/>
    <x v="17"/>
    <n v="-8"/>
    <n v="152.4210526"/>
    <n v="3.3006039"/>
    <x v="0"/>
    <n v="1.0206280999999999"/>
    <n v="72.687216800000002"/>
    <n v="2332.4998019999998"/>
    <n v="3125.5503220000001"/>
    <n v="0.74626851648559056"/>
    <n v="0.18762936"/>
    <n v="0.1400219"/>
    <n v="52.503587420000002"/>
    <n v="6.378305192"/>
    <n v="181.3842856"/>
    <n v="574410.10320000001"/>
    <n v="647122.75"/>
    <n v="31.85153"/>
    <n v="84.355117419999999"/>
  </r>
  <r>
    <n v="488"/>
    <x v="487"/>
    <n v="47.300761999999999"/>
    <n v="-123.10154"/>
    <x v="0"/>
    <x v="0"/>
    <x v="17"/>
    <n v="-8"/>
    <n v="81.352941180000002"/>
    <n v="3.3346577000000002"/>
    <x v="0"/>
    <n v="1.0207286"/>
    <n v="51.370199999999997"/>
    <n v="1648.446602"/>
    <n v="2208.9186"/>
    <n v="0.74626860491826186"/>
    <n v="0.18922861999999999"/>
    <n v="0.14121538"/>
    <n v="52.063925009999998"/>
    <n v="7.5366103830000002"/>
    <n v="180.76598039999999"/>
    <n v="572511.23829999997"/>
    <n v="648965.06000000006"/>
    <n v="31.672249000000001"/>
    <n v="83.736174009999999"/>
  </r>
  <r>
    <n v="489"/>
    <x v="488"/>
    <n v="47.328229999999998"/>
    <n v="-122.94642"/>
    <x v="0"/>
    <x v="0"/>
    <x v="17"/>
    <n v="-8"/>
    <n v="72.125"/>
    <n v="3.3191757000000002"/>
    <x v="0"/>
    <n v="1.0208497999999999"/>
    <n v="60.436686620000003"/>
    <n v="1939.386309"/>
    <n v="2598.777525"/>
    <n v="0.7462686937774714"/>
    <n v="0.18826635"/>
    <n v="0.14049728"/>
    <n v="52.334947"/>
    <n v="0.77911688199999996"/>
    <n v="189.3453116"/>
    <n v="602371.35690000001"/>
    <n v="646653.75"/>
    <n v="31.720755"/>
    <n v="84.055701999999997"/>
  </r>
  <r>
    <n v="490"/>
    <x v="489"/>
    <n v="47.355539999999998"/>
    <n v="-122.79114"/>
    <x v="0"/>
    <x v="0"/>
    <x v="23"/>
    <n v="-8"/>
    <n v="60.92307692"/>
    <n v="3.3019466"/>
    <x v="0"/>
    <n v="1.0209701"/>
    <n v="30.338387839999999"/>
    <n v="973.54521409999995"/>
    <n v="1304.550677"/>
    <n v="0.74626860517125004"/>
    <n v="0.18802293"/>
    <n v="0.14031560000000001"/>
    <n v="52.407593060000004"/>
    <n v="4.1682337650000001"/>
    <n v="214.55874660000001"/>
    <n v="712385.70570000005"/>
    <n v="764105"/>
    <n v="37.530697000000004"/>
    <n v="89.938290060000014"/>
  </r>
  <r>
    <n v="491"/>
    <x v="490"/>
    <n v="47.3827"/>
    <n v="-122.63572000000001"/>
    <x v="0"/>
    <x v="0"/>
    <x v="11"/>
    <n v="-8"/>
    <n v="78"/>
    <n v="3.3091279999999998"/>
    <x v="0"/>
    <n v="1.0210745000000001"/>
    <n v="20.040614210000001"/>
    <n v="643.09429209999996"/>
    <n v="861.74641099999997"/>
    <n v="0.74626860511520021"/>
    <n v="0.18901636999999999"/>
    <n v="0.14105699999999999"/>
    <n v="52.136369369999997"/>
    <n v="0.21727922099999999"/>
    <n v="216.12602580000001"/>
    <n v="723768.34030000004"/>
    <n v="760162.8"/>
    <n v="37.140830000000001"/>
    <n v="89.277199370000005"/>
  </r>
  <r>
    <n v="492"/>
    <x v="491"/>
    <n v="47.409709999999997"/>
    <n v="-122.48014999999999"/>
    <x v="0"/>
    <x v="0"/>
    <x v="11"/>
    <n v="-8"/>
    <n v="80.333333330000002"/>
    <n v="3.3025758000000001"/>
    <x v="0"/>
    <n v="1.021196"/>
    <n v="1.198152109"/>
    <n v="38.448162019999998"/>
    <n v="51.520540680000003"/>
    <n v="0.746268604959058"/>
    <n v="0.18889885000000001"/>
    <n v="0.14096928"/>
    <n v="55.618357230000001"/>
    <n v="2.8773506470000001"/>
    <n v="236.67380510000001"/>
    <n v="828349.76569999999"/>
    <n v="873080"/>
    <n v="42.684395000000002"/>
    <n v="98.30275223000001"/>
  </r>
  <r>
    <n v="493"/>
    <x v="492"/>
    <n v="47.43656"/>
    <n v="-122.32443000000001"/>
    <x v="0"/>
    <x v="0"/>
    <x v="18"/>
    <n v="-8"/>
    <n v="80.090909089999997"/>
    <n v="3.3421059999999998"/>
    <x v="0"/>
    <n v="1.0212251999999999"/>
    <n v="10.584107449999999"/>
    <n v="339.63928570000002"/>
    <n v="455.1166202"/>
    <n v="0.74626869383663963"/>
    <n v="0.18977298000000001"/>
    <n v="0.14162159999999999"/>
    <n v="51.934574009999999"/>
    <n v="0.68911688199999999"/>
    <n v="35.349902579999998"/>
    <n v="126319.8815"/>
    <n v="147996.1"/>
    <n v="7.2021189999999997"/>
    <n v="59.136693010000002"/>
  </r>
  <r>
    <n v="494"/>
    <x v="493"/>
    <n v="47.463264000000002"/>
    <n v="-122.16858000000001"/>
    <x v="0"/>
    <x v="0"/>
    <x v="18"/>
    <n v="-8"/>
    <n v="140.1052632"/>
    <n v="3.2211666000000001"/>
    <x v="0"/>
    <n v="1.0211984999999999"/>
    <n v="10.135934799999999"/>
    <n v="325.25758680000001"/>
    <n v="435.84519649999999"/>
    <n v="0.74626860502751924"/>
    <n v="0.18215275"/>
    <n v="0.13593489"/>
    <n v="54.10608311"/>
    <n v="1.430954544"/>
    <n v="22.466012970000001"/>
    <n v="85571.054120000001"/>
    <n v="116261.56"/>
    <n v="5.8944710000000002"/>
    <n v="60.000554110000003"/>
  </r>
  <r>
    <n v="495"/>
    <x v="494"/>
    <n v="47.489815"/>
    <n v="-122.01256600000001"/>
    <x v="0"/>
    <x v="0"/>
    <x v="18"/>
    <n v="-8"/>
    <n v="283"/>
    <n v="3.1056360000000001"/>
    <x v="0"/>
    <n v="1.0211006"/>
    <n v="10.396916559999999"/>
    <n v="333.63241379999999"/>
    <n v="447.0674123"/>
    <n v="0.74626869376048233"/>
    <n v="0.17487657000000001"/>
    <n v="0.13050487999999999"/>
    <n v="56.353050519999996"/>
    <n v="2.0827922060000001"/>
    <n v="38.525486989999997"/>
    <n v="149578.07149999999"/>
    <n v="195860.03"/>
    <n v="10.343287"/>
    <n v="66.69633752"/>
  </r>
  <r>
    <n v="496"/>
    <x v="495"/>
    <n v="47.516204999999999"/>
    <n v="-121.856415"/>
    <x v="0"/>
    <x v="0"/>
    <x v="18"/>
    <n v="-8"/>
    <n v="302.44444440000001"/>
    <n v="3.0547654999999998"/>
    <x v="0"/>
    <n v="1.0208793"/>
    <n v="18.464031080000002"/>
    <n v="592.50244889999999"/>
    <n v="793.95333640000001"/>
    <n v="0.74626860513813942"/>
    <n v="0.17124611000000001"/>
    <n v="0.12779558999999999"/>
    <n v="57.537861220000003"/>
    <n v="0.36"/>
    <n v="49.02305192"/>
    <n v="194976.0784"/>
    <n v="236604.17"/>
    <n v="12.759865"/>
    <n v="70.297726220000001"/>
  </r>
  <r>
    <n v="497"/>
    <x v="496"/>
    <n v="47.542445999999998"/>
    <n v="-121.70012"/>
    <x v="0"/>
    <x v="0"/>
    <x v="18"/>
    <n v="-8"/>
    <n v="497.2"/>
    <n v="2.9886723000000002"/>
    <x v="1"/>
    <n v="1.0201159"/>
    <n v="3.3159780400000001"/>
    <n v="106.4082305"/>
    <n v="142.58705570000001"/>
    <n v="0.74626851629421787"/>
    <n v="0.16851047"/>
    <n v="0.12575410000000001"/>
    <n v="58.437328579999999"/>
    <n v="10.10933116"/>
    <n v="53.592311649999999"/>
    <n v="215409.48149999999"/>
    <n v="319493.71999999997"/>
    <n v="17.509744999999999"/>
    <n v="75.947073579999994"/>
  </r>
  <r>
    <n v="498"/>
    <x v="497"/>
    <n v="47.568527000000003"/>
    <n v="-121.54368599999999"/>
    <x v="0"/>
    <x v="0"/>
    <x v="18"/>
    <n v="-8"/>
    <n v="1081"/>
    <n v="2.997903"/>
    <x v="1"/>
    <n v="1.0194162"/>
    <n v="9.3636002999999995E-2"/>
    <n v="3.0047368570000001"/>
    <n v="4.0263481460000001"/>
    <n v="0.74626851629436819"/>
    <n v="0.17302598"/>
    <n v="0.12912385000000001"/>
    <n v="80.577656910000002"/>
    <n v="24.055129860000001"/>
    <n v="54.628636329999999"/>
    <n v="215538.10200000001"/>
    <n v="424725.4"/>
    <n v="22.669467999999998"/>
    <n v="103.24712491"/>
  </r>
  <r>
    <n v="499"/>
    <x v="498"/>
    <n v="47.696632000000001"/>
    <n v="-120.75936"/>
    <x v="0"/>
    <x v="0"/>
    <x v="12"/>
    <n v="-8"/>
    <n v="875.14285710000001"/>
    <n v="3.8608706000000002"/>
    <x v="0"/>
    <n v="1.0133296000000001"/>
    <n v="0.72349199799999997"/>
    <n v="23.21653264"/>
    <n v="31.110155890000001"/>
    <n v="0.74626860508476867"/>
    <n v="0.22840907999999999"/>
    <n v="0.17045455000000001"/>
    <n v="48.290153599999996"/>
    <n v="4.5847012950000003"/>
    <n v="161.95862980000001"/>
    <n v="557024.54480000003"/>
    <n v="647279.80000000005"/>
    <n v="26.17117"/>
    <n v="74.4613236"/>
  </r>
  <r>
    <n v="500"/>
    <x v="499"/>
    <n v="47.721786000000002"/>
    <n v="-120.60207"/>
    <x v="0"/>
    <x v="0"/>
    <x v="12"/>
    <n v="-8"/>
    <n v="809.33333330000005"/>
    <n v="3.9308814999999999"/>
    <x v="0"/>
    <n v="1.0116058999999999"/>
    <n v="1.4907240690000001"/>
    <n v="47.836664579999997"/>
    <n v="64.101134979999998"/>
    <n v="0.74626860499311554"/>
    <n v="0.23368480999999999"/>
    <n v="0.17439162999999999"/>
    <n v="43.581859819999998"/>
    <n v="0.21727922099999999"/>
    <n v="170.62576609999999"/>
    <n v="583624.23430000001"/>
    <n v="624047.56000000006"/>
    <n v="24.662189999999999"/>
    <n v="68.244049820000001"/>
  </r>
  <r>
    <n v="501"/>
    <x v="500"/>
    <n v="47.746783999999998"/>
    <n v="-120.44465"/>
    <x v="0"/>
    <x v="0"/>
    <x v="12"/>
    <n v="-8"/>
    <n v="1014"/>
    <n v="4.0252131999999996"/>
    <x v="2"/>
    <n v="1.0094091999999999"/>
    <n v="1.063043921"/>
    <n v="34.112605129999999"/>
    <n v="45.710888599999997"/>
    <n v="0.74626869384464345"/>
    <n v="0.24276417"/>
    <n v="0.18116726999999999"/>
    <n v="43.433988210000003"/>
    <n v="6.2702142800000003"/>
    <n v="160.3545259"/>
    <n v="533718.11239999998"/>
    <n v="631600.56000000006"/>
    <n v="24.027152999999998"/>
    <n v="67.461141209999994"/>
  </r>
  <r>
    <n v="502"/>
    <x v="501"/>
    <n v="47.771625999999998"/>
    <n v="-120.28709000000001"/>
    <x v="0"/>
    <x v="0"/>
    <x v="12"/>
    <n v="-8"/>
    <n v="681.46153849999996"/>
    <n v="4.0341944999999999"/>
    <x v="2"/>
    <n v="1.0076176999999999"/>
    <n v="3.3495932370000001"/>
    <n v="107.48693969999999"/>
    <n v="144.03250919999999"/>
    <n v="0.74626860489354019"/>
    <n v="0.24379407"/>
    <n v="0.18193588999999999"/>
    <n v="40.000248489999997"/>
    <n v="5.7738896039999998"/>
    <n v="145.4251233"/>
    <n v="469642.67009999999"/>
    <n v="559764.5"/>
    <n v="21.204432000000001"/>
    <n v="61.204680490000001"/>
  </r>
  <r>
    <n v="503"/>
    <x v="502"/>
    <n v="47.796309999999998"/>
    <n v="-120.12939"/>
    <x v="0"/>
    <x v="0"/>
    <x v="12"/>
    <n v="-8"/>
    <n v="560.6875"/>
    <n v="4.0104839999999999"/>
    <x v="2"/>
    <n v="1.0057327"/>
    <n v="3.4128542180000001"/>
    <n v="109.5169561"/>
    <n v="146.75273139999999"/>
    <n v="0.74626860471504664"/>
    <n v="0.24178205"/>
    <n v="0.18043439"/>
    <n v="40.273557590000003"/>
    <n v="0.34455844099999999"/>
    <n v="154.71805839999999"/>
    <n v="504804.55469999998"/>
    <n v="543383.56000000006"/>
    <n v="20.755198"/>
    <n v="61.028755590000003"/>
  </r>
  <r>
    <n v="504"/>
    <x v="503"/>
    <n v="47.820843000000004"/>
    <n v="-119.97154999999999"/>
    <x v="0"/>
    <x v="0"/>
    <x v="20"/>
    <n v="-8"/>
    <n v="614.66666669999995"/>
    <n v="4.0123680000000004"/>
    <x v="2"/>
    <n v="1.0032293000000001"/>
    <n v="7.6726439209999997"/>
    <n v="246.21172010000001"/>
    <n v="329.92368859999999"/>
    <n v="0.74626869366299886"/>
    <n v="0.24226041000000001"/>
    <n v="0.18079136000000001"/>
    <n v="40.115095590000003"/>
    <n v="0.57727922099999995"/>
    <n v="164.06371419999999"/>
    <n v="525800.27209999994"/>
    <n v="568774.9"/>
    <n v="21.682151999999999"/>
    <n v="61.797247589999998"/>
  </r>
  <r>
    <n v="505"/>
    <x v="504"/>
    <n v="47.845215000000003"/>
    <n v="-119.81358"/>
    <x v="0"/>
    <x v="0"/>
    <x v="20"/>
    <n v="-8"/>
    <n v="774.94117649999998"/>
    <n v="4.0138454000000001"/>
    <x v="2"/>
    <n v="1.0010557"/>
    <n v="49.529474999999998"/>
    <n v="1589.378565"/>
    <n v="2129.767425"/>
    <n v="0.74626860489238633"/>
    <n v="0.24385796000000001"/>
    <n v="0.18198355999999999"/>
    <n v="39.784211480000003"/>
    <n v="0.27"/>
    <n v="181.80669470000001"/>
    <n v="494766.99400000001"/>
    <n v="531951.5"/>
    <n v="20.145567"/>
    <n v="59.929778480000003"/>
  </r>
  <r>
    <n v="506"/>
    <x v="505"/>
    <n v="47.869427000000002"/>
    <n v="-119.65546999999999"/>
    <x v="0"/>
    <x v="0"/>
    <x v="20"/>
    <n v="-8"/>
    <n v="671.65"/>
    <n v="3.9806675999999999"/>
    <x v="0"/>
    <n v="0.99884676999999999"/>
    <n v="45.009188530000003"/>
    <n v="1444.3246059999999"/>
    <n v="1935.3951070000001"/>
    <n v="0.74626860467721534"/>
    <n v="0.24242596"/>
    <n v="0.18091491000000001"/>
    <n v="39.949607520000001"/>
    <n v="6.9348441479999998"/>
    <n v="172.37633750000001"/>
    <n v="469546.66940000001"/>
    <n v="553014.43999999994"/>
    <n v="21.066956000000001"/>
    <n v="61.016563520000005"/>
  </r>
  <r>
    <n v="507"/>
    <x v="506"/>
    <n v="47.893486000000003"/>
    <n v="-119.49723"/>
    <x v="0"/>
    <x v="0"/>
    <x v="20"/>
    <n v="-8"/>
    <n v="653.77777779999997"/>
    <n v="3.9442390999999999"/>
    <x v="0"/>
    <n v="0.99635960000000001"/>
    <n v="79.915818160000001"/>
    <n v="2564.4626440000002"/>
    <n v="3436.380181"/>
    <n v="0.74626860502196579"/>
    <n v="0.24042902999999999"/>
    <n v="0.17942466000000001"/>
    <n v="40.202384039999998"/>
    <n v="16.184103879999999"/>
    <n v="160.95958429999999"/>
    <n v="432337.76740000001"/>
    <n v="530493.06000000006"/>
    <n v="20.376857999999999"/>
    <n v="60.579242039999997"/>
  </r>
  <r>
    <n v="508"/>
    <x v="507"/>
    <n v="47.917389999999997"/>
    <n v="-119.33884999999999"/>
    <x v="0"/>
    <x v="0"/>
    <x v="20"/>
    <n v="-8"/>
    <n v="680.83333330000005"/>
    <n v="3.9306808000000002"/>
    <x v="0"/>
    <n v="0.99421309999999996"/>
    <n v="98.936318850000006"/>
    <n v="3174.8219519999998"/>
    <n v="4254.2617099999998"/>
    <n v="0.74626860508776738"/>
    <n v="0.23937792999999999"/>
    <n v="0.17864026"/>
    <n v="40.31041115"/>
    <n v="10.13756493"/>
    <n v="128.7453376"/>
    <n v="351771.21879999997"/>
    <n v="444480.75"/>
    <n v="17.147991000000001"/>
    <n v="57.458402149999998"/>
  </r>
  <r>
    <n v="509"/>
    <x v="508"/>
    <n v="47.941130000000001"/>
    <n v="-119.18034"/>
    <x v="0"/>
    <x v="0"/>
    <x v="20"/>
    <n v="-8"/>
    <n v="685.35294120000003"/>
    <n v="3.9103621999999998"/>
    <x v="0"/>
    <n v="0.99213176999999997"/>
    <n v="79.214764750000001"/>
    <n v="2541.9658530000002"/>
    <n v="3406.234884"/>
    <n v="0.746268516284739"/>
    <n v="0.23740907"/>
    <n v="0.17717093"/>
    <n v="40.577739209999997"/>
    <n v="1.5427922060000001"/>
    <n v="123.5396817"/>
    <n v="336466.20179999998"/>
    <n v="386184.16"/>
    <n v="15.022477"/>
    <n v="55.600216209999999"/>
  </r>
  <r>
    <n v="510"/>
    <x v="509"/>
    <n v="47.964714000000001"/>
    <n v="-119.0217"/>
    <x v="0"/>
    <x v="0"/>
    <x v="20"/>
    <n v="-8"/>
    <n v="608.46153849999996"/>
    <n v="3.9067614000000002"/>
    <x v="0"/>
    <n v="0.98996024999999999"/>
    <n v="33.614351370000001"/>
    <n v="1078.66941"/>
    <n v="1445.417109"/>
    <n v="0.74626860529295147"/>
    <n v="0.23675223000000001"/>
    <n v="0.17668076999999999"/>
    <n v="40.620255440000001"/>
    <n v="0.21727922099999999"/>
    <n v="112.24490900000001"/>
    <n v="307141.34049999999"/>
    <n v="324631.78000000003"/>
    <n v="12.663138999999999"/>
    <n v="53.283394440000002"/>
  </r>
  <r>
    <n v="511"/>
    <x v="510"/>
    <n v="47.988140000000001"/>
    <n v="-118.86293000000001"/>
    <x v="0"/>
    <x v="0"/>
    <x v="3"/>
    <n v="-8"/>
    <n v="652.11111110000002"/>
    <n v="3.8692806000000002"/>
    <x v="0"/>
    <n v="0.98788039999999999"/>
    <n v="14.81506216"/>
    <n v="475.4086782"/>
    <n v="637.04767279999999"/>
    <n v="0.74626860515861848"/>
    <n v="0.23361794999999999"/>
    <n v="0.17434177000000001"/>
    <n v="41.09721064"/>
    <n v="0.09"/>
    <n v="125.0451947"/>
    <n v="356430.8026"/>
    <n v="393060.88"/>
    <n v="15.538105"/>
    <n v="56.635315640000002"/>
  </r>
  <r>
    <n v="512"/>
    <x v="511"/>
    <n v="48.011414000000002"/>
    <n v="-118.704025"/>
    <x v="0"/>
    <x v="0"/>
    <x v="5"/>
    <n v="-8"/>
    <n v="713"/>
    <n v="3.8139886999999999"/>
    <x v="0"/>
    <n v="0.98601609999999995"/>
    <n v="6.6039299009999999"/>
    <n v="211.91716410000001"/>
    <n v="283.96898570000002"/>
    <n v="0.74626869401815799"/>
    <n v="0.22993727"/>
    <n v="0.17159498000000001"/>
    <n v="41.693131190000003"/>
    <n v="8.0084480449999997"/>
    <n v="145.19304539999999"/>
    <n v="450701.7818"/>
    <n v="541255"/>
    <n v="21.738869000000001"/>
    <n v="63.432000190000004"/>
  </r>
  <r>
    <n v="513"/>
    <x v="512"/>
    <n v="48.034523"/>
    <n v="-118.545"/>
    <x v="0"/>
    <x v="0"/>
    <x v="5"/>
    <n v="-8"/>
    <n v="881.58823529999995"/>
    <n v="3.7861185000000002"/>
    <x v="0"/>
    <n v="0.98457026000000003"/>
    <n v="13.91239764"/>
    <n v="446.44258009999999"/>
    <n v="598.23309870000003"/>
    <n v="0.74626860511420912"/>
    <n v="0.22945940000000001"/>
    <n v="0.17123836000000001"/>
    <n v="41.731835070000002"/>
    <n v="11.53763635"/>
    <n v="145.19304539999999"/>
    <n v="450701.7818"/>
    <n v="586878.9"/>
    <n v="23.620387999999998"/>
    <n v="65.352223070000008"/>
  </r>
  <r>
    <n v="514"/>
    <x v="513"/>
    <n v="48.057476000000001"/>
    <n v="-118.38583"/>
    <x v="0"/>
    <x v="0"/>
    <x v="5"/>
    <n v="-8"/>
    <n v="721.41176470000005"/>
    <n v="3.7457034999999999"/>
    <x v="0"/>
    <n v="0.98314679999999999"/>
    <n v="19.567818240000001"/>
    <n v="627.92248210000002"/>
    <n v="841.41618419999998"/>
    <n v="0.74626860511010362"/>
    <n v="0.222136"/>
    <n v="0.16577314000000001"/>
    <n v="43.0586889"/>
    <n v="24.26336362"/>
    <n v="145.19304539999999"/>
    <n v="450701.7818"/>
    <n v="667711.75"/>
    <n v="27.759682000000002"/>
    <n v="70.818370900000005"/>
  </r>
  <r>
    <n v="515"/>
    <x v="514"/>
    <n v="48.080269999999999"/>
    <n v="-118.22654"/>
    <x v="0"/>
    <x v="0"/>
    <x v="7"/>
    <n v="-8"/>
    <n v="609.29411760000005"/>
    <n v="3.7567751"/>
    <x v="0"/>
    <n v="0.98202650000000002"/>
    <n v="16.57924156"/>
    <n v="532.02040150000005"/>
    <n v="712.90738729999998"/>
    <n v="0.74626860511983928"/>
    <n v="0.22057193999999999"/>
    <n v="0.16460593000000001"/>
    <n v="43.325215589999999"/>
    <n v="42.706512959999998"/>
    <n v="84.961285680000003"/>
    <n v="288880.79979999998"/>
    <n v="608584.43999999994"/>
    <n v="25.480913000000001"/>
    <n v="68.80612859"/>
  </r>
  <r>
    <n v="516"/>
    <x v="515"/>
    <n v="48.102899999999998"/>
    <n v="-118.067116"/>
    <x v="0"/>
    <x v="0"/>
    <x v="7"/>
    <n v="-8"/>
    <n v="944.41176470000005"/>
    <n v="3.7422005999999999"/>
    <x v="0"/>
    <n v="0.98126579999999997"/>
    <n v="10.636919600000001"/>
    <n v="341.33392309999999"/>
    <n v="457.38754299999999"/>
    <n v="0.74626851632467828"/>
    <n v="0.22108143999999999"/>
    <n v="0.16498612000000001"/>
    <n v="43.199092499999999"/>
    <n v="25.064318159999999"/>
    <n v="77.678324630000006"/>
    <n v="285946.31209999998"/>
    <n v="504340.8"/>
    <n v="21.067657000000001"/>
    <n v="64.266749500000003"/>
  </r>
  <r>
    <n v="517"/>
    <x v="516"/>
    <n v="48.125377999999998"/>
    <n v="-117.90758"/>
    <x v="0"/>
    <x v="0"/>
    <x v="7"/>
    <n v="-8"/>
    <n v="933.41176470000005"/>
    <n v="3.6575096"/>
    <x v="0"/>
    <n v="0.98054169999999996"/>
    <n v="14.860745290000001"/>
    <n v="476.87462920000002"/>
    <n v="639.01204740000003"/>
    <n v="0.74626860501347103"/>
    <n v="0.21607857999999999"/>
    <n v="0.16125268000000001"/>
    <n v="44.173671509999998"/>
    <n v="12.84131168"/>
    <n v="83.553909039999994"/>
    <n v="308469.08559999999"/>
    <n v="447298.5"/>
    <n v="19.117457999999999"/>
    <n v="63.291129509999998"/>
  </r>
  <r>
    <n v="518"/>
    <x v="517"/>
    <n v="48.147694000000001"/>
    <n v="-117.7479"/>
    <x v="0"/>
    <x v="0"/>
    <x v="7"/>
    <n v="-8"/>
    <n v="675.88888889999998"/>
    <n v="3.6356522999999998"/>
    <x v="0"/>
    <n v="0.98013249999999996"/>
    <n v="24.47698381"/>
    <n v="785.45548980000001"/>
    <n v="1052.5103039999999"/>
    <n v="0.74626869382173766"/>
    <n v="0.21204649"/>
    <n v="0.15824366000000001"/>
    <n v="44.998894360000001"/>
    <n v="1.71"/>
    <n v="87.688610330000003"/>
    <n v="327869.89889999997"/>
    <n v="374246.28"/>
    <n v="16.29937"/>
    <n v="61.298264360000005"/>
  </r>
  <r>
    <n v="519"/>
    <x v="518"/>
    <n v="48.169849999999997"/>
    <n v="-117.588104"/>
    <x v="0"/>
    <x v="0"/>
    <x v="7"/>
    <n v="-8"/>
    <n v="859.8666667"/>
    <n v="3.6315813000000001"/>
    <x v="0"/>
    <n v="0.98000609999999999"/>
    <n v="13.11033647"/>
    <n v="420.704748"/>
    <n v="563.74446839999996"/>
    <n v="0.74626851629077562"/>
    <n v="0.21297868"/>
    <n v="0.15893932"/>
    <n v="44.797409979999998"/>
    <n v="6.797422074"/>
    <n v="83.807824640000007"/>
    <n v="330649.326"/>
    <n v="440154.62"/>
    <n v="19.085940000000001"/>
    <n v="63.883349979999998"/>
  </r>
  <r>
    <n v="520"/>
    <x v="519"/>
    <n v="48.191839999999999"/>
    <n v="-117.42818"/>
    <x v="0"/>
    <x v="0"/>
    <x v="8"/>
    <n v="-8"/>
    <n v="949.1176471"/>
    <n v="3.5958176000000002"/>
    <x v="0"/>
    <n v="0.98002529999999999"/>
    <n v="6.8809500000000003"/>
    <n v="220.80658919999999"/>
    <n v="295.88085000000001"/>
    <n v="0.74626860508207948"/>
    <n v="0.21095167000000001"/>
    <n v="0.15742663000000001"/>
    <n v="45.228551070000002"/>
    <n v="9.7120519420000004"/>
    <n v="91.413694759999998"/>
    <n v="337511.96340000001"/>
    <n v="458124.84"/>
    <n v="20.056045999999998"/>
    <n v="65.284597070000004"/>
  </r>
  <r>
    <n v="521"/>
    <x v="520"/>
    <n v="48.213679999999997"/>
    <n v="-117.26813"/>
    <x v="0"/>
    <x v="0"/>
    <x v="8"/>
    <n v="-8"/>
    <n v="737"/>
    <n v="3.5760931999999999"/>
    <x v="0"/>
    <n v="0.98013640000000002"/>
    <n v="34.697809419999999"/>
    <n v="1113.437091"/>
    <n v="1492.005805"/>
    <n v="0.74626860516806104"/>
    <n v="0.20719306000000001"/>
    <n v="0.1546217"/>
    <n v="46.05311322"/>
    <n v="2.8991883089999999"/>
    <n v="87.120831120000005"/>
    <n v="318333.77490000002"/>
    <n v="387659.03"/>
    <n v="17.279019999999999"/>
    <n v="63.332133220000003"/>
  </r>
  <r>
    <n v="522"/>
    <x v="521"/>
    <n v="48.235354999999998"/>
    <n v="-117.107956"/>
    <x v="0"/>
    <x v="0"/>
    <x v="8"/>
    <n v="-8"/>
    <n v="803.15"/>
    <n v="3.5579740000000002"/>
    <x v="0"/>
    <n v="0.98043864999999997"/>
    <n v="32.035094600000001"/>
    <n v="1027.9918929999999"/>
    <n v="1377.5090680000001"/>
    <n v="0.74626869389145822"/>
    <n v="0.20577075"/>
    <n v="0.15356023999999999"/>
    <n v="46.38267759"/>
    <n v="1.1763961030000001"/>
    <n v="130.5718311"/>
    <n v="529364.88"/>
    <n v="585941.43999999994"/>
    <n v="26.297530999999999"/>
    <n v="72.680208590000007"/>
  </r>
  <r>
    <n v="523"/>
    <x v="522"/>
    <n v="48.256869999999999"/>
    <n v="-116.94766"/>
    <x v="0"/>
    <x v="1"/>
    <x v="13"/>
    <n v="-8"/>
    <n v="818.5"/>
    <n v="3.517347"/>
    <x v="0"/>
    <n v="0.98083955"/>
    <n v="22.002839210000001"/>
    <n v="706.06120929999997"/>
    <n v="946.12208599999997"/>
    <n v="0.74626860502229098"/>
    <n v="0.20218168"/>
    <n v="0.15088183999999999"/>
    <n v="47.221193800000002"/>
    <n v="10.6338896"/>
    <n v="315.34175310000001"/>
    <n v="1168665.02"/>
    <n v="1269282.3999999999"/>
    <n v="57.977684000000004"/>
    <n v="105.19887780000001"/>
  </r>
  <r>
    <n v="524"/>
    <x v="523"/>
    <n v="48.278224999999999"/>
    <n v="-116.78725"/>
    <x v="0"/>
    <x v="1"/>
    <x v="13"/>
    <n v="-8"/>
    <n v="856.05263160000004"/>
    <n v="3.4805503"/>
    <x v="0"/>
    <n v="0.98114645"/>
    <n v="17.137816260000001"/>
    <n v="549.9448774"/>
    <n v="736.92609919999995"/>
    <n v="0.74626869369535831"/>
    <n v="0.2003008"/>
    <n v="0.14947822999999999"/>
    <n v="47.676316610000001"/>
    <n v="14.557707779999999"/>
    <n v="315.34175310000001"/>
    <n v="1168665.02"/>
    <n v="1284461.8"/>
    <n v="59.221977000000003"/>
    <n v="106.89829361"/>
  </r>
  <r>
    <n v="525"/>
    <x v="524"/>
    <n v="48.299419999999998"/>
    <n v="-116.62671"/>
    <x v="0"/>
    <x v="1"/>
    <x v="13"/>
    <n v="-8"/>
    <n v="856.93333329999996"/>
    <n v="3.4430619999999998"/>
    <x v="0"/>
    <n v="0.98082559999999996"/>
    <n v="9.1093398929999996"/>
    <n v="292.31461810000002"/>
    <n v="391.70161539999998"/>
    <n v="0.74626860499794623"/>
    <n v="0.19826382000000001"/>
    <n v="0.14795807999999999"/>
    <n v="48.153788349999999"/>
    <n v="4.3764675300000002"/>
    <n v="345.46370760000002"/>
    <n v="1313264.872"/>
    <n v="1378635.6"/>
    <n v="64.217060000000004"/>
    <n v="112.37084835"/>
  </r>
  <r>
    <n v="526"/>
    <x v="525"/>
    <n v="48.320450000000001"/>
    <n v="-116.46605"/>
    <x v="0"/>
    <x v="1"/>
    <x v="13"/>
    <n v="-8"/>
    <n v="680.6"/>
    <n v="3.4930425000000001"/>
    <x v="0"/>
    <n v="0.98122555"/>
    <n v="24.885873629999999"/>
    <n v="798.57648670000003"/>
    <n v="1070.092566"/>
    <n v="0.74626860523391392"/>
    <n v="0.20047880000000001"/>
    <n v="0.14961105999999999"/>
    <n v="47.637000759999999"/>
    <n v="1.229116882"/>
    <n v="358.50201279999999"/>
    <n v="1365751.17"/>
    <n v="1412847.4"/>
    <n v="65.083539999999999"/>
    <n v="112.72054076000001"/>
  </r>
  <r>
    <n v="527"/>
    <x v="526"/>
    <n v="48.341324"/>
    <n v="-116.30526999999999"/>
    <x v="0"/>
    <x v="1"/>
    <x v="13"/>
    <n v="-8"/>
    <n v="976.35714289999999"/>
    <n v="3.514135"/>
    <x v="0"/>
    <n v="0.98158800000000002"/>
    <n v="10.48852903"/>
    <n v="336.57213689999998"/>
    <n v="451.0067482"/>
    <n v="0.74626851647626846"/>
    <n v="0.20361498"/>
    <n v="0.15195148"/>
    <n v="46.916862389999999"/>
    <n v="9.0602142800000003"/>
    <n v="364.75303880000001"/>
    <n v="1391179.6680000001"/>
    <n v="1511049.2"/>
    <n v="68.535139999999998"/>
    <n v="115.45200238999999"/>
  </r>
  <r>
    <n v="528"/>
    <x v="527"/>
    <n v="48.362029999999997"/>
    <n v="-116.14438"/>
    <x v="0"/>
    <x v="1"/>
    <x v="13"/>
    <n v="-8"/>
    <n v="1611"/>
    <n v="3.4314624999999999"/>
    <x v="0"/>
    <n v="0.98195109999999997"/>
    <n v="0.19958401100000001"/>
    <n v="6.4045603270000004"/>
    <n v="8.5821124520000005"/>
    <n v="0.74626851638461844"/>
    <n v="0.20041466999999999"/>
    <n v="0.14956317999999999"/>
    <n v="61.856249040000002"/>
    <n v="20.891240249999999"/>
    <n v="364.75303880000001"/>
    <n v="1391179.6680000001"/>
    <n v="1636065"/>
    <n v="75.390299999999996"/>
    <n v="137.24654903999999"/>
  </r>
  <r>
    <n v="529"/>
    <x v="528"/>
    <n v="48.382579999999997"/>
    <n v="-115.98336999999999"/>
    <x v="0"/>
    <x v="2"/>
    <x v="14"/>
    <n v="-7"/>
    <n v="1052.9000000000001"/>
    <n v="3.4884002000000001"/>
    <x v="0"/>
    <n v="0.98237580000000002"/>
    <n v="2.9347920589999998"/>
    <n v="94.176156579999997"/>
    <n v="126.1960586"/>
    <n v="0.7462686047787549"/>
    <n v="0.20089135999999999"/>
    <n v="0.14991893000000001"/>
    <n v="47.582906600000001"/>
    <n v="11.763961030000001"/>
    <n v="333.76480500000002"/>
    <n v="1447217.798"/>
    <n v="1603660.4"/>
    <n v="73.721729999999994"/>
    <n v="121.30463659999999"/>
  </r>
  <r>
    <n v="530"/>
    <x v="529"/>
    <n v="48.402965999999999"/>
    <n v="-115.82223500000001"/>
    <x v="0"/>
    <x v="2"/>
    <x v="14"/>
    <n v="-7"/>
    <n v="910.90909090000002"/>
    <n v="3.4780897999999998"/>
    <x v="0"/>
    <n v="0.98267170000000004"/>
    <n v="18.822778419999999"/>
    <n v="604.01456129999997"/>
    <n v="809.37947199999996"/>
    <n v="0.74626869372837268"/>
    <n v="0.19830205000000001"/>
    <n v="0.14798659"/>
    <n v="48.215621050000003"/>
    <n v="4.0100714269999997"/>
    <n v="330.32561670000001"/>
    <n v="1432896.3030000001"/>
    <n v="1507700.2"/>
    <n v="70.215369999999993"/>
    <n v="118.43099104999999"/>
  </r>
  <r>
    <n v="531"/>
    <x v="530"/>
    <n v="48.423186999999999"/>
    <n v="-115.66098"/>
    <x v="0"/>
    <x v="2"/>
    <x v="14"/>
    <n v="-7"/>
    <n v="940"/>
    <n v="3.5091749999999999"/>
    <x v="0"/>
    <n v="0.98304117000000002"/>
    <n v="4.5108091190000001"/>
    <n v="144.7498348"/>
    <n v="193.96479210000001"/>
    <n v="0.74626860489904334"/>
    <n v="0.19961159000000001"/>
    <n v="0.14896387999999999"/>
    <n v="47.913443479999998"/>
    <n v="2.6291883089999999"/>
    <n v="315.51709720000002"/>
    <n v="1342448.7239999999"/>
    <n v="1424695.4"/>
    <n v="65.914450000000002"/>
    <n v="113.82789348"/>
  </r>
  <r>
    <n v="532"/>
    <x v="531"/>
    <n v="48.443252999999999"/>
    <n v="-115.49961999999999"/>
    <x v="0"/>
    <x v="2"/>
    <x v="14"/>
    <n v="-7"/>
    <n v="1019"/>
    <n v="3.5301008"/>
    <x v="0"/>
    <n v="0.98325300000000004"/>
    <n v="19.93337227"/>
    <n v="639.65294640000002"/>
    <n v="857.13500739999995"/>
    <n v="0.74626860515276172"/>
    <n v="0.20180682999999999"/>
    <n v="0.15060212000000001"/>
    <n v="47.40026435"/>
    <n v="2.9455129860000002"/>
    <n v="300.860344"/>
    <n v="1273006.361"/>
    <n v="1350790"/>
    <n v="61.815356999999999"/>
    <n v="109.21562134999999"/>
  </r>
  <r>
    <n v="533"/>
    <x v="532"/>
    <n v="48.463149999999999"/>
    <n v="-115.33814"/>
    <x v="0"/>
    <x v="2"/>
    <x v="14"/>
    <n v="-7"/>
    <n v="1051.625"/>
    <n v="3.5363072999999998"/>
    <x v="0"/>
    <n v="0.98348760000000002"/>
    <n v="6.6381121580000002"/>
    <n v="213.01403210000001"/>
    <n v="285.43882280000003"/>
    <n v="0.74626860498669345"/>
    <n v="0.20346718"/>
    <n v="0.15184117999999999"/>
    <n v="47.022276769999998"/>
    <n v="7.4710973980000004"/>
    <n v="288.27998689999998"/>
    <n v="1192399.6459999999"/>
    <n v="1301662"/>
    <n v="59.081060000000001"/>
    <n v="106.10333677"/>
  </r>
  <r>
    <n v="534"/>
    <x v="533"/>
    <n v="48.482886999999998"/>
    <n v="-115.17655000000001"/>
    <x v="0"/>
    <x v="2"/>
    <x v="14"/>
    <n v="-7"/>
    <n v="1087.727273"/>
    <n v="3.5447546999999999"/>
    <x v="0"/>
    <n v="0.98367417000000001"/>
    <n v="4.0752719600000002"/>
    <n v="130.77365900000001"/>
    <n v="175.23669430000001"/>
    <n v="0.74626869402203733"/>
    <n v="0.20455029999999999"/>
    <n v="0.15264949"/>
    <n v="46.780246720000001"/>
    <n v="15.14403246"/>
    <n v="288.27998689999998"/>
    <n v="1192399.6459999999"/>
    <n v="1372118.5"/>
    <n v="61.94923"/>
    <n v="108.72947672000001"/>
  </r>
  <r>
    <n v="535"/>
    <x v="534"/>
    <n v="48.502464000000003"/>
    <n v="-115.01485"/>
    <x v="0"/>
    <x v="2"/>
    <x v="14"/>
    <n v="-7"/>
    <n v="1284"/>
    <n v="3.5022829999999998"/>
    <x v="0"/>
    <n v="0.98394214999999996"/>
    <n v="1.974780025"/>
    <n v="63.369802380000003"/>
    <n v="84.915541059999995"/>
    <n v="0.74626860512169246"/>
    <n v="0.20326747000000001"/>
    <n v="0.15169214"/>
    <n v="47.565898310000001"/>
    <n v="8.2874935010000002"/>
    <n v="300.06642840000001"/>
    <n v="1252291.0120000001"/>
    <n v="1391100.9"/>
    <n v="63.202632999999999"/>
    <n v="110.76853131"/>
  </r>
  <r>
    <n v="536"/>
    <x v="535"/>
    <n v="48.521872999999999"/>
    <n v="-114.85303"/>
    <x v="0"/>
    <x v="2"/>
    <x v="14"/>
    <n v="-7"/>
    <n v="1289.666667"/>
    <n v="3.497995"/>
    <x v="0"/>
    <n v="0.98412853"/>
    <n v="0.26503200999999998"/>
    <n v="8.5047579379999991"/>
    <n v="11.39637643"/>
    <n v="0.74626860478317836"/>
    <n v="0.20318505000000001"/>
    <n v="0.15163061"/>
    <n v="59.216353259999998"/>
    <n v="9.2657986930000007"/>
    <n v="299.52642839999999"/>
    <n v="1248633.5109999999"/>
    <n v="1397010.8"/>
    <n v="63.496882999999997"/>
    <n v="122.71323626"/>
  </r>
  <r>
    <n v="537"/>
    <x v="536"/>
    <n v="48.541122000000001"/>
    <n v="-114.69110000000001"/>
    <x v="0"/>
    <x v="2"/>
    <x v="16"/>
    <n v="-7"/>
    <n v="1084.555556"/>
    <n v="3.3924310000000002"/>
    <x v="0"/>
    <n v="0.98123280000000002"/>
    <n v="7.7542915649999999"/>
    <n v="248.83175660000001"/>
    <n v="333.43453729999999"/>
    <n v="0.74626869374398197"/>
    <n v="0.19568869999999999"/>
    <n v="0.14603636"/>
    <n v="48.803349470000001"/>
    <n v="9.7738181770000008"/>
    <n v="246.13485700000001"/>
    <n v="937054.66070000001"/>
    <n v="1078575.8"/>
    <n v="50.901352000000003"/>
    <n v="99.704701470000003"/>
  </r>
  <r>
    <n v="538"/>
    <x v="537"/>
    <n v="48.560203999999999"/>
    <n v="-114.52907"/>
    <x v="0"/>
    <x v="2"/>
    <x v="16"/>
    <n v="-7"/>
    <n v="1121.125"/>
    <n v="3.3756911999999999"/>
    <x v="0"/>
    <n v="0.98128115999999999"/>
    <n v="49.886927049999997"/>
    <n v="1600.8490409999999"/>
    <n v="2145.1378629999999"/>
    <n v="0.74626860520805605"/>
    <n v="0.19393131"/>
    <n v="0.14472488"/>
    <n v="49.247504739999997"/>
    <n v="3.5664675300000002"/>
    <n v="246.13485700000001"/>
    <n v="937054.66070000001"/>
    <n v="990735.75"/>
    <n v="47.179606999999997"/>
    <n v="96.427111739999987"/>
  </r>
  <r>
    <n v="539"/>
    <x v="538"/>
    <n v="48.597884999999998"/>
    <n v="-114.204666"/>
    <x v="0"/>
    <x v="2"/>
    <x v="16"/>
    <n v="-7"/>
    <n v="1228"/>
    <n v="3.3632512000000001"/>
    <x v="0"/>
    <n v="0.98138800000000004"/>
    <n v="1.725623946"/>
    <n v="55.374495920000001"/>
    <n v="74.201829660000001"/>
    <n v="0.74626860515072646"/>
    <n v="0.19244121"/>
    <n v="0.14361286000000001"/>
    <n v="50.86152731"/>
    <n v="30.03990258"/>
    <n v="204.14304540000001"/>
    <n v="740732.24109999998"/>
    <n v="996120.44"/>
    <n v="47.803333000000002"/>
    <n v="98.664860309999995"/>
  </r>
  <r>
    <n v="540"/>
    <x v="539"/>
    <n v="48.689213000000002"/>
    <n v="-113.39176999999999"/>
    <x v="0"/>
    <x v="2"/>
    <x v="19"/>
    <n v="-7"/>
    <n v="1737.090909"/>
    <n v="3.6991345999999998"/>
    <x v="0"/>
    <n v="0.98176925999999998"/>
    <n v="32.835778419999997"/>
    <n v="1053.685479"/>
    <n v="1411.938472"/>
    <n v="0.74626869364035575"/>
    <n v="0.22319185999999999"/>
    <n v="0.16656108"/>
    <n v="42.80785418"/>
    <n v="20.144103879999999"/>
    <n v="264.80497389999999"/>
    <n v="713346.37890000001"/>
    <n v="851531.75"/>
    <n v="35.234400000000001"/>
    <n v="78.04225418"/>
  </r>
  <r>
    <n v="541"/>
    <x v="540"/>
    <n v="48.706985000000003"/>
    <n v="-113.228874"/>
    <x v="0"/>
    <x v="2"/>
    <x v="19"/>
    <n v="-7"/>
    <n v="1553.666667"/>
    <n v="3.7146256000000002"/>
    <x v="0"/>
    <n v="0.9818405"/>
    <n v="79.794966799999997"/>
    <n v="2560.5842739999998"/>
    <n v="3431.1835719999999"/>
    <n v="0.74626851646630576"/>
    <n v="0.22497908999999999"/>
    <n v="0.16789486000000001"/>
    <n v="42.470196540000003"/>
    <n v="7.707564928"/>
    <n v="264.80497389999999"/>
    <n v="713346.37890000001"/>
    <n v="793493.44"/>
    <n v="32.572085999999999"/>
    <n v="75.042282540000002"/>
  </r>
  <r>
    <n v="542"/>
    <x v="541"/>
    <n v="48.724589999999999"/>
    <n v="-113.06589"/>
    <x v="0"/>
    <x v="2"/>
    <x v="19"/>
    <n v="-7"/>
    <n v="1422.705882"/>
    <n v="3.7216182"/>
    <x v="0"/>
    <n v="0.98192405999999999"/>
    <n v="97.048852729999993"/>
    <n v="3114.2536439999999"/>
    <n v="4173.100668"/>
    <n v="0.74626851632901947"/>
    <n v="0.22638161000000001"/>
    <n v="0.16894150999999999"/>
    <n v="42.20989471"/>
    <n v="3.733675324"/>
    <n v="258.90755180000002"/>
    <n v="696410.63489999995"/>
    <n v="756986.44"/>
    <n v="30.881"/>
    <n v="73.090894710000001"/>
  </r>
  <r>
    <n v="543"/>
    <x v="542"/>
    <n v="48.74203"/>
    <n v="-112.90279"/>
    <x v="0"/>
    <x v="2"/>
    <x v="19"/>
    <n v="-7"/>
    <n v="1319.7777779999999"/>
    <n v="3.7296903000000001"/>
    <x v="0"/>
    <n v="0.98202394999999998"/>
    <n v="92.487429489999997"/>
    <n v="2967.8796419999999"/>
    <n v="3976.959468"/>
    <n v="0.746268516408224"/>
    <n v="0.22752652000000001"/>
    <n v="0.16979591999999999"/>
    <n v="42.00085163"/>
    <n v="14.73880518"/>
    <n v="248.27366219999999"/>
    <n v="664851.3787"/>
    <n v="771257.9"/>
    <n v="31.304876"/>
    <n v="73.305727630000007"/>
  </r>
  <r>
    <n v="544"/>
    <x v="543"/>
    <n v="48.759309999999999"/>
    <n v="-112.739586"/>
    <x v="0"/>
    <x v="2"/>
    <x v="19"/>
    <n v="-7"/>
    <n v="1288.444444"/>
    <n v="3.7361664999999999"/>
    <x v="0"/>
    <n v="0.98210039999999998"/>
    <n v="68.752309569999994"/>
    <n v="2206.230939"/>
    <n v="2956.3493119999998"/>
    <n v="0.74626869363670112"/>
    <n v="0.22847008999999999"/>
    <n v="0.17050004999999999"/>
    <n v="41.829958740000002"/>
    <n v="20.60579869"/>
    <n v="220.15683749999999"/>
    <n v="592084.61399999994"/>
    <n v="720836.94"/>
    <n v="29.137487"/>
    <n v="70.967445740000002"/>
  </r>
  <r>
    <n v="545"/>
    <x v="544"/>
    <n v="48.776420000000002"/>
    <n v="-112.57629"/>
    <x v="0"/>
    <x v="2"/>
    <x v="19"/>
    <n v="-7"/>
    <n v="1219.176471"/>
    <n v="3.7422366"/>
    <x v="0"/>
    <n v="0.98217964000000002"/>
    <n v="69.836578419999995"/>
    <n v="2241.0243759999998"/>
    <n v="3002.9728719999998"/>
    <n v="0.74626860498658543"/>
    <n v="0.22897324999999999"/>
    <n v="0.17087556000000001"/>
    <n v="41.740672549999999"/>
    <n v="21.940357129999999"/>
    <n v="202.83096739999999"/>
    <n v="539757.50859999994"/>
    <n v="669221.43999999994"/>
    <n v="26.991652999999999"/>
    <n v="68.732325549999999"/>
  </r>
  <r>
    <n v="546"/>
    <x v="545"/>
    <n v="48.793365000000001"/>
    <n v="-112.41289"/>
    <x v="0"/>
    <x v="2"/>
    <x v="19"/>
    <n v="-7"/>
    <n v="1197.666667"/>
    <n v="3.7309581999999999"/>
    <x v="0"/>
    <n v="0.98222509999999996"/>
    <n v="69.305862300000001"/>
    <n v="2223.9941990000002"/>
    <n v="2980.152079"/>
    <n v="0.74626869369239335"/>
    <n v="0.22830199000000001"/>
    <n v="0.17037462"/>
    <n v="41.864922149999998"/>
    <n v="10.153006489999999"/>
    <n v="203.80552589999999"/>
    <n v="541895.89150000003"/>
    <n v="634356.6"/>
    <n v="25.660679999999999"/>
    <n v="67.525602149999997"/>
  </r>
  <r>
    <n v="547"/>
    <x v="546"/>
    <n v="48.81015"/>
    <n v="-112.24939000000001"/>
    <x v="0"/>
    <x v="2"/>
    <x v="19"/>
    <n v="-7"/>
    <n v="1234.875"/>
    <n v="3.7290334999999999"/>
    <x v="0"/>
    <n v="0.98228939999999998"/>
    <n v="52.62966694"/>
    <n v="1688.8623299999999"/>
    <n v="2263.075679"/>
    <n v="0.74626860501027015"/>
    <n v="0.22806261"/>
    <n v="0.17019598"/>
    <n v="41.911019860000003"/>
    <n v="3.479116882"/>
    <n v="214.17206479999999"/>
    <n v="571916.85609999998"/>
    <n v="615735.69999999995"/>
    <n v="24.933579999999999"/>
    <n v="66.844599860000002"/>
  </r>
  <r>
    <n v="548"/>
    <x v="547"/>
    <n v="48.82676"/>
    <n v="-112.08579"/>
    <x v="0"/>
    <x v="2"/>
    <x v="21"/>
    <n v="-7"/>
    <n v="1207.6500000000001"/>
    <n v="3.7277985"/>
    <x v="0"/>
    <n v="0.98233366"/>
    <n v="65.449139059999993"/>
    <n v="2100.2331720000002"/>
    <n v="2814.3129800000002"/>
    <n v="0.74626851630411062"/>
    <n v="0.22795509"/>
    <n v="0.17011573999999999"/>
    <n v="41.9322661"/>
    <n v="0.09"/>
    <n v="223.29404529999999"/>
    <n v="595331.98699999996"/>
    <n v="631024.80000000005"/>
    <n v="25.56475"/>
    <n v="67.497016099999996"/>
  </r>
  <r>
    <n v="549"/>
    <x v="548"/>
    <n v="48.843209999999999"/>
    <n v="-111.922104"/>
    <x v="0"/>
    <x v="2"/>
    <x v="21"/>
    <n v="-7"/>
    <n v="1077.333333"/>
    <n v="3.7215897999999998"/>
    <x v="0"/>
    <n v="0.98232143999999999"/>
    <n v="57.850686469999999"/>
    <n v="1856.402497"/>
    <n v="2487.579518"/>
    <n v="0.74626860511077742"/>
    <n v="0.22692491000000001"/>
    <n v="0.16934693000000001"/>
    <n v="42.122223650000002"/>
    <n v="10.36918831"/>
    <n v="225.32411680000001"/>
    <n v="600320.38060000003"/>
    <n v="699720.7"/>
    <n v="28.476521999999999"/>
    <n v="70.598745649999998"/>
  </r>
  <r>
    <n v="550"/>
    <x v="549"/>
    <n v="48.859490000000001"/>
    <n v="-111.75830999999999"/>
    <x v="0"/>
    <x v="2"/>
    <x v="21"/>
    <n v="-7"/>
    <n v="1091.421053"/>
    <n v="3.7138822"/>
    <x v="0"/>
    <n v="0.98235612999999999"/>
    <n v="45.430384570000001"/>
    <n v="1457.8407709999999"/>
    <n v="1953.506537"/>
    <n v="0.74626869344333291"/>
    <n v="0.22646037999999999"/>
    <n v="0.16900029999999999"/>
    <n v="42.209788959999997"/>
    <n v="22.411097399999999"/>
    <n v="225.32411680000001"/>
    <n v="600320.38060000003"/>
    <n v="744787.1"/>
    <n v="30.372765000000001"/>
    <n v="72.582553959999998"/>
  </r>
  <r>
    <n v="551"/>
    <x v="550"/>
    <n v="48.875610000000002"/>
    <n v="-111.59443"/>
    <x v="0"/>
    <x v="2"/>
    <x v="21"/>
    <n v="-7"/>
    <n v="1195"/>
    <n v="3.7025435"/>
    <x v="0"/>
    <n v="0.98226743999999999"/>
    <n v="72.046502050000001"/>
    <n v="2311.940106"/>
    <n v="3097.9995880000001"/>
    <n v="0.74626869382269267"/>
    <n v="0.22577952000000001"/>
    <n v="0.16849217"/>
    <n v="42.334079780000003"/>
    <n v="35.571383099999998"/>
    <n v="225.32411680000001"/>
    <n v="600320.38060000003"/>
    <n v="806918.25"/>
    <n v="33.005732999999999"/>
    <n v="75.339812780000003"/>
  </r>
  <r>
    <n v="552"/>
    <x v="551"/>
    <n v="48.891556000000001"/>
    <n v="-111.43044999999999"/>
    <x v="0"/>
    <x v="2"/>
    <x v="21"/>
    <n v="-7"/>
    <n v="1241.4000000000001"/>
    <n v="3.6864400000000002"/>
    <x v="0"/>
    <n v="0.9822031"/>
    <n v="56.68047773"/>
    <n v="1818.8510249999999"/>
    <n v="2437.2605429999999"/>
    <n v="0.74626860481694512"/>
    <n v="0.22434749000000001"/>
    <n v="0.1674235"/>
    <n v="42.602119170000002"/>
    <n v="47.240499990000004"/>
    <n v="225.32411680000001"/>
    <n v="600320.38060000003"/>
    <n v="869944.5"/>
    <n v="35.810859999999998"/>
    <n v="78.41297917"/>
  </r>
  <r>
    <n v="553"/>
    <x v="552"/>
    <n v="48.907336999999998"/>
    <n v="-111.26639"/>
    <x v="0"/>
    <x v="2"/>
    <x v="24"/>
    <n v="-7"/>
    <n v="1247.380952"/>
    <n v="3.6400929999999998"/>
    <x v="0"/>
    <n v="0.98210109999999995"/>
    <n v="70.164304099999995"/>
    <n v="2251.5409460000001"/>
    <n v="3017.0650759999999"/>
    <n v="0.74626860517873705"/>
    <n v="0.22105648"/>
    <n v="0.16496749999999999"/>
    <n v="43.232834160000003"/>
    <n v="52.640499990000002"/>
    <n v="222.70927259999999"/>
    <n v="580943.85210000002"/>
    <n v="827108.4"/>
    <n v="34.554417000000001"/>
    <n v="77.787251160000011"/>
  </r>
  <r>
    <n v="554"/>
    <x v="553"/>
    <n v="48.92295"/>
    <n v="-111.10222"/>
    <x v="0"/>
    <x v="2"/>
    <x v="24"/>
    <n v="-7"/>
    <n v="1263.2666670000001"/>
    <n v="3.6620054"/>
    <x v="0"/>
    <n v="0.98192630000000003"/>
    <n v="62.00858101"/>
    <n v="1989.827462"/>
    <n v="2666.3689829999998"/>
    <n v="0.74626860524052241"/>
    <n v="0.22314503999999999"/>
    <n v="0.16652615000000001"/>
    <n v="42.82220161"/>
    <n v="55.877396079999997"/>
    <n v="222.70927259999999"/>
    <n v="580943.85210000002"/>
    <n v="856628.9"/>
    <n v="35.452747000000002"/>
    <n v="78.274948609999996"/>
  </r>
  <r>
    <n v="555"/>
    <x v="554"/>
    <n v="48.938400000000001"/>
    <n v="-110.93797000000001"/>
    <x v="0"/>
    <x v="2"/>
    <x v="24"/>
    <n v="-7"/>
    <n v="1045.7333329999999"/>
    <n v="3.7135231000000002"/>
    <x v="0"/>
    <n v="0.98179609999999995"/>
    <n v="62.095410790000003"/>
    <n v="1992.613554"/>
    <n v="2670.102664"/>
    <n v="0.74626851651274184"/>
    <n v="0.22677483000000001"/>
    <n v="0.16923495"/>
    <n v="42.13240278"/>
    <n v="52.564844149999999"/>
    <n v="248.6803634"/>
    <n v="622544.8077"/>
    <n v="880667.9"/>
    <n v="35.864246000000001"/>
    <n v="77.996648780000001"/>
  </r>
  <r>
    <n v="556"/>
    <x v="555"/>
    <n v="48.953682000000001"/>
    <n v="-110.77361999999999"/>
    <x v="0"/>
    <x v="2"/>
    <x v="24"/>
    <n v="-7"/>
    <n v="977.8125"/>
    <n v="3.7248703999999999"/>
    <x v="0"/>
    <n v="0.98155110000000001"/>
    <n v="70.705137300000004"/>
    <n v="2268.8960400000001"/>
    <n v="3040.3209040000002"/>
    <n v="0.74626860507222303"/>
    <n v="0.22759412000000001"/>
    <n v="0.16984637"/>
    <n v="41.972511869999998"/>
    <n v="54.28763635"/>
    <n v="239.42845439999999"/>
    <n v="600424.26329999999"/>
    <n v="863900.5"/>
    <n v="35.054768000000003"/>
    <n v="77.027279870000001"/>
  </r>
  <r>
    <n v="557"/>
    <x v="556"/>
    <n v="48.968795999999998"/>
    <n v="-110.60919"/>
    <x v="0"/>
    <x v="2"/>
    <x v="25"/>
    <n v="-7"/>
    <n v="929"/>
    <n v="3.7275689000000001"/>
    <x v="0"/>
    <n v="0.98007160000000004"/>
    <n v="51.906255469999998"/>
    <n v="1665.648381"/>
    <n v="2231.968985"/>
    <n v="0.74626860507203685"/>
    <n v="0.22771272000000001"/>
    <n v="0.16993484"/>
    <n v="41.901021659999998"/>
    <n v="56.202123370000002"/>
    <n v="223.87919460000001"/>
    <n v="563673.65949999995"/>
    <n v="835820.94"/>
    <n v="33.897713000000003"/>
    <n v="75.798734660000008"/>
  </r>
  <r>
    <n v="558"/>
    <x v="557"/>
    <n v="48.983739999999997"/>
    <n v="-110.44467"/>
    <x v="0"/>
    <x v="2"/>
    <x v="25"/>
    <n v="-7"/>
    <n v="878.54545450000001"/>
    <n v="3.7226446000000002"/>
    <x v="0"/>
    <n v="0.97968049999999995"/>
    <n v="32.78863784"/>
    <n v="1052.172634"/>
    <n v="1409.911427"/>
    <n v="0.74626860514125049"/>
    <n v="0.22705711000000001"/>
    <n v="0.16944561999999999"/>
    <n v="42.008839279999997"/>
    <n v="57.912123370000003"/>
    <n v="212.1908894"/>
    <n v="535912.68099999998"/>
    <n v="816464.25"/>
    <n v="33.208286000000001"/>
    <n v="75.217125280000005"/>
  </r>
  <r>
    <n v="559"/>
    <x v="558"/>
    <n v="48.998524000000003"/>
    <n v="-110.28006000000001"/>
    <x v="0"/>
    <x v="2"/>
    <x v="25"/>
    <n v="-7"/>
    <n v="858.44444439999995"/>
    <n v="3.7247254999999999"/>
    <x v="0"/>
    <n v="0.97923269999999996"/>
    <n v="15.91633685"/>
    <n v="510.74808760000002"/>
    <n v="684.40248469999995"/>
    <n v="0.74626860512331517"/>
    <n v="0.22702283000000001"/>
    <n v="0.16942004999999999"/>
    <n v="42.000112280000003"/>
    <n v="59.790428560000002"/>
    <n v="204.0562596"/>
    <n v="514912.26809999999"/>
    <n v="803959.56"/>
    <n v="32.704619999999998"/>
    <n v="74.704732280000002"/>
  </r>
  <r>
    <n v="560"/>
    <x v="559"/>
    <n v="47.351272999999999"/>
    <n v="-69.184510000000003"/>
    <x v="0"/>
    <x v="3"/>
    <x v="22"/>
    <n v="-5"/>
    <n v="349"/>
    <n v="3.5612469"/>
    <x v="0"/>
    <n v="1.0300560000000001"/>
    <n v="80.468959569999996"/>
    <n v="2582.2127030000001"/>
    <n v="3460.165262"/>
    <n v="0.7462686049589039"/>
    <n v="0.20850015"/>
    <n v="0.15559713999999999"/>
    <n v="47.593440440000002"/>
    <n v="328.63938289999999"/>
    <n v="330.50379850000002"/>
    <n v="2701813.4870000002"/>
    <n v="5285089"/>
    <n v="234.09402"/>
    <n v="281.68746044"/>
  </r>
  <r>
    <n v="561"/>
    <x v="560"/>
    <n v="47.241010000000003"/>
    <n v="-68.564390000000003"/>
    <x v="0"/>
    <x v="3"/>
    <x v="22"/>
    <n v="-5"/>
    <n v="260.7692308"/>
    <n v="3.5501144"/>
    <x v="0"/>
    <n v="1.0305774999999999"/>
    <n v="24.706779789999999"/>
    <n v="792.82953999999995"/>
    <n v="1062.391531"/>
    <n v="0.74626869366487825"/>
    <n v="0.20731701"/>
    <n v="0.15471418000000001"/>
    <n v="47.884268939999998"/>
    <n v="267.58237000000003"/>
    <n v="337.08129200000002"/>
    <n v="2749877.8250000002"/>
    <n v="4773286"/>
    <n v="212.63118"/>
    <n v="260.51544894"/>
  </r>
  <r>
    <n v="562"/>
    <x v="561"/>
    <n v="47.213062000000001"/>
    <n v="-68.409744000000003"/>
    <x v="0"/>
    <x v="3"/>
    <x v="22"/>
    <n v="-5"/>
    <n v="248.05882349999999"/>
    <n v="3.5440263999999999"/>
    <x v="0"/>
    <n v="1.0308462"/>
    <n v="39.593282520000002"/>
    <n v="1270.53062"/>
    <n v="1702.511148"/>
    <n v="0.74626860534366379"/>
    <n v="0.2080234"/>
    <n v="0.15524134000000001"/>
    <n v="47.73152941"/>
    <n v="254.7911297"/>
    <n v="336.64673349999998"/>
    <n v="2745965.7030000002"/>
    <n v="4737137.5"/>
    <n v="210.30431999999999"/>
    <n v="258.03584940999997"/>
  </r>
  <r>
    <n v="563"/>
    <x v="562"/>
    <n v="47.184963000000003"/>
    <n v="-68.255250000000004"/>
    <x v="0"/>
    <x v="3"/>
    <x v="22"/>
    <n v="-5"/>
    <n v="219.68421050000001"/>
    <n v="3.5271792"/>
    <x v="0"/>
    <n v="1.0311383000000001"/>
    <n v="48.607289209999998"/>
    <n v="1559.786038"/>
    <n v="2090.1134360000001"/>
    <n v="0.7462686049160443"/>
    <n v="0.20810888999999999"/>
    <n v="0.15530513000000001"/>
    <n v="47.722651509999999"/>
    <n v="254.990318"/>
    <n v="344.12422700000002"/>
    <n v="2806523.0419999999"/>
    <n v="4724859.5"/>
    <n v="209.67308"/>
    <n v="257.39573151000002"/>
  </r>
  <r>
    <n v="564"/>
    <x v="563"/>
    <n v="47.156714999999998"/>
    <n v="-68.100890000000007"/>
    <x v="0"/>
    <x v="3"/>
    <x v="22"/>
    <n v="-5"/>
    <n v="239.2105263"/>
    <n v="3.5661499999999999"/>
    <x v="0"/>
    <n v="1.0313650000000001"/>
    <n v="81.374862300000004"/>
    <n v="2611.282404"/>
    <n v="3499.1190790000001"/>
    <n v="0.74626851645936798"/>
    <n v="0.21157831999999999"/>
    <n v="0.15789428"/>
    <n v="46.948275359999997"/>
    <n v="201.6834479"/>
    <n v="344.12422700000002"/>
    <n v="2806523.0419999999"/>
    <n v="4504055"/>
    <n v="196.59700000000001"/>
    <n v="243.54527536000001"/>
  </r>
  <r>
    <n v="565"/>
    <x v="564"/>
    <n v="47.128315000000001"/>
    <n v="-67.946700000000007"/>
    <x v="0"/>
    <x v="3"/>
    <x v="22"/>
    <n v="-5"/>
    <n v="219.35714290000001"/>
    <n v="3.5473528000000001"/>
    <x v="0"/>
    <n v="1.0316130999999999"/>
    <n v="43.66904194"/>
    <n v="1401.320072"/>
    <n v="1877.768804"/>
    <n v="0.74626869347010405"/>
    <n v="0.21002881000000001"/>
    <n v="0.15673791000000001"/>
    <n v="47.303661380000001"/>
    <n v="181.26075309999999"/>
    <n v="344.12422700000002"/>
    <n v="2806523.0419999999"/>
    <n v="4304743.5"/>
    <n v="189.28352000000001"/>
    <n v="236.58718138"/>
  </r>
  <r>
    <n v="566"/>
    <x v="565"/>
    <n v="47.010886999999997"/>
    <n v="-124.13611"/>
    <x v="0"/>
    <x v="0"/>
    <x v="15"/>
    <n v="-8"/>
    <n v="11.2"/>
    <n v="3.2327015000000001"/>
    <x v="0"/>
    <n v="1.0208063000000001"/>
    <n v="5.8856219599999999"/>
    <n v="188.86696029999999"/>
    <n v="253.0817443"/>
    <n v="0.74626860511961468"/>
    <n v="0.18788746000000001"/>
    <n v="0.14021449999999999"/>
    <n v="52.438717680000003"/>
    <n v="26.63689609"/>
    <n v="244.79454530000001"/>
    <n v="848902.56389999995"/>
    <n v="895615.7"/>
    <n v="44.021850000000001"/>
    <n v="96.460567679999997"/>
  </r>
  <r>
    <n v="567"/>
    <x v="566"/>
    <n v="47.039368000000003"/>
    <n v="-123.98227"/>
    <x v="0"/>
    <x v="0"/>
    <x v="15"/>
    <n v="-8"/>
    <n v="44.466666670000002"/>
    <n v="3.1667755"/>
    <x v="0"/>
    <n v="1.0206647"/>
    <n v="42.231454100000001"/>
    <n v="1355.1885199999999"/>
    <n v="1815.952526"/>
    <n v="0.74626869403082619"/>
    <n v="0.18222041"/>
    <n v="0.13598539000000001"/>
    <n v="54.063625119999998"/>
    <n v="1.5209545440000001"/>
    <n v="230.86793489999999"/>
    <n v="787082.64740000002"/>
    <n v="837627.4"/>
    <n v="42.452007000000002"/>
    <n v="96.515632119999992"/>
  </r>
  <r>
    <n v="568"/>
    <x v="567"/>
    <n v="47.067689999999999"/>
    <n v="-123.82828000000001"/>
    <x v="0"/>
    <x v="0"/>
    <x v="15"/>
    <n v="-8"/>
    <n v="69.888888890000004"/>
    <n v="3.1065855"/>
    <x v="0"/>
    <n v="1.0205622999999999"/>
    <n v="37.485178419999997"/>
    <n v="1202.8825079999999"/>
    <n v="1611.862672"/>
    <n v="0.74626860519541827"/>
    <n v="0.17781739999999999"/>
    <n v="0.13269953000000001"/>
    <n v="55.397923990000002"/>
    <n v="6.8410973979999996"/>
    <n v="275.23282449999999"/>
    <n v="963596.39179999998"/>
    <n v="1055796.5"/>
    <n v="54.834057000000001"/>
    <n v="110.23198099000001"/>
  </r>
  <r>
    <n v="569"/>
    <x v="568"/>
    <n v="47.095869999999998"/>
    <n v="-123.67413000000001"/>
    <x v="0"/>
    <x v="0"/>
    <x v="15"/>
    <n v="-8"/>
    <n v="99.157894740000003"/>
    <n v="3.1139695999999999"/>
    <x v="0"/>
    <n v="1.0204947"/>
    <n v="47.901133739999999"/>
    <n v="1537.1258270000001"/>
    <n v="2059.7487510000001"/>
    <n v="0.74626860497122838"/>
    <n v="0.17834131"/>
    <n v="0.13309054000000001"/>
    <n v="55.23226502"/>
    <n v="11.21491557"/>
    <n v="274.88826610000001"/>
    <n v="961965.36289999995"/>
    <n v="1080297"/>
    <n v="55.941692000000003"/>
    <n v="111.17395702"/>
  </r>
  <r>
    <n v="570"/>
    <x v="569"/>
    <n v="47.123894"/>
    <n v="-123.51983"/>
    <x v="0"/>
    <x v="0"/>
    <x v="15"/>
    <n v="-8"/>
    <n v="109.2222222"/>
    <n v="3.1473258"/>
    <x v="0"/>
    <n v="1.0204656000000001"/>
    <n v="45.95041011"/>
    <n v="1474.5279840000001"/>
    <n v="1975.8676350000001"/>
    <n v="0.74626860518417271"/>
    <n v="0.17920765"/>
    <n v="0.13373705999999999"/>
    <n v="54.964028310000003"/>
    <n v="17.481383099999999"/>
    <n v="200.0670064"/>
    <n v="650358.62580000004"/>
    <n v="772293.8"/>
    <n v="39.798839999999998"/>
    <n v="94.762868310000002"/>
  </r>
  <r>
    <n v="571"/>
    <x v="570"/>
    <n v="47.151769999999999"/>
    <n v="-123.36539"/>
    <x v="0"/>
    <x v="0"/>
    <x v="17"/>
    <n v="-8"/>
    <n v="120.44444439999999"/>
    <n v="3.1695163000000002"/>
    <x v="0"/>
    <n v="1.0204960000000001"/>
    <n v="70.356845210000003"/>
    <n v="2257.719235"/>
    <n v="3025.3443440000001"/>
    <n v="0.7462685163352103"/>
    <n v="0.17920189"/>
    <n v="0.13373277"/>
    <n v="54.967081610000001"/>
    <n v="19.926824660000001"/>
    <n v="161.65555190000001"/>
    <n v="515105.23749999999"/>
    <n v="653423.43999999994"/>
    <n v="33.674145000000003"/>
    <n v="88.641226610000004"/>
  </r>
  <r>
    <n v="572"/>
    <x v="571"/>
    <n v="47.179493000000001"/>
    <n v="-123.210785"/>
    <x v="0"/>
    <x v="0"/>
    <x v="17"/>
    <n v="-8"/>
    <n v="112.68421050000001"/>
    <n v="3.2555272999999998"/>
    <x v="0"/>
    <n v="1.0205488"/>
    <n v="47.318902729999998"/>
    <n v="1518.4422959999999"/>
    <n v="2034.712818"/>
    <n v="0.74626860487001656"/>
    <n v="0.184201"/>
    <n v="0.13746342"/>
    <n v="53.477501840000002"/>
    <n v="6.8757272660000002"/>
    <n v="161.65555190000001"/>
    <n v="515105.23749999999"/>
    <n v="591488.9"/>
    <n v="29.655073000000002"/>
    <n v="83.132574840000004"/>
  </r>
  <r>
    <n v="573"/>
    <x v="572"/>
    <n v="47.207059999999998"/>
    <n v="-123.05604"/>
    <x v="0"/>
    <x v="0"/>
    <x v="17"/>
    <n v="-8"/>
    <n v="52.125"/>
    <n v="3.3094277000000001"/>
    <x v="0"/>
    <n v="1.0206492"/>
    <n v="37.214880469999997"/>
    <n v="1194.208768"/>
    <n v="1600.2398599999999"/>
    <n v="0.74626860500775183"/>
    <n v="0.18735114"/>
    <n v="0.13981426999999999"/>
    <n v="52.582430559999999"/>
    <n v="6.8410973979999996"/>
    <n v="170.1629739"/>
    <n v="542529.25760000001"/>
    <n v="620661.80000000005"/>
    <n v="30.594481999999999"/>
    <n v="83.176912560000005"/>
  </r>
  <r>
    <n v="574"/>
    <x v="573"/>
    <n v="47.234478000000003"/>
    <n v="-122.901146"/>
    <x v="0"/>
    <x v="0"/>
    <x v="17"/>
    <n v="-8"/>
    <n v="51.777777780000001"/>
    <n v="3.2929156000000002"/>
    <x v="0"/>
    <n v="1.020753"/>
    <n v="11.895174320000001"/>
    <n v="381.71079120000002"/>
    <n v="511.49249559999998"/>
    <n v="0.74626860507941351"/>
    <n v="0.18567768000000001"/>
    <n v="0.13856544000000001"/>
    <n v="53.060603380000003"/>
    <n v="33.602623360000003"/>
    <n v="106.3042662"/>
    <n v="357991.22249999997"/>
    <n v="441028.47"/>
    <n v="21.935692"/>
    <n v="74.996295380000007"/>
  </r>
  <r>
    <n v="575"/>
    <x v="574"/>
    <n v="47.261744999999998"/>
    <n v="-122.74611"/>
    <x v="0"/>
    <x v="0"/>
    <x v="23"/>
    <n v="-8"/>
    <n v="44.625"/>
    <n v="3.3946402"/>
    <x v="0"/>
    <n v="1.0208735"/>
    <n v="15.14586489"/>
    <n v="486.02404680000001"/>
    <n v="651.2721904"/>
    <n v="0.7462686937415407"/>
    <n v="0.19354383999999999"/>
    <n v="0.14443566999999999"/>
    <n v="50.908847379999997"/>
    <n v="16.923292190000002"/>
    <n v="211.9077207"/>
    <n v="702295.39159999997"/>
    <n v="744050.7"/>
    <n v="35.503210000000003"/>
    <n v="86.412057379999993"/>
  </r>
  <r>
    <n v="576"/>
    <x v="575"/>
    <n v="47.288857"/>
    <n v="-122.59090999999999"/>
    <x v="0"/>
    <x v="0"/>
    <x v="23"/>
    <n v="-8"/>
    <n v="66.125"/>
    <n v="3.3918694999999999"/>
    <x v="0"/>
    <n v="1.0209744999999999"/>
    <n v="5.3031511780000002"/>
    <n v="170.175735"/>
    <n v="228.0355007"/>
    <n v="0.74626860500936032"/>
    <n v="0.19377509000000001"/>
    <n v="0.14460825999999999"/>
    <n v="50.852064319999997"/>
    <n v="2.4209545440000002"/>
    <n v="70.649733729999994"/>
    <n v="255527.18799999999"/>
    <n v="297619.21999999997"/>
    <n v="14.184284999999999"/>
    <n v="65.036349319999999"/>
  </r>
  <r>
    <n v="577"/>
    <x v="576"/>
    <n v="47.34263"/>
    <n v="-122.280106"/>
    <x v="0"/>
    <x v="0"/>
    <x v="18"/>
    <n v="-8"/>
    <n v="90.875"/>
    <n v="3.2835252000000001"/>
    <x v="0"/>
    <n v="1.0210927999999999"/>
    <n v="10.16323176"/>
    <n v="326.13357280000002"/>
    <n v="437.01896579999999"/>
    <n v="0.74626869386088335"/>
    <n v="0.18575159999999999"/>
    <n v="0.13862062"/>
    <n v="53.053449020000002"/>
    <n v="0.127279221"/>
    <n v="38.335344139999997"/>
    <n v="127986.2749"/>
    <n v="164255.10999999999"/>
    <n v="8.1664010000000005"/>
    <n v="61.219850020000003"/>
  </r>
  <r>
    <n v="578"/>
    <x v="577"/>
    <n v="47.369278000000001"/>
    <n v="-122.12447"/>
    <x v="0"/>
    <x v="0"/>
    <x v="18"/>
    <n v="-8"/>
    <n v="137.2352941"/>
    <n v="3.1584089999999998"/>
    <x v="0"/>
    <n v="1.0210425999999999"/>
    <n v="15.89519795"/>
    <n v="510.06974960000002"/>
    <n v="683.49351179999996"/>
    <n v="0.74626860503286496"/>
    <n v="0.17796692"/>
    <n v="0.13281113999999999"/>
    <n v="55.371973859999997"/>
    <n v="1.281837662"/>
    <n v="31.149688300000001"/>
    <n v="116705.11350000001"/>
    <n v="143994.17000000001"/>
    <n v="7.472226"/>
    <n v="62.844199859999996"/>
  </r>
  <r>
    <n v="579"/>
    <x v="578"/>
    <n v="47.395780000000002"/>
    <n v="-121.968704"/>
    <x v="0"/>
    <x v="0"/>
    <x v="18"/>
    <n v="-8"/>
    <n v="258.26315790000001"/>
    <n v="3.0691752000000001"/>
    <x v="0"/>
    <n v="1.0209087999999999"/>
    <n v="20.413943920000001"/>
    <n v="655.0742745"/>
    <n v="877.79958859999999"/>
    <n v="0.74626860505229453"/>
    <n v="0.17231081000000001"/>
    <n v="0.12859017"/>
    <n v="57.18364158"/>
    <n v="1.806396103"/>
    <n v="40.676441529999998"/>
    <n v="157745.6464"/>
    <n v="188159.17"/>
    <n v="10.084567"/>
    <n v="67.268208579999992"/>
  </r>
  <r>
    <n v="580"/>
    <x v="579"/>
    <n v="47.422127000000003"/>
    <n v="-121.81279000000001"/>
    <x v="0"/>
    <x v="0"/>
    <x v="18"/>
    <n v="-8"/>
    <n v="477.84615380000002"/>
    <n v="3.032794"/>
    <x v="0"/>
    <n v="1.0207081"/>
    <n v="5.6596317630000001"/>
    <n v="181.6150581"/>
    <n v="243.36416579999999"/>
    <n v="0.74626869367963455"/>
    <n v="0.17113143"/>
    <n v="0.12771003"/>
    <n v="57.56877214"/>
    <n v="2.3527922060000002"/>
    <n v="65.208707759999996"/>
    <n v="250200.6612"/>
    <n v="306715.75"/>
    <n v="16.552009999999999"/>
    <n v="74.120782140000003"/>
  </r>
  <r>
    <n v="581"/>
    <x v="580"/>
    <n v="47.448320000000002"/>
    <n v="-121.65673"/>
    <x v="0"/>
    <x v="0"/>
    <x v="18"/>
    <n v="-8"/>
    <n v="475"/>
    <n v="3.052152"/>
    <x v="0"/>
    <n v="1.0201768"/>
    <n v="1.8812249999999999"/>
    <n v="60.367670910000001"/>
    <n v="80.892674999999997"/>
    <n v="0.74626869379705896"/>
    <n v="0.17253099999999999"/>
    <n v="0.12875448"/>
    <n v="57.964681519999999"/>
    <n v="0.50911688200000005"/>
    <n v="64.890831120000001"/>
    <n v="290588.72960000002"/>
    <n v="337584.4"/>
    <n v="18.070063000000001"/>
    <n v="76.034744520000004"/>
  </r>
  <r>
    <n v="582"/>
    <x v="581"/>
    <n v="47.602234000000003"/>
    <n v="-120.71741"/>
    <x v="0"/>
    <x v="0"/>
    <x v="12"/>
    <n v="-8"/>
    <n v="585"/>
    <n v="3.8696606"/>
    <x v="0"/>
    <n v="1.0122651"/>
    <n v="0.60701402000000004"/>
    <n v="19.47880675"/>
    <n v="26.101602849999999"/>
    <n v="0.74626860510981996"/>
    <n v="0.22847982"/>
    <n v="0.17050731"/>
    <n v="49.171471109999999"/>
    <n v="5.4037467499999998"/>
    <n v="143.98996740000001"/>
    <n v="448254.83419999998"/>
    <n v="540627.75"/>
    <n v="21.852188000000002"/>
    <n v="71.023659109999997"/>
  </r>
  <r>
    <n v="583"/>
    <x v="582"/>
    <n v="47.627341999999999"/>
    <n v="-120.56036"/>
    <x v="0"/>
    <x v="0"/>
    <x v="12"/>
    <n v="-8"/>
    <n v="757.92857140000001"/>
    <n v="3.9457605"/>
    <x v="0"/>
    <n v="1.0112281999999999"/>
    <n v="0.84636904400000001"/>
    <n v="27.15960179"/>
    <n v="36.393868910000002"/>
    <n v="0.74626860521930694"/>
    <n v="0.23502079000000001"/>
    <n v="0.17538865000000001"/>
    <n v="46.056773739999997"/>
    <n v="5.5283766180000002"/>
    <n v="141.30166220000001"/>
    <n v="445859.02860000002"/>
    <n v="541949.9"/>
    <n v="21.295960999999998"/>
    <n v="67.352734739999988"/>
  </r>
  <r>
    <n v="584"/>
    <x v="583"/>
    <n v="47.652293999999998"/>
    <n v="-120.40318000000001"/>
    <x v="0"/>
    <x v="0"/>
    <x v="12"/>
    <n v="-8"/>
    <n v="1130.8"/>
    <n v="4.1022889999999999"/>
    <x v="2"/>
    <n v="1.0096309000000001"/>
    <n v="0.14806799000000001"/>
    <n v="4.7514357399999998"/>
    <n v="6.3669235750000004"/>
    <n v="0.74626869382518068"/>
    <n v="0.24979240999999999"/>
    <n v="0.18641226"/>
    <n v="52.540266860000003"/>
    <n v="5.8010259709999996"/>
    <n v="155.5434999"/>
    <n v="505324.6912"/>
    <n v="607397.06000000006"/>
    <n v="22.456282000000002"/>
    <n v="74.996548860000004"/>
  </r>
  <r>
    <n v="585"/>
    <x v="584"/>
    <n v="47.677093999999997"/>
    <n v="-120.24586499999999"/>
    <x v="0"/>
    <x v="0"/>
    <x v="12"/>
    <n v="-8"/>
    <n v="594.1176471"/>
    <n v="3.9979222000000001"/>
    <x v="0"/>
    <n v="1.0069144999999999"/>
    <n v="3.5230140200000002"/>
    <n v="113.0519346"/>
    <n v="151.48960289999999"/>
    <n v="0.74626860481393475"/>
    <n v="0.24112571999999999"/>
    <n v="0.17994457"/>
    <n v="40.420626159999998"/>
    <n v="1.999188309"/>
    <n v="133.23035060000001"/>
    <n v="435217.92589999997"/>
    <n v="491931.47"/>
    <n v="18.841066000000001"/>
    <n v="59.261692159999996"/>
  </r>
  <r>
    <n v="586"/>
    <x v="585"/>
    <n v="47.701732999999997"/>
    <n v="-120.08841"/>
    <x v="0"/>
    <x v="0"/>
    <x v="20"/>
    <n v="-8"/>
    <n v="801.625"/>
    <n v="4.0374689999999998"/>
    <x v="2"/>
    <n v="1.0050631999999999"/>
    <n v="9.6399709720000004"/>
    <n v="309.3423674"/>
    <n v="414.51875180000002"/>
    <n v="0.74626869365189474"/>
    <n v="0.24536707999999999"/>
    <n v="0.18310978999999999"/>
    <n v="39.664284610000003"/>
    <n v="3.0855844120000002"/>
    <n v="141.09342849999999"/>
    <n v="436188.55780000001"/>
    <n v="494135.6"/>
    <n v="18.598344999999998"/>
    <n v="58.262629610000005"/>
  </r>
  <r>
    <n v="587"/>
    <x v="586"/>
    <n v="47.726215000000003"/>
    <n v="-119.93082"/>
    <x v="0"/>
    <x v="0"/>
    <x v="20"/>
    <n v="-8"/>
    <n v="795.64705879999997"/>
    <n v="4.0169066999999998"/>
    <x v="2"/>
    <n v="1.0028596999999999"/>
    <n v="28.604823710000002"/>
    <n v="917.91603020000002"/>
    <n v="1230.007419"/>
    <n v="0.74626869401021068"/>
    <n v="0.24474346999999999"/>
    <n v="0.18264440000000001"/>
    <n v="39.696579149999998"/>
    <n v="3.752863633"/>
    <n v="150.79378560000001"/>
    <n v="462296.30099999998"/>
    <n v="524527.43999999994"/>
    <n v="19.792538"/>
    <n v="59.489117149999998"/>
  </r>
  <r>
    <n v="588"/>
    <x v="587"/>
    <n v="47.750546"/>
    <n v="-119.77309"/>
    <x v="0"/>
    <x v="0"/>
    <x v="20"/>
    <n v="-8"/>
    <n v="775.75"/>
    <n v="4.0056476999999999"/>
    <x v="2"/>
    <n v="1.0006942999999999"/>
    <n v="74.205397270000006"/>
    <n v="2381.217807"/>
    <n v="3190.8320819999999"/>
    <n v="0.74626860511803017"/>
    <n v="0.2443418"/>
    <n v="0.18234462000000001"/>
    <n v="39.694125640000003"/>
    <n v="0.56183766199999996"/>
    <n v="170.43690900000001"/>
    <n v="479282.75290000002"/>
    <n v="518949"/>
    <n v="19.614231"/>
    <n v="59.30835664"/>
  </r>
  <r>
    <n v="589"/>
    <x v="588"/>
    <n v="47.774720000000002"/>
    <n v="-119.615234"/>
    <x v="0"/>
    <x v="0"/>
    <x v="20"/>
    <n v="-8"/>
    <n v="680.44444439999995"/>
    <n v="3.9746359999999998"/>
    <x v="0"/>
    <n v="0.99827529999999998"/>
    <n v="74.292875679999995"/>
    <n v="2384.02495"/>
    <n v="3194.5936539999998"/>
    <n v="0.74626860509001691"/>
    <n v="0.24221614"/>
    <n v="0.18075830000000001"/>
    <n v="39.966197749999999"/>
    <n v="7.5957272659999999"/>
    <n v="161.63015569999999"/>
    <n v="456376.26980000001"/>
    <n v="536577.30000000005"/>
    <n v="20.458492"/>
    <n v="60.424689749999999"/>
  </r>
  <r>
    <n v="590"/>
    <x v="589"/>
    <n v="47.798732999999999"/>
    <n v="-119.45723"/>
    <x v="0"/>
    <x v="0"/>
    <x v="20"/>
    <n v="-8"/>
    <n v="665.94444439999995"/>
    <n v="3.9584408"/>
    <x v="0"/>
    <n v="0.99599260000000001"/>
    <n v="82.302960940000006"/>
    <n v="2641.0652960000002"/>
    <n v="3539.0273200000001"/>
    <n v="0.7462686939641936"/>
    <n v="0.24134205"/>
    <n v="0.18010598"/>
    <n v="40.038691329999999"/>
    <n v="13.971383100000001"/>
    <n v="146.581422"/>
    <n v="398287.772"/>
    <n v="498675.12"/>
    <n v="19.082228000000001"/>
    <n v="59.12091933"/>
  </r>
  <r>
    <n v="591"/>
    <x v="590"/>
    <n v="47.822594000000002"/>
    <n v="-119.2991"/>
    <x v="0"/>
    <x v="0"/>
    <x v="20"/>
    <n v="-8"/>
    <n v="670.83333330000005"/>
    <n v="3.9475950000000002"/>
    <x v="0"/>
    <n v="0.99355656000000003"/>
    <n v="80.370383200000006"/>
    <n v="2579.0497380000002"/>
    <n v="3455.9264779999999"/>
    <n v="0.74626869362467962"/>
    <n v="0.24040710000000001"/>
    <n v="0.17940829999999999"/>
    <n v="40.116987510000001"/>
    <n v="3.2719805150000001"/>
    <n v="141.0530454"/>
    <n v="384841.1029"/>
    <n v="442053.2"/>
    <n v="16.981328999999999"/>
    <n v="57.098316510000004"/>
  </r>
  <r>
    <n v="592"/>
    <x v="591"/>
    <n v="47.846290000000003"/>
    <n v="-119.14084"/>
    <x v="0"/>
    <x v="0"/>
    <x v="20"/>
    <n v="-8"/>
    <n v="645.75"/>
    <n v="3.9256123999999999"/>
    <x v="0"/>
    <n v="0.99163040000000002"/>
    <n v="6.004692554"/>
    <n v="192.6878591"/>
    <n v="258.2017798"/>
    <n v="0.74626851623274515"/>
    <n v="0.23863864000000001"/>
    <n v="0.17808855000000001"/>
    <n v="40.352616439999998"/>
    <n v="7.3720519419999997"/>
    <n v="91.386103829999996"/>
    <n v="251409.9809"/>
    <n v="331072.09999999998"/>
    <n v="12.812275"/>
    <n v="53.164891439999998"/>
  </r>
  <r>
    <n v="593"/>
    <x v="592"/>
    <n v="47.869835000000002"/>
    <n v="-118.98245"/>
    <x v="0"/>
    <x v="0"/>
    <x v="14"/>
    <n v="-8"/>
    <n v="716.5"/>
    <n v="3.9458259999999998"/>
    <x v="0"/>
    <n v="0.98906689999999997"/>
    <n v="12.937725"/>
    <n v="415.1657735"/>
    <n v="556.32217500000002"/>
    <n v="0.74626860505785153"/>
    <n v="0.23906694000000001"/>
    <n v="0.17840818"/>
    <n v="40.198409589999997"/>
    <n v="3.9238181769999998"/>
    <n v="101.6855778"/>
    <n v="276957.69669999997"/>
    <n v="335602.6"/>
    <n v="12.9643345"/>
    <n v="53.162744089999997"/>
  </r>
  <r>
    <n v="594"/>
    <x v="593"/>
    <n v="47.893219999999999"/>
    <n v="-118.82393"/>
    <x v="0"/>
    <x v="0"/>
    <x v="14"/>
    <n v="-8"/>
    <n v="657.29411760000005"/>
    <n v="3.9022019999999999"/>
    <x v="0"/>
    <n v="0.98701919999999999"/>
    <n v="19.86354734"/>
    <n v="637.41237160000003"/>
    <n v="854.13253559999998"/>
    <n v="0.74626869371301818"/>
    <n v="0.23586792000000001"/>
    <n v="0.17602085000000001"/>
    <n v="40.677289500000001"/>
    <n v="2.1573506469999999"/>
    <n v="121.9490129"/>
    <n v="331091.20240000001"/>
    <n v="384978.1"/>
    <n v="15.073411999999999"/>
    <n v="55.750701499999998"/>
  </r>
  <r>
    <n v="595"/>
    <x v="594"/>
    <n v="47.916443000000001"/>
    <n v="-118.66528"/>
    <x v="0"/>
    <x v="0"/>
    <x v="14"/>
    <n v="-8"/>
    <n v="640"/>
    <n v="3.8662350000000001"/>
    <x v="0"/>
    <n v="0.98533289999999996"/>
    <n v="17.557885110000001"/>
    <n v="563.42463239999995"/>
    <n v="754.98905960000002"/>
    <n v="0.74626860513516236"/>
    <n v="0.23345104"/>
    <n v="0.17421719999999999"/>
    <n v="41.043231540000001"/>
    <n v="10.05396103"/>
    <n v="110.7270584"/>
    <n v="350696.44910000003"/>
    <n v="433289.7"/>
    <n v="17.140636000000001"/>
    <n v="58.183867540000001"/>
  </r>
  <r>
    <n v="596"/>
    <x v="595"/>
    <n v="47.939514000000003"/>
    <n v="-118.50649"/>
    <x v="0"/>
    <x v="0"/>
    <x v="5"/>
    <n v="-8"/>
    <n v="758.4375"/>
    <n v="3.8273160000000002"/>
    <x v="0"/>
    <n v="0.98384970000000005"/>
    <n v="10.400237840000001"/>
    <n v="333.73895240000002"/>
    <n v="447.21022720000002"/>
    <n v="0.74626860501279701"/>
    <n v="0.23098013000000001"/>
    <n v="0.17237324000000001"/>
    <n v="41.433239880000002"/>
    <n v="24.37255193"/>
    <n v="145.19304539999999"/>
    <n v="450701.7818"/>
    <n v="637219.93999999994"/>
    <n v="25.477637999999999"/>
    <n v="66.910877880000001"/>
  </r>
  <r>
    <n v="597"/>
    <x v="596"/>
    <n v="47.962425000000003"/>
    <n v="-118.34757999999999"/>
    <x v="0"/>
    <x v="0"/>
    <x v="7"/>
    <n v="-8"/>
    <n v="629.9375"/>
    <n v="3.7791393000000002"/>
    <x v="0"/>
    <n v="0.98239255000000003"/>
    <n v="25.856497269999998"/>
    <n v="829.72336229999996"/>
    <n v="1111.8293819999999"/>
    <n v="0.7462686053569324"/>
    <n v="0.22306184000000001"/>
    <n v="0.16646405"/>
    <n v="42.85414402"/>
    <n v="52.005844119999999"/>
    <n v="73.080188280000002"/>
    <n v="246068.20420000001"/>
    <n v="645394.19999999995"/>
    <n v="26.720476000000001"/>
    <n v="69.574620019999998"/>
  </r>
  <r>
    <n v="598"/>
    <x v="597"/>
    <n v="47.985176000000003"/>
    <n v="-118.18854"/>
    <x v="0"/>
    <x v="0"/>
    <x v="7"/>
    <n v="-8"/>
    <n v="702.10526319999997"/>
    <n v="3.7637958999999999"/>
    <x v="0"/>
    <n v="0.98132353999999999"/>
    <n v="20.497050000000002"/>
    <n v="657.74111119999998"/>
    <n v="881.37315000000001"/>
    <n v="0.74626860507379877"/>
    <n v="0.22117982999999999"/>
    <n v="0.16505958000000001"/>
    <n v="43.181855210000002"/>
    <n v="44.214675300000003"/>
    <n v="72.772909060000003"/>
    <n v="245088.9363"/>
    <n v="582218.4"/>
    <n v="24.309989999999999"/>
    <n v="67.491845210000008"/>
  </r>
  <r>
    <n v="599"/>
    <x v="598"/>
    <n v="48.007767000000001"/>
    <n v="-118.02937"/>
    <x v="0"/>
    <x v="0"/>
    <x v="7"/>
    <n v="-8"/>
    <n v="881.35714289999999"/>
    <n v="3.6868820000000002"/>
    <x v="0"/>
    <n v="0.98019310000000004"/>
    <n v="25.976213529999999"/>
    <n v="833.56490410000004"/>
    <n v="1116.9771820000001"/>
    <n v="0.746268516074306"/>
    <n v="0.21765271"/>
    <n v="0.1624274"/>
    <n v="43.841962359999997"/>
    <n v="21.540428559999999"/>
    <n v="77.678324630000006"/>
    <n v="285946.31209999998"/>
    <n v="463844.25"/>
    <n v="19.681244"/>
    <n v="63.523206359999996"/>
  </r>
  <r>
    <n v="600"/>
    <x v="599"/>
    <n v="48.030200000000001"/>
    <n v="-117.87009"/>
    <x v="0"/>
    <x v="0"/>
    <x v="7"/>
    <n v="-8"/>
    <n v="767.21052629999997"/>
    <n v="3.6752570000000002"/>
    <x v="0"/>
    <n v="0.97985529999999998"/>
    <n v="63.332523629999997"/>
    <n v="2032.3119429999999"/>
    <n v="2723.2985159999998"/>
    <n v="0.74626851630833113"/>
    <n v="0.21624811999999999"/>
    <n v="0.16137919000000001"/>
    <n v="44.11479696"/>
    <n v="8.5383051919999993"/>
    <n v="77.678324630000006"/>
    <n v="285946.31209999998"/>
    <n v="383891.4"/>
    <n v="16.394584999999999"/>
    <n v="60.509381959999999"/>
  </r>
  <r>
    <n v="601"/>
    <x v="600"/>
    <n v="48.052480000000003"/>
    <n v="-117.71066"/>
    <x v="0"/>
    <x v="0"/>
    <x v="7"/>
    <n v="-8"/>
    <n v="741.6875"/>
    <n v="3.6733177000000001"/>
    <x v="0"/>
    <n v="0.97954196000000004"/>
    <n v="38.174572269999999"/>
    <n v="1225.0047010000001"/>
    <n v="1641.506607"/>
    <n v="0.74626851684673123"/>
    <n v="0.2154114"/>
    <n v="0.16075476999999999"/>
    <n v="44.275037060000002"/>
    <n v="4.9292597359999997"/>
    <n v="78.60016229"/>
    <n v="290177.45860000001"/>
    <n v="372030.9"/>
    <n v="15.949782000000001"/>
    <n v="60.224819060000002"/>
  </r>
  <r>
    <n v="602"/>
    <x v="601"/>
    <n v="48.074593"/>
    <n v="-117.55112"/>
    <x v="0"/>
    <x v="0"/>
    <x v="7"/>
    <n v="-8"/>
    <n v="798.7"/>
    <n v="3.6617424000000001"/>
    <x v="0"/>
    <n v="0.9793385"/>
    <n v="20.257127050000001"/>
    <n v="650.04209170000001"/>
    <n v="871.05646320000005"/>
    <n v="0.74626860503616543"/>
    <n v="0.21548424999999999"/>
    <n v="0.16080913999999999"/>
    <n v="44.252849599999998"/>
    <n v="5.5091883089999998"/>
    <n v="73.857753209999998"/>
    <n v="277844.73739999998"/>
    <n v="351315.25"/>
    <n v="15.056564"/>
    <n v="59.309413599999999"/>
  </r>
  <r>
    <n v="603"/>
    <x v="602"/>
    <n v="48.096545999999996"/>
    <n v="-117.39145000000001"/>
    <x v="0"/>
    <x v="0"/>
    <x v="8"/>
    <n v="-8"/>
    <n v="754.52941180000005"/>
    <n v="3.6218895999999998"/>
    <x v="0"/>
    <n v="0.97936434000000006"/>
    <n v="26.857899320000001"/>
    <n v="861.85780099999999"/>
    <n v="1154.8896709999999"/>
    <n v="0.74626851606849298"/>
    <n v="0.21243293999999999"/>
    <n v="0.15853204000000001"/>
    <n v="44.889412530000001"/>
    <n v="10.48851947"/>
    <n v="69.153266200000004"/>
    <n v="238267.93359999999"/>
    <n v="360339.4"/>
    <n v="15.665141"/>
    <n v="60.55455353"/>
  </r>
  <r>
    <n v="604"/>
    <x v="603"/>
    <n v="48.118343000000003"/>
    <n v="-117.23165"/>
    <x v="0"/>
    <x v="0"/>
    <x v="8"/>
    <n v="-8"/>
    <n v="743.36842109999998"/>
    <n v="3.5952951999999998"/>
    <x v="0"/>
    <n v="0.97955513000000005"/>
    <n v="35.71370684"/>
    <n v="1146.036918"/>
    <n v="1535.689394"/>
    <n v="0.74626869370695159"/>
    <n v="0.20891662"/>
    <n v="0.15590791000000001"/>
    <n v="45.65194279"/>
    <n v="1.700954544"/>
    <n v="109.22309730000001"/>
    <n v="438541.36959999998"/>
    <n v="490690.94"/>
    <n v="21.690992000000001"/>
    <n v="67.342934790000001"/>
  </r>
  <r>
    <n v="605"/>
    <x v="604"/>
    <n v="48.139980000000001"/>
    <n v="-117.07174000000001"/>
    <x v="0"/>
    <x v="0"/>
    <x v="8"/>
    <n v="-8"/>
    <n v="739.27777779999997"/>
    <n v="3.5744443000000001"/>
    <x v="0"/>
    <n v="0.97988750000000002"/>
    <n v="55.399787840000002"/>
    <n v="1777.754263"/>
    <n v="2382.190877"/>
    <n v="0.74626860515846061"/>
    <n v="0.20629863000000001"/>
    <n v="0.15395422"/>
    <n v="46.243573759999997"/>
    <n v="4.0383051920000002"/>
    <n v="102.6802337"/>
    <n v="407882.33639999997"/>
    <n v="477354.5"/>
    <n v="21.369240000000001"/>
    <n v="67.612813759999995"/>
  </r>
  <r>
    <n v="606"/>
    <x v="605"/>
    <n v="48.161453000000002"/>
    <n v="-116.9117"/>
    <x v="0"/>
    <x v="1"/>
    <x v="13"/>
    <n v="-8"/>
    <n v="790.94117649999998"/>
    <n v="3.5351710000000001"/>
    <x v="0"/>
    <n v="0.98030627000000004"/>
    <n v="17.192574319999999"/>
    <n v="551.70203909999998"/>
    <n v="739.28069559999994"/>
    <n v="0.74626869385820871"/>
    <n v="0.20423783000000001"/>
    <n v="0.15241629000000001"/>
    <n v="46.72584741"/>
    <n v="2.278233765"/>
    <n v="307.3061687"/>
    <n v="1122696.2490000001"/>
    <n v="1197964.6000000001"/>
    <n v="54.169173999999998"/>
    <n v="100.89502141"/>
  </r>
  <r>
    <n v="607"/>
    <x v="606"/>
    <n v="48.182769999999998"/>
    <n v="-116.75154000000001"/>
    <x v="0"/>
    <x v="1"/>
    <x v="13"/>
    <n v="-8"/>
    <n v="765.36842109999998"/>
    <n v="3.4909363"/>
    <x v="0"/>
    <n v="0.98076664999999996"/>
    <n v="15.7318196"/>
    <n v="504.82701209999999"/>
    <n v="676.46824300000003"/>
    <n v="0.74626860510287096"/>
    <n v="0.20147013999999999"/>
    <n v="0.15035084000000001"/>
    <n v="47.385207450000003"/>
    <n v="0.43455844100000002"/>
    <n v="322.15196739999999"/>
    <n v="1191808.439"/>
    <n v="1234310.6000000001"/>
    <n v="56.57938"/>
    <n v="103.96458745000001"/>
  </r>
  <r>
    <n v="608"/>
    <x v="607"/>
    <n v="48.203921999999999"/>
    <n v="-116.59126000000001"/>
    <x v="0"/>
    <x v="1"/>
    <x v="13"/>
    <n v="-8"/>
    <n v="738.16666669999995"/>
    <n v="3.4877850000000001"/>
    <x v="0"/>
    <n v="0.98051124999999995"/>
    <n v="22.003974320000001"/>
    <n v="706.09763439999995"/>
    <n v="946.17089559999999"/>
    <n v="0.74626860505177428"/>
    <n v="0.20096220000000001"/>
    <n v="0.14997179999999999"/>
    <n v="47.495256730000001"/>
    <n v="0.56183766199999996"/>
    <n v="345.99091540000001"/>
    <n v="1330242.1629999999"/>
    <n v="1370566.5"/>
    <n v="62.983986000000002"/>
    <n v="110.47924273000001"/>
  </r>
  <r>
    <n v="609"/>
    <x v="608"/>
    <n v="48.224919999999997"/>
    <n v="-116.43086"/>
    <x v="0"/>
    <x v="1"/>
    <x v="13"/>
    <n v="-8"/>
    <n v="716"/>
    <n v="3.4718626000000001"/>
    <x v="0"/>
    <n v="0.98086249999999997"/>
    <n v="13.16120372"/>
    <n v="422.33715539999997"/>
    <n v="565.93176010000002"/>
    <n v="0.74626869381809047"/>
    <n v="0.19943839999999999"/>
    <n v="0.14883462"/>
    <n v="47.871603810000003"/>
    <n v="11.32035713"/>
    <n v="349.70914920000001"/>
    <n v="1343769.6359999999"/>
    <n v="1490937.8"/>
    <n v="69.039100000000005"/>
    <n v="116.91070381"/>
  </r>
  <r>
    <n v="610"/>
    <x v="609"/>
    <n v="48.245750000000001"/>
    <n v="-116.27034999999999"/>
    <x v="0"/>
    <x v="1"/>
    <x v="13"/>
    <n v="-8"/>
    <n v="994.2"/>
    <n v="3.4466839999999999"/>
    <x v="0"/>
    <n v="0.98132549999999996"/>
    <n v="1.955501862"/>
    <n v="62.75118226"/>
    <n v="84.086580049999995"/>
    <n v="0.74626869379973082"/>
    <n v="0.19768177000000001"/>
    <n v="0.14752372"/>
    <n v="48.858215309999999"/>
    <n v="17.242266220000001"/>
    <n v="301.58609730000001"/>
    <n v="1108469.328"/>
    <n v="1256183.1000000001"/>
    <n v="58.685490000000001"/>
    <n v="107.54370531000001"/>
  </r>
  <r>
    <n v="611"/>
    <x v="610"/>
    <n v="48.266419999999997"/>
    <n v="-116.10971000000001"/>
    <x v="0"/>
    <x v="1"/>
    <x v="13"/>
    <n v="-8"/>
    <n v="1536.4"/>
    <n v="3.4303659999999998"/>
    <x v="0"/>
    <n v="0.98174309999999998"/>
    <n v="0.17172000600000001"/>
    <n v="5.5104177270000001"/>
    <n v="7.3839602659999999"/>
    <n v="0.74626860498872571"/>
    <n v="0.19910748"/>
    <n v="0.14858766000000001"/>
    <n v="63.312373860000001"/>
    <n v="19.84696752"/>
    <n v="303.30888950000002"/>
    <n v="1112920.79"/>
    <n v="1290780"/>
    <n v="59.869971999999997"/>
    <n v="123.18234586"/>
  </r>
  <r>
    <n v="612"/>
    <x v="611"/>
    <n v="48.286929999999998"/>
    <n v="-115.94896"/>
    <x v="0"/>
    <x v="2"/>
    <x v="14"/>
    <n v="-7"/>
    <n v="1108.142857"/>
    <n v="3.4747732"/>
    <x v="0"/>
    <n v="0.98219084999999995"/>
    <n v="2.520720099"/>
    <n v="80.888773700000002"/>
    <n v="108.39096429999999"/>
    <n v="0.74626860478996593"/>
    <n v="0.20008973999999999"/>
    <n v="0.14932069000000001"/>
    <n v="47.766478929999998"/>
    <n v="26.438805179999999"/>
    <n v="333.76480500000002"/>
    <n v="1447217.798"/>
    <n v="1656268.1"/>
    <n v="76.445205999999999"/>
    <n v="124.21168492999999"/>
  </r>
  <r>
    <n v="613"/>
    <x v="612"/>
    <n v="48.307279999999999"/>
    <n v="-115.78808600000001"/>
    <x v="0"/>
    <x v="2"/>
    <x v="14"/>
    <n v="-7"/>
    <n v="1034.857143"/>
    <n v="3.4614815999999999"/>
    <x v="0"/>
    <n v="0.98247534000000003"/>
    <n v="8.0808841190000003"/>
    <n v="259.31193510000003"/>
    <n v="347.47801709999999"/>
    <n v="0.74626860503055414"/>
    <n v="0.19827949"/>
    <n v="0.14796978"/>
    <n v="48.213534680000002"/>
    <n v="20.15689609"/>
    <n v="333.76480500000002"/>
    <n v="1447217.798"/>
    <n v="1627050.4"/>
    <n v="75.782269999999997"/>
    <n v="123.99580467999999"/>
  </r>
  <r>
    <n v="614"/>
    <x v="613"/>
    <n v="48.327464999999997"/>
    <n v="-115.627106"/>
    <x v="0"/>
    <x v="2"/>
    <x v="14"/>
    <n v="-7"/>
    <n v="964.125"/>
    <n v="3.4840629999999999"/>
    <x v="0"/>
    <n v="0.98284229999999995"/>
    <n v="13.45304696"/>
    <n v="431.70222330000001"/>
    <n v="578.48101929999996"/>
    <n v="0.74626860501384829"/>
    <n v="0.19777241000000001"/>
    <n v="0.14759133999999999"/>
    <n v="48.351340999999998"/>
    <n v="12.114915570000001"/>
    <n v="305.93497389999999"/>
    <n v="1295964.9110000001"/>
    <n v="1435190.6"/>
    <n v="67.017510000000001"/>
    <n v="115.36885100000001"/>
  </r>
  <r>
    <n v="615"/>
    <x v="614"/>
    <n v="48.347490000000001"/>
    <n v="-115.46599999999999"/>
    <x v="0"/>
    <x v="2"/>
    <x v="14"/>
    <n v="-7"/>
    <n v="1007.333333"/>
    <n v="3.5072432"/>
    <x v="0"/>
    <n v="0.98308200000000001"/>
    <n v="17.045882450000001"/>
    <n v="546.99469739999995"/>
    <n v="732.97294520000003"/>
    <n v="0.74626860511303894"/>
    <n v="0.19948214"/>
    <n v="0.14886727999999999"/>
    <n v="47.946095020000001"/>
    <n v="11.549331159999999"/>
    <n v="305.93497389999999"/>
    <n v="1295964.9110000001"/>
    <n v="1402847.4"/>
    <n v="64.945760000000007"/>
    <n v="112.89185502000001"/>
  </r>
  <r>
    <n v="616"/>
    <x v="615"/>
    <n v="48.367350000000002"/>
    <n v="-115.30479"/>
    <x v="0"/>
    <x v="2"/>
    <x v="14"/>
    <n v="-7"/>
    <n v="1024.909091"/>
    <n v="3.5402809999999998"/>
    <x v="0"/>
    <n v="0.98339469999999995"/>
    <n v="3.326832257"/>
    <n v="106.7565501"/>
    <n v="143.05378709999999"/>
    <n v="0.74626860472678813"/>
    <n v="0.20359938"/>
    <n v="0.15193982"/>
    <n v="46.988254220000002"/>
    <n v="4.0010259709999998"/>
    <n v="285.9117531"/>
    <n v="1181860.8600000001"/>
    <n v="1255187.2"/>
    <n v="56.934627999999996"/>
    <n v="103.92288221999999"/>
  </r>
  <r>
    <n v="617"/>
    <x v="616"/>
    <n v="48.387053999999999"/>
    <n v="-115.14346"/>
    <x v="0"/>
    <x v="2"/>
    <x v="14"/>
    <n v="-7"/>
    <n v="1254.1111109999999"/>
    <n v="3.5257117999999998"/>
    <x v="0"/>
    <n v="0.98362123999999995"/>
    <n v="5.0177878419999997"/>
    <n v="161.0185731"/>
    <n v="215.7648772"/>
    <n v="0.74626869391141104"/>
    <n v="0.20353177"/>
    <n v="0.15188940000000001"/>
    <n v="47.012368789999996"/>
    <n v="1.9863961029999999"/>
    <n v="271.43125309999999"/>
    <n v="1119774.9739999999"/>
    <n v="1187580.8"/>
    <n v="53.885925"/>
    <n v="100.89829379"/>
  </r>
  <r>
    <n v="618"/>
    <x v="617"/>
    <n v="48.406593000000001"/>
    <n v="-114.98202499999999"/>
    <x v="0"/>
    <x v="2"/>
    <x v="14"/>
    <n v="-7"/>
    <n v="1299.333333"/>
    <n v="3.4975328000000001"/>
    <x v="0"/>
    <n v="0.98375994"/>
    <n v="9.437472949"/>
    <n v="302.84422419999999"/>
    <n v="405.81133679999999"/>
    <n v="0.74626851627177115"/>
    <n v="0.20134735000000001"/>
    <n v="0.15025921"/>
    <n v="47.527665130000003"/>
    <n v="9.8302857069999998"/>
    <n v="265.87838950000003"/>
    <n v="1098692.1140000001"/>
    <n v="1222340.8"/>
    <n v="56.064869999999999"/>
    <n v="103.59253513"/>
  </r>
  <r>
    <n v="619"/>
    <x v="618"/>
    <n v="48.42597"/>
    <n v="-114.820465"/>
    <x v="0"/>
    <x v="2"/>
    <x v="16"/>
    <n v="-7"/>
    <n v="1465"/>
    <n v="3.4830874999999999"/>
    <x v="0"/>
    <n v="0.98353380000000001"/>
    <n v="0.75718796499999996"/>
    <n v="24.29782398"/>
    <n v="32.559082510000003"/>
    <n v="0.74626869392088402"/>
    <n v="0.20273979"/>
    <n v="0.15129833000000001"/>
    <n v="52.84024496"/>
    <n v="22.68329219"/>
    <n v="265.87838950000003"/>
    <n v="1098692.1140000001"/>
    <n v="1284249.2"/>
    <n v="58.499847000000003"/>
    <n v="111.34009196"/>
  </r>
  <r>
    <n v="620"/>
    <x v="619"/>
    <n v="48.445180000000001"/>
    <n v="-114.6588"/>
    <x v="0"/>
    <x v="2"/>
    <x v="16"/>
    <n v="-7"/>
    <n v="1284.272727"/>
    <n v="3.4669797"/>
    <x v="0"/>
    <n v="0.98138579999999997"/>
    <n v="20.052358810000001"/>
    <n v="643.47124759999997"/>
    <n v="862.25142900000003"/>
    <n v="0.74626869374547589"/>
    <n v="0.201211"/>
    <n v="0.15015748000000001"/>
    <n v="47.469730370000001"/>
    <n v="14.61947402"/>
    <n v="230.44177909999999"/>
    <n v="847960.74"/>
    <n v="991570.94"/>
    <n v="45.511009999999999"/>
    <n v="92.980740370000007"/>
  </r>
  <r>
    <n v="621"/>
    <x v="620"/>
    <n v="48.464230000000001"/>
    <n v="-114.49702499999999"/>
    <x v="0"/>
    <x v="2"/>
    <x v="16"/>
    <n v="-7"/>
    <n v="1038.2777779999999"/>
    <n v="3.4288846999999998"/>
    <x v="0"/>
    <n v="0.98124504000000001"/>
    <n v="54.427787840000001"/>
    <n v="1746.563013"/>
    <n v="2340.3948770000002"/>
    <n v="0.74626851654999582"/>
    <n v="0.19729804000000001"/>
    <n v="0.14723736000000001"/>
    <n v="48.405737530000003"/>
    <n v="1.753675324"/>
    <n v="233.13273369999999"/>
    <n v="859215.15280000004"/>
    <n v="909890.75"/>
    <n v="42.590319999999998"/>
    <n v="90.996057530000002"/>
  </r>
  <r>
    <n v="622"/>
    <x v="621"/>
    <n v="48.483111999999998"/>
    <n v="-114.335144"/>
    <x v="0"/>
    <x v="2"/>
    <x v="16"/>
    <n v="-7"/>
    <n v="1341.9"/>
    <n v="3.4228481999999998"/>
    <x v="0"/>
    <n v="0.98128780000000004"/>
    <n v="5.9389200989999997"/>
    <n v="190.5772509"/>
    <n v="255.3735643"/>
    <n v="0.74626851617311274"/>
    <n v="0.19776645000000001"/>
    <n v="0.14758690999999999"/>
    <n v="48.292728789999998"/>
    <n v="12.31035713"/>
    <n v="218.94516870000001"/>
    <n v="788975.05949999997"/>
    <n v="923553.75"/>
    <n v="43.127471999999997"/>
    <n v="91.420200789999996"/>
  </r>
  <r>
    <n v="623"/>
    <x v="622"/>
    <n v="48.501840000000001"/>
    <n v="-114.17316"/>
    <x v="0"/>
    <x v="2"/>
    <x v="16"/>
    <n v="-7"/>
    <n v="1234.666667"/>
    <n v="3.3954399"/>
    <x v="0"/>
    <n v="0.98136789999999996"/>
    <n v="6.7797000000000001"/>
    <n v="217.55754809999999"/>
    <n v="291.52710000000002"/>
    <n v="0.74626869371663895"/>
    <n v="0.19467646"/>
    <n v="0.14528094"/>
    <n v="49.062404690000001"/>
    <n v="15.37035713"/>
    <n v="204.14304540000001"/>
    <n v="740732.24109999998"/>
    <n v="894727.4"/>
    <n v="42.44453"/>
    <n v="91.506934690000008"/>
  </r>
  <r>
    <n v="624"/>
    <x v="623"/>
    <n v="48.520392999999999"/>
    <n v="-114.011055"/>
    <x v="0"/>
    <x v="2"/>
    <x v="16"/>
    <n v="-7"/>
    <n v="1060.5999999999999"/>
    <n v="3.408477"/>
    <x v="0"/>
    <n v="0.98144620000000005"/>
    <n v="4.0014000000000003"/>
    <n v="128.40312539999999"/>
    <n v="172.06020000000001"/>
    <n v="0.74626860482552027"/>
    <n v="0.19502776999999999"/>
    <n v="0.14554311"/>
    <n v="48.977093979999999"/>
    <n v="20.057850630000001"/>
    <n v="205.8285583"/>
    <n v="751165.98129999998"/>
    <n v="926386.44"/>
    <n v="43.867226000000002"/>
    <n v="92.844319979999995"/>
  </r>
  <r>
    <n v="625"/>
    <x v="624"/>
    <n v="48.592995000000002"/>
    <n v="-113.3616"/>
    <x v="0"/>
    <x v="2"/>
    <x v="19"/>
    <n v="-7"/>
    <n v="1729.363636"/>
    <n v="3.6839852"/>
    <x v="0"/>
    <n v="0.98183019999999999"/>
    <n v="15.378659799999999"/>
    <n v="493.49433160000001"/>
    <n v="661.28237149999995"/>
    <n v="0.74626869378144323"/>
    <n v="0.22102306999999999"/>
    <n v="0.16494258000000001"/>
    <n v="43.230003930000002"/>
    <n v="24.345870120000001"/>
    <n v="250.19189600000001"/>
    <n v="670054.93370000005"/>
    <n v="837904.25"/>
    <n v="35.010730000000002"/>
    <n v="78.240733930000005"/>
  </r>
  <r>
    <n v="626"/>
    <x v="625"/>
    <n v="48.610729999999997"/>
    <n v="-113.19898000000001"/>
    <x v="0"/>
    <x v="2"/>
    <x v="19"/>
    <n v="-7"/>
    <n v="1517.8125"/>
    <n v="3.7020062999999999"/>
    <x v="0"/>
    <n v="0.98192835000000001"/>
    <n v="87.908975679999998"/>
    <n v="2820.9591369999998"/>
    <n v="3780.0859540000001"/>
    <n v="0.74626851646453318"/>
    <n v="0.22294565"/>
    <n v="0.16637732"/>
    <n v="42.860578869999998"/>
    <n v="11.856610379999999"/>
    <n v="250.19189600000001"/>
    <n v="670054.93370000005"/>
    <n v="766002.75"/>
    <n v="31.730412999999999"/>
    <n v="74.590991869999996"/>
  </r>
  <r>
    <n v="627"/>
    <x v="626"/>
    <n v="48.628304"/>
    <n v="-113.036255"/>
    <x v="0"/>
    <x v="2"/>
    <x v="19"/>
    <n v="-7"/>
    <n v="1355.380952"/>
    <n v="3.7272536999999999"/>
    <x v="0"/>
    <n v="0.98204170000000002"/>
    <n v="100.7962418"/>
    <n v="3234.505658"/>
    <n v="4334.2383970000001"/>
    <n v="0.74626851634160352"/>
    <n v="0.22529563"/>
    <n v="0.16813106999999999"/>
    <n v="42.417353460000001"/>
    <n v="2.3245584410000002"/>
    <n v="244.3780778"/>
    <n v="654959.42469999997"/>
    <n v="704850.2"/>
    <n v="28.892721000000002"/>
    <n v="71.31007446000001"/>
  </r>
  <r>
    <n v="628"/>
    <x v="627"/>
    <n v="48.645713999999998"/>
    <n v="-112.87343"/>
    <x v="0"/>
    <x v="2"/>
    <x v="19"/>
    <n v="-7"/>
    <n v="1271"/>
    <n v="3.7370093"/>
    <x v="0"/>
    <n v="0.98215229999999998"/>
    <n v="83.61200479"/>
    <n v="2683.07161"/>
    <n v="3595.316206"/>
    <n v="0.74626860511528537"/>
    <n v="0.22690167"/>
    <n v="0.1693296"/>
    <n v="42.120838300000003"/>
    <n v="6.0955129860000001"/>
    <n v="228.27602580000001"/>
    <n v="614227.7243"/>
    <n v="686779.44"/>
    <n v="27.952717"/>
    <n v="70.07355530000001"/>
  </r>
  <r>
    <n v="629"/>
    <x v="628"/>
    <n v="48.662956000000001"/>
    <n v="-112.7105"/>
    <x v="0"/>
    <x v="2"/>
    <x v="19"/>
    <n v="-7"/>
    <n v="1239.684211"/>
    <n v="3.7428088000000002"/>
    <x v="0"/>
    <n v="0.98227315999999998"/>
    <n v="71.898510939999994"/>
    <n v="2307.1908629999998"/>
    <n v="3091.6359699999998"/>
    <n v="0.74626860516181659"/>
    <n v="0.22821253999999999"/>
    <n v="0.17030783999999999"/>
    <n v="41.882941770000002"/>
    <n v="8.2991883089999998"/>
    <n v="216.295883"/>
    <n v="582463.91729999997"/>
    <n v="668017.80000000005"/>
    <n v="27.032919"/>
    <n v="68.915860769999995"/>
  </r>
  <r>
    <n v="630"/>
    <x v="629"/>
    <n v="48.680039999999998"/>
    <n v="-112.54747"/>
    <x v="0"/>
    <x v="2"/>
    <x v="19"/>
    <n v="-7"/>
    <n v="1200.0526319999999"/>
    <n v="3.7275502999999999"/>
    <x v="0"/>
    <n v="0.98234456999999997"/>
    <n v="37.552489889999997"/>
    <n v="1205.0425029999999"/>
    <n v="1614.757065"/>
    <n v="0.74626860542641438"/>
    <n v="0.22649652000000001"/>
    <n v="0.16902724999999999"/>
    <n v="42.202670959999999"/>
    <n v="10.0863961"/>
    <n v="203.16118169999999"/>
    <n v="550850.91799999995"/>
    <n v="640962.4"/>
    <n v="26.134573"/>
    <n v="68.337243959999995"/>
  </r>
  <r>
    <n v="631"/>
    <x v="630"/>
    <n v="48.696950000000001"/>
    <n v="-112.38435"/>
    <x v="0"/>
    <x v="2"/>
    <x v="19"/>
    <n v="-7"/>
    <n v="1170.941176"/>
    <n v="3.7369667999999998"/>
    <x v="0"/>
    <n v="0.98245640000000001"/>
    <n v="57.981904100000001"/>
    <n v="1860.613212"/>
    <n v="2493.2218760000001"/>
    <n v="0.74626860525749694"/>
    <n v="0.22753594999999999"/>
    <n v="0.16980295000000001"/>
    <n v="42.013634959999997"/>
    <n v="8.0867532369999999"/>
    <n v="189.40442849999999"/>
    <n v="507963.73149999999"/>
    <n v="588215.5"/>
    <n v="23.874310000000001"/>
    <n v="65.887944959999999"/>
  </r>
  <r>
    <n v="632"/>
    <x v="631"/>
    <n v="48.713700000000003"/>
    <n v="-112.22113"/>
    <x v="0"/>
    <x v="2"/>
    <x v="19"/>
    <n v="-7"/>
    <n v="1174.8947370000001"/>
    <n v="3.7448359"/>
    <x v="0"/>
    <n v="0.98249580000000003"/>
    <n v="42.272519680000002"/>
    <n v="1356.506296"/>
    <n v="1817.7183460000001"/>
    <n v="0.74626869392888873"/>
    <n v="0.22865365000000001"/>
    <n v="0.17063706000000001"/>
    <n v="41.809578360000003"/>
    <n v="3.9882337649999999"/>
    <n v="195.3172921"/>
    <n v="521725.29340000002"/>
    <n v="581178.25"/>
    <n v="23.473379999999999"/>
    <n v="65.282958360000009"/>
  </r>
  <r>
    <n v="633"/>
    <x v="632"/>
    <n v="48.73028"/>
    <n v="-112.0578"/>
    <x v="0"/>
    <x v="2"/>
    <x v="21"/>
    <n v="-7"/>
    <n v="1076.5999999999999"/>
    <n v="3.7492684999999999"/>
    <x v="0"/>
    <n v="0.98255990000000004"/>
    <n v="71.868222950000003"/>
    <n v="2306.2189349999999"/>
    <n v="3090.3335870000001"/>
    <n v="0.74626860501451742"/>
    <n v="0.22899786999999999"/>
    <n v="0.17089394999999999"/>
    <n v="41.748861009999999"/>
    <n v="13.1421948"/>
    <n v="217.2602986"/>
    <n v="579755.02579999994"/>
    <n v="666626.06000000006"/>
    <n v="26.884084999999999"/>
    <n v="68.632946009999998"/>
  </r>
  <r>
    <n v="634"/>
    <x v="633"/>
    <n v="48.746696"/>
    <n v="-111.89438"/>
    <x v="0"/>
    <x v="2"/>
    <x v="21"/>
    <n v="-7"/>
    <n v="1044.421053"/>
    <n v="3.7282790000000001"/>
    <x v="0"/>
    <n v="0.98259156999999997"/>
    <n v="62.158431010000001"/>
    <n v="1994.6360810000001"/>
    <n v="2672.8125329999998"/>
    <n v="0.7462686052138473"/>
    <n v="0.22705764000000001"/>
    <n v="0.16944600000000001"/>
    <n v="42.106681450000004"/>
    <n v="16.942480499999999"/>
    <n v="225.32411680000001"/>
    <n v="600320.38060000003"/>
    <n v="715888.56"/>
    <n v="29.117476"/>
    <n v="71.224157450000007"/>
  </r>
  <r>
    <n v="635"/>
    <x v="634"/>
    <n v="48.762946999999997"/>
    <n v="-111.73086499999999"/>
    <x v="0"/>
    <x v="2"/>
    <x v="21"/>
    <n v="-7"/>
    <n v="1071.941176"/>
    <n v="3.7355193999999998"/>
    <x v="0"/>
    <n v="0.98258920000000005"/>
    <n v="47.461139209999999"/>
    <n v="1523.006601"/>
    <n v="2040.828986"/>
    <n v="0.74626860528136385"/>
    <n v="0.22751895"/>
    <n v="0.16979025"/>
    <n v="42.021226290000001"/>
    <n v="26.564532440000001"/>
    <n v="225.32411680000001"/>
    <n v="600320.38060000003"/>
    <n v="757837.75"/>
    <n v="30.761187"/>
    <n v="72.782413289999994"/>
  </r>
  <r>
    <n v="636"/>
    <x v="635"/>
    <n v="48.779034000000003"/>
    <n v="-111.56726"/>
    <x v="0"/>
    <x v="2"/>
    <x v="21"/>
    <n v="-7"/>
    <n v="1074.736842"/>
    <n v="3.7464385"/>
    <x v="0"/>
    <n v="0.98256089999999996"/>
    <n v="52.998458200000002"/>
    <n v="1700.6966749999999"/>
    <n v="2278.9337030000002"/>
    <n v="0.74626860481338009"/>
    <n v="0.22858556999999999"/>
    <n v="0.17058624"/>
    <n v="41.824207250000001"/>
    <n v="38.10637011"/>
    <n v="225.32411680000001"/>
    <n v="600320.38060000003"/>
    <n v="807668.6"/>
    <n v="32.630882"/>
    <n v="74.45508925"/>
  </r>
  <r>
    <n v="637"/>
    <x v="636"/>
    <n v="48.794952000000002"/>
    <n v="-111.403564"/>
    <x v="0"/>
    <x v="2"/>
    <x v="21"/>
    <n v="-7"/>
    <n v="1166.1500000000001"/>
    <n v="3.762165"/>
    <x v="0"/>
    <n v="0.98246383999999998"/>
    <n v="94.470790429999994"/>
    <n v="3031.5247939999999"/>
    <n v="4062.2439880000002"/>
    <n v="0.74626851635579305"/>
    <n v="0.23035591999999999"/>
    <n v="0.17190741000000001"/>
    <n v="41.499549330000001"/>
    <n v="42.832694779999997"/>
    <n v="219.5155973"/>
    <n v="572980.61820000003"/>
    <n v="789743.94"/>
    <n v="31.661490000000001"/>
    <n v="73.161039329999994"/>
  </r>
  <r>
    <n v="638"/>
    <x v="637"/>
    <n v="48.810707000000001"/>
    <n v="-111.23976999999999"/>
    <x v="0"/>
    <x v="2"/>
    <x v="24"/>
    <n v="-7"/>
    <n v="1284.0625"/>
    <n v="3.7454649999999998"/>
    <x v="0"/>
    <n v="0.98236935999999997"/>
    <n v="71.825943159999994"/>
    <n v="2304.862196"/>
    <n v="3088.5155559999998"/>
    <n v="0.74626860516288762"/>
    <n v="0.22923513000000001"/>
    <n v="0.17107098000000001"/>
    <n v="41.699310339999997"/>
    <n v="40.374915569999999"/>
    <n v="222.70927259999999"/>
    <n v="580943.85210000002"/>
    <n v="769950.2"/>
    <n v="31.018861999999999"/>
    <n v="72.718172339999995"/>
  </r>
  <r>
    <n v="639"/>
    <x v="638"/>
    <n v="48.826286000000003"/>
    <n v="-111.07588"/>
    <x v="0"/>
    <x v="2"/>
    <x v="24"/>
    <n v="-7"/>
    <n v="1290"/>
    <n v="3.752319"/>
    <x v="0"/>
    <n v="0.98223453999999999"/>
    <n v="69.476128419999995"/>
    <n v="2229.4576980000002"/>
    <n v="2987.4735219999998"/>
    <n v="0.74626860508790827"/>
    <n v="0.22975886000000001"/>
    <n v="0.17146185"/>
    <n v="41.599773110000001"/>
    <n v="41.695129860000002"/>
    <n v="222.70927259999999"/>
    <n v="580943.85210000002"/>
    <n v="781780.25"/>
    <n v="31.423663999999999"/>
    <n v="73.023437110000003"/>
  </r>
  <r>
    <n v="640"/>
    <x v="639"/>
    <n v="48.841704999999997"/>
    <n v="-110.9119"/>
    <x v="0"/>
    <x v="2"/>
    <x v="24"/>
    <n v="-7"/>
    <n v="1070.526316"/>
    <n v="3.7456697999999999"/>
    <x v="0"/>
    <n v="0.98198812999999996"/>
    <n v="57.100787840000002"/>
    <n v="1832.3385880000001"/>
    <n v="2455.333877"/>
    <n v="0.74626860532662298"/>
    <n v="0.22886989999999999"/>
    <n v="0.17079844999999999"/>
    <n v="41.753131230000001"/>
    <n v="40.522935060000002"/>
    <n v="248.6803634"/>
    <n v="622544.8077"/>
    <n v="829226.5"/>
    <n v="33.460228000000001"/>
    <n v="75.213359230000009"/>
  </r>
  <r>
    <n v="641"/>
    <x v="640"/>
    <n v="48.856963999999998"/>
    <n v="-110.74784"/>
    <x v="0"/>
    <x v="2"/>
    <x v="25"/>
    <n v="-7"/>
    <n v="967.77777779999997"/>
    <n v="3.7429009999999998"/>
    <x v="0"/>
    <n v="0.98070824000000001"/>
    <n v="57.379909570000002"/>
    <n v="1841.295697"/>
    <n v="2467.336112"/>
    <n v="0.7462686936103986"/>
    <n v="0.22863244999999999"/>
    <n v="0.17062121999999999"/>
    <n v="41.75373467"/>
    <n v="42.543961029999998"/>
    <n v="239.42845439999999"/>
    <n v="600424.26329999999"/>
    <n v="811620.56"/>
    <n v="32.783819999999999"/>
    <n v="74.537554669999992"/>
  </r>
  <r>
    <n v="642"/>
    <x v="641"/>
    <n v="48.872047000000002"/>
    <n v="-110.58368"/>
    <x v="0"/>
    <x v="2"/>
    <x v="25"/>
    <n v="-7"/>
    <n v="923.35"/>
    <n v="3.7346745000000001"/>
    <x v="0"/>
    <n v="0.98031520000000005"/>
    <n v="57.71030889"/>
    <n v="1851.8978440000001"/>
    <n v="2481.5432820000001"/>
    <n v="0.74626860527996219"/>
    <n v="0.22787403000000001"/>
    <n v="0.17005526000000001"/>
    <n v="41.879525399999999"/>
    <n v="44.234772720000002"/>
    <n v="223.87919460000001"/>
    <n v="563673.65949999995"/>
    <n v="782256.75"/>
    <n v="31.702891999999999"/>
    <n v="73.582417399999997"/>
  </r>
  <r>
    <n v="643"/>
    <x v="642"/>
    <n v="48.886966999999999"/>
    <n v="-110.41943000000001"/>
    <x v="0"/>
    <x v="2"/>
    <x v="25"/>
    <n v="-7"/>
    <n v="890.33333330000005"/>
    <n v="3.7421844000000002"/>
    <x v="0"/>
    <n v="0.97998629999999998"/>
    <n v="63.301579099999998"/>
    <n v="2031.3191890000001"/>
    <n v="2721.967901"/>
    <n v="0.74626860524465832"/>
    <n v="0.22842656"/>
    <n v="0.17046759"/>
    <n v="41.767218909999997"/>
    <n v="45.982051939999998"/>
    <n v="212.1008894"/>
    <n v="535678.96059999999"/>
    <n v="764083"/>
    <n v="30.891452999999998"/>
    <n v="72.658671909999995"/>
  </r>
  <r>
    <n v="644"/>
    <x v="643"/>
    <n v="48.901713999999998"/>
    <n v="-110.25511"/>
    <x v="0"/>
    <x v="2"/>
    <x v="25"/>
    <n v="-7"/>
    <n v="848.11111110000002"/>
    <n v="3.7313342"/>
    <x v="0"/>
    <n v="0.97962150000000003"/>
    <n v="49.074818989999997"/>
    <n v="1574.7890460000001"/>
    <n v="2110.2172169999999"/>
    <n v="0.74626869372187488"/>
    <n v="0.22745551"/>
    <n v="0.16974292999999999"/>
    <n v="41.933282040000002"/>
    <n v="47.972194799999997"/>
    <n v="204.0562596"/>
    <n v="514912.26809999999"/>
    <n v="753875.9"/>
    <n v="30.608906000000001"/>
    <n v="72.542188039999999"/>
  </r>
  <r>
    <n v="645"/>
    <x v="644"/>
    <n v="48.916297999999998"/>
    <n v="-110.09068000000001"/>
    <x v="0"/>
    <x v="2"/>
    <x v="25"/>
    <n v="-7"/>
    <n v="852.85"/>
    <n v="3.7202654000000002"/>
    <x v="0"/>
    <n v="0.97915039999999998"/>
    <n v="89.062497949999994"/>
    <n v="2857.9754830000002"/>
    <n v="3829.6874120000002"/>
    <n v="0.74626860512029691"/>
    <n v="0.22696252"/>
    <n v="0.16937501999999999"/>
    <n v="42.008509750000002"/>
    <n v="50.163077909999998"/>
    <n v="187.78699979999999"/>
    <n v="473855.58519999997"/>
    <n v="721825.06"/>
    <n v="29.371237000000001"/>
    <n v="71.37974675000001"/>
  </r>
  <r>
    <n v="646"/>
    <x v="645"/>
    <n v="48.930714000000002"/>
    <n v="-109.92618"/>
    <x v="0"/>
    <x v="2"/>
    <x v="25"/>
    <n v="-7"/>
    <n v="866.58823529999995"/>
    <n v="3.7221549999999999"/>
    <x v="0"/>
    <n v="0.97867124999999999"/>
    <n v="79.484817480000004"/>
    <n v="2550.6320260000002"/>
    <n v="3417.8471519999998"/>
    <n v="0.74626860493379965"/>
    <n v="0.2270596"/>
    <n v="0.16944746999999999"/>
    <n v="41.974424740000003"/>
    <n v="50.239831150000001"/>
    <n v="204.8439673"/>
    <n v="523869.80869999999"/>
    <n v="774585.9"/>
    <n v="31.50461"/>
    <n v="73.479034740000003"/>
  </r>
  <r>
    <n v="647"/>
    <x v="646"/>
    <n v="48.944960000000002"/>
    <n v="-109.7616"/>
    <x v="0"/>
    <x v="2"/>
    <x v="25"/>
    <n v="-7"/>
    <n v="854.64705879999997"/>
    <n v="3.7194626"/>
    <x v="0"/>
    <n v="0.97814000000000001"/>
    <n v="91.609544529999994"/>
    <n v="2939.709061"/>
    <n v="3939.210415"/>
    <n v="0.74626860494833458"/>
    <n v="0.22694491999999999"/>
    <n v="0.16936187"/>
    <n v="41.977742079999999"/>
    <n v="47.845746699999999"/>
    <n v="234.42471420000001"/>
    <n v="610161.39439999999"/>
    <n v="828541.75"/>
    <n v="33.716180000000001"/>
    <n v="75.693922079999993"/>
  </r>
  <r>
    <n v="648"/>
    <x v="647"/>
    <n v="48.959040000000002"/>
    <n v="-109.596924"/>
    <x v="0"/>
    <x v="2"/>
    <x v="25"/>
    <n v="-7"/>
    <n v="833.64285710000001"/>
    <n v="3.6933646000000002"/>
    <x v="0"/>
    <n v="0.97753257000000005"/>
    <n v="72.933048630000002"/>
    <n v="2340.3887119999999"/>
    <n v="3136.121091"/>
    <n v="0.74626860509832271"/>
    <n v="0.22484990999999999"/>
    <n v="0.16779843"/>
    <n v="42.348241489999999"/>
    <n v="42.164961009999999"/>
    <n v="234.42471420000001"/>
    <n v="610161.39439999999"/>
    <n v="798050.56"/>
    <n v="32.777973000000003"/>
    <n v="75.126214489999995"/>
  </r>
  <r>
    <n v="649"/>
    <x v="648"/>
    <n v="48.972949999999997"/>
    <n v="-109.432175"/>
    <x v="0"/>
    <x v="2"/>
    <x v="26"/>
    <n v="-7"/>
    <n v="836.6"/>
    <n v="3.7015397999999999"/>
    <x v="0"/>
    <n v="0.97697069999999997"/>
    <n v="43.44904863"/>
    <n v="1394.260419"/>
    <n v="1868.3090910000001"/>
    <n v="0.74626860497356529"/>
    <n v="0.22568848999999999"/>
    <n v="0.16842423000000001"/>
    <n v="42.171868779999997"/>
    <n v="37.54233765"/>
    <n v="234.42471420000001"/>
    <n v="610161.39439999999"/>
    <n v="782388.8"/>
    <n v="32.015304999999998"/>
    <n v="74.187173779999995"/>
  </r>
  <r>
    <n v="650"/>
    <x v="649"/>
    <n v="48.986694"/>
    <n v="-109.26733400000001"/>
    <x v="0"/>
    <x v="2"/>
    <x v="26"/>
    <n v="-7"/>
    <n v="839.1"/>
    <n v="3.6849916"/>
    <x v="0"/>
    <n v="0.97635656999999998"/>
    <n v="41.996071579999999"/>
    <n v="1347.6350399999999"/>
    <n v="1805.8310779999999"/>
    <n v="0.74626860530750039"/>
    <n v="0.22462359000000001"/>
    <n v="0.16762953999999999"/>
    <n v="42.350912399999999"/>
    <n v="36.796753240000001"/>
    <n v="234.42471420000001"/>
    <n v="610161.39439999999"/>
    <n v="780581.5"/>
    <n v="32.092776999999998"/>
    <n v="74.443689399999997"/>
  </r>
  <r>
    <n v="651"/>
    <x v="650"/>
    <n v="47.284619999999997"/>
    <n v="-69.384749999999997"/>
    <x v="0"/>
    <x v="3"/>
    <x v="22"/>
    <n v="-5"/>
    <n v="329.36363640000002"/>
    <n v="3.5631564"/>
    <x v="0"/>
    <n v="1.0293213000000001"/>
    <n v="54.28263647"/>
    <n v="1741.9051710000001"/>
    <n v="2334.1533679999998"/>
    <n v="0.74626851640538827"/>
    <n v="0.20831432999999999"/>
    <n v="0.15545844"/>
    <n v="47.608950309999997"/>
    <n v="333.13673349999999"/>
    <n v="330.28651930000001"/>
    <n v="2700472.0260000001"/>
    <n v="5528355"/>
    <n v="245.08751000000001"/>
    <n v="292.69646031000002"/>
  </r>
  <r>
    <n v="652"/>
    <x v="651"/>
    <n v="47.257480000000001"/>
    <n v="-69.229579999999999"/>
    <x v="0"/>
    <x v="3"/>
    <x v="22"/>
    <n v="-5"/>
    <n v="318.05263159999998"/>
    <n v="3.5515742000000001"/>
    <x v="0"/>
    <n v="1.0292971"/>
    <n v="81.674894530000003"/>
    <n v="2620.9103019999998"/>
    <n v="3512.0204650000001"/>
    <n v="0.74626851640512859"/>
    <n v="0.20724148000000001"/>
    <n v="0.15465781000000001"/>
    <n v="47.854514459999997"/>
    <n v="323.5195258"/>
    <n v="335.14761670000001"/>
    <n v="2737709.35"/>
    <n v="5309239.5"/>
    <n v="236.59200000000001"/>
    <n v="284.44651446"/>
  </r>
  <r>
    <n v="653"/>
    <x v="652"/>
    <n v="47.230193999999997"/>
    <n v="-69.074560000000005"/>
    <x v="0"/>
    <x v="3"/>
    <x v="22"/>
    <n v="-5"/>
    <n v="315.25"/>
    <n v="3.5486597999999998"/>
    <x v="0"/>
    <n v="1.0294719999999999"/>
    <n v="57.319167479999997"/>
    <n v="1839.3460729999999"/>
    <n v="2464.7242019999999"/>
    <n v="0.74626851617209866"/>
    <n v="0.20669477"/>
    <n v="0.15424983"/>
    <n v="47.987545279999999"/>
    <n v="304.83881150000002"/>
    <n v="331.14019459999997"/>
    <n v="2707776.8029999998"/>
    <n v="5028612"/>
    <n v="224.67930000000001"/>
    <n v="272.66684528000002"/>
  </r>
  <r>
    <n v="654"/>
    <x v="653"/>
    <n v="47.175156000000001"/>
    <n v="-68.764970000000005"/>
    <x v="0"/>
    <x v="3"/>
    <x v="22"/>
    <n v="-5"/>
    <n v="308.53333329999998"/>
    <n v="3.5640450000000001"/>
    <x v="0"/>
    <n v="1.0298050999999999"/>
    <n v="35.724563529999998"/>
    <n v="1146.385168"/>
    <n v="1536.156232"/>
    <n v="0.74626860479383839"/>
    <n v="0.20782402"/>
    <n v="0.15509255"/>
    <n v="47.739056069999997"/>
    <n v="288.27396729999998"/>
    <n v="337.08129200000002"/>
    <n v="2749877.8250000002"/>
    <n v="4960471"/>
    <n v="220.43044"/>
    <n v="268.16949606999998"/>
  </r>
  <r>
    <n v="655"/>
    <x v="654"/>
    <n v="47.147410000000001"/>
    <n v="-68.610399999999998"/>
    <x v="0"/>
    <x v="3"/>
    <x v="22"/>
    <n v="-5"/>
    <n v="278.55555559999999"/>
    <n v="3.5643593999999998"/>
    <x v="0"/>
    <n v="1.0299662000000001"/>
    <n v="53.759858199999996"/>
    <n v="1725.1296589999999"/>
    <n v="2311.6739029999999"/>
    <n v="0.74626860508361248"/>
    <n v="0.20817551000000001"/>
    <n v="0.15535483999999999"/>
    <n v="47.66437123"/>
    <n v="282.07191540000002"/>
    <n v="335.85217510000001"/>
    <n v="2741246.1749999998"/>
    <n v="4955958.5"/>
    <n v="219.85808"/>
    <n v="267.52245123"/>
  </r>
  <r>
    <n v="656"/>
    <x v="655"/>
    <n v="47.119509999999998"/>
    <n v="-68.455979999999997"/>
    <x v="0"/>
    <x v="3"/>
    <x v="22"/>
    <n v="-5"/>
    <n v="224.63157889999999"/>
    <n v="3.5615929999999998"/>
    <x v="0"/>
    <n v="1.0302210000000001"/>
    <n v="74.88546504"/>
    <n v="2403.0405900000001"/>
    <n v="3220.0749970000002"/>
    <n v="0.74626851618015277"/>
    <n v="0.20941109999999999"/>
    <n v="0.15627694"/>
    <n v="47.392421910000003"/>
    <n v="271.5615583"/>
    <n v="336.24945430000002"/>
    <n v="2743189.7850000001"/>
    <n v="4963297.5"/>
    <n v="218.88449"/>
    <n v="266.27691191000002"/>
  </r>
  <r>
    <n v="657"/>
    <x v="656"/>
    <n v="47.091459999999998"/>
    <n v="-68.301699999999997"/>
    <x v="0"/>
    <x v="3"/>
    <x v="22"/>
    <n v="-5"/>
    <n v="216"/>
    <n v="3.5549580000000001"/>
    <x v="0"/>
    <n v="1.0306085"/>
    <n v="55.54947568"/>
    <n v="1782.5576779999999"/>
    <n v="2388.6274539999999"/>
    <n v="0.7462686050162094"/>
    <n v="0.2106527"/>
    <n v="0.15720348000000001"/>
    <n v="47.1271463"/>
    <n v="190.13256480000001"/>
    <n v="334.22577899999999"/>
    <n v="2732097.3960000002"/>
    <n v="4785062.5"/>
    <n v="209.78046000000001"/>
    <n v="256.9076063"/>
  </r>
  <r>
    <n v="658"/>
    <x v="657"/>
    <n v="47.063262999999999"/>
    <n v="-68.147580000000005"/>
    <x v="0"/>
    <x v="3"/>
    <x v="22"/>
    <n v="-5"/>
    <n v="233.8947368"/>
    <n v="3.5713903999999999"/>
    <x v="0"/>
    <n v="1.0307850999999999"/>
    <n v="77.189274319999996"/>
    <n v="2476.968785"/>
    <n v="3319.1387960000002"/>
    <n v="0.74626851639499803"/>
    <n v="0.21212766"/>
    <n v="0.15830421"/>
    <n v="46.805823369999999"/>
    <n v="169.63375959999999"/>
    <n v="344.12422700000002"/>
    <n v="2806523.0419999999"/>
    <n v="4489439"/>
    <n v="195.45157"/>
    <n v="242.25739336999999"/>
  </r>
  <r>
    <n v="659"/>
    <x v="658"/>
    <n v="47.034911999999998"/>
    <n v="-67.993610000000004"/>
    <x v="0"/>
    <x v="3"/>
    <x v="22"/>
    <n v="-5"/>
    <n v="225"/>
    <n v="3.5716874999999999"/>
    <x v="0"/>
    <n v="1.0310975"/>
    <n v="74.978622950000002"/>
    <n v="2406.0296990000002"/>
    <n v="3224.0807869999999"/>
    <n v="0.74626842748528199"/>
    <n v="0.21252692000000001"/>
    <n v="0.1586022"/>
    <n v="46.729109819999998"/>
    <n v="161.57149340000001"/>
    <n v="344.12422700000002"/>
    <n v="2806523.0419999999"/>
    <n v="4383531"/>
    <n v="190.48227"/>
    <n v="237.21137981999999"/>
  </r>
  <r>
    <n v="660"/>
    <x v="659"/>
    <n v="47.006413000000002"/>
    <n v="-67.839780000000005"/>
    <x v="0"/>
    <x v="3"/>
    <x v="22"/>
    <n v="-5"/>
    <n v="228"/>
    <n v="3.5636969000000001"/>
    <x v="0"/>
    <n v="1.0312950000000001"/>
    <n v="36.850301369999997"/>
    <n v="1182.509589"/>
    <n v="1584.5629590000001"/>
    <n v="0.74626860503306758"/>
    <n v="0.21189366000000001"/>
    <n v="0.15812958999999999"/>
    <n v="46.875891590000002"/>
    <n v="161.2529739"/>
    <n v="344.12422700000002"/>
    <n v="2806523.0419999999"/>
    <n v="4191812.5"/>
    <n v="182.69568000000001"/>
    <n v="229.57157159000002"/>
  </r>
  <r>
    <n v="661"/>
    <x v="660"/>
    <n v="46.917521999999998"/>
    <n v="-124.08916000000001"/>
    <x v="0"/>
    <x v="0"/>
    <x v="15"/>
    <n v="-8"/>
    <n v="9.4"/>
    <n v="3.209489"/>
    <x v="0"/>
    <n v="1.0206443999999999"/>
    <n v="3.3053670589999999"/>
    <n v="106.0677542"/>
    <n v="142.1307836"/>
    <n v="0.74626869361747472"/>
    <n v="0.18368362999999999"/>
    <n v="0.13707734999999999"/>
    <n v="53.632096959999998"/>
    <n v="4.9356558389999998"/>
    <n v="229.69683749999999"/>
    <n v="789782.69539999997"/>
    <n v="825244"/>
    <n v="41.491233999999999"/>
    <n v="95.123330960000004"/>
  </r>
  <r>
    <n v="662"/>
    <x v="661"/>
    <n v="46.945953000000003"/>
    <n v="-123.93555000000001"/>
    <x v="0"/>
    <x v="0"/>
    <x v="15"/>
    <n v="-8"/>
    <n v="51.833333330000002"/>
    <n v="3.1666987"/>
    <x v="0"/>
    <n v="1.0205599999999999"/>
    <n v="13.047641560000001"/>
    <n v="418.69299640000003"/>
    <n v="561.04858730000001"/>
    <n v="0.74626869379517646"/>
    <n v="0.18049459000000001"/>
    <n v="0.13469748000000001"/>
    <n v="54.57611138"/>
    <n v="7.8774220740000001"/>
    <n v="211.66750640000001"/>
    <n v="707166.68030000001"/>
    <n v="743401.7"/>
    <n v="38.03678"/>
    <n v="92.612891380000008"/>
  </r>
  <r>
    <n v="663"/>
    <x v="662"/>
    <n v="46.974229999999999"/>
    <n v="-123.78178"/>
    <x v="0"/>
    <x v="0"/>
    <x v="15"/>
    <n v="-8"/>
    <n v="58.9375"/>
    <n v="3.1197059999999999"/>
    <x v="0"/>
    <n v="1.0204572999999999"/>
    <n v="12.95805509"/>
    <n v="415.81820640000001"/>
    <n v="557.19636890000004"/>
    <n v="0.74626869378365757"/>
    <n v="0.17785875000000001"/>
    <n v="0.13273040999999999"/>
    <n v="55.380523109999999"/>
    <n v="0.48727922099999998"/>
    <n v="207.1099414"/>
    <n v="707690.50879999995"/>
    <n v="754019.44"/>
    <n v="39.151800000000001"/>
    <n v="94.532323109999993"/>
  </r>
  <r>
    <n v="664"/>
    <x v="663"/>
    <n v="47.002357000000003"/>
    <n v="-123.62785"/>
    <x v="0"/>
    <x v="0"/>
    <x v="15"/>
    <n v="-8"/>
    <n v="72.58823529"/>
    <n v="3.1210387000000002"/>
    <x v="0"/>
    <n v="1.020394"/>
    <n v="22.506012160000001"/>
    <n v="722.20780290000005"/>
    <n v="967.75852280000004"/>
    <n v="0.74626860511695414"/>
    <n v="0.17830715"/>
    <n v="0.13306504"/>
    <n v="55.2385345"/>
    <n v="6.9092597360000001"/>
    <n v="187.825909"/>
    <n v="610155.97549999994"/>
    <n v="684083.6"/>
    <n v="35.431117999999998"/>
    <n v="90.669652499999998"/>
  </r>
  <r>
    <n v="665"/>
    <x v="664"/>
    <n v="47.030334000000003"/>
    <n v="-123.47378500000001"/>
    <x v="0"/>
    <x v="0"/>
    <x v="15"/>
    <n v="-8"/>
    <n v="73.157894740000003"/>
    <n v="3.1375196000000001"/>
    <x v="0"/>
    <n v="1.0203660000000001"/>
    <n v="27.928799999999999"/>
    <n v="896.22262460000002"/>
    <n v="1200.9384"/>
    <n v="0.74626860511746484"/>
    <n v="0.17803975999999999"/>
    <n v="0.1328655"/>
    <n v="55.320287290000003"/>
    <n v="2.9763961029999999"/>
    <n v="203.13340249999999"/>
    <n v="659136.43700000003"/>
    <n v="722537.8"/>
    <n v="37.478999999999999"/>
    <n v="92.799287289999995"/>
  </r>
  <r>
    <n v="666"/>
    <x v="665"/>
    <n v="47.058160000000001"/>
    <n v="-123.31957"/>
    <x v="0"/>
    <x v="0"/>
    <x v="15"/>
    <n v="-8"/>
    <n v="116.94444439999999"/>
    <n v="3.1343920000000001"/>
    <x v="0"/>
    <n v="1.0203742"/>
    <n v="37.560593849999997"/>
    <n v="1205.302555"/>
    <n v="1615.1055349999999"/>
    <n v="0.7462686052896228"/>
    <n v="0.17620126999999999"/>
    <n v="0.13149348"/>
    <n v="55.897865860000003"/>
    <n v="10.932123369999999"/>
    <n v="170.5101817"/>
    <n v="546241.38679999998"/>
    <n v="644218.19999999995"/>
    <n v="33.765124999999998"/>
    <n v="89.662990860000008"/>
  </r>
  <r>
    <n v="667"/>
    <x v="666"/>
    <n v="47.085835000000003"/>
    <n v="-123.16521"/>
    <x v="0"/>
    <x v="0"/>
    <x v="17"/>
    <n v="-8"/>
    <n v="189.94444440000001"/>
    <n v="3.2322479999999998"/>
    <x v="0"/>
    <n v="1.0204473000000001"/>
    <n v="27.76704324"/>
    <n v="891.03192279999996"/>
    <n v="1193.982859"/>
    <n v="0.74626860518438987"/>
    <n v="0.1828661"/>
    <n v="0.13646722999999999"/>
    <n v="53.863640750000002"/>
    <n v="5.4500714270000001"/>
    <n v="153.07731810000001"/>
    <n v="486033.83610000001"/>
    <n v="573178.19999999995"/>
    <n v="28.946819999999999"/>
    <n v="82.810460750000004"/>
  </r>
  <r>
    <n v="668"/>
    <x v="667"/>
    <n v="47.113354000000001"/>
    <n v="-123.0107"/>
    <x v="0"/>
    <x v="0"/>
    <x v="27"/>
    <n v="-8"/>
    <n v="76.857142859999996"/>
    <n v="3.32057"/>
    <x v="0"/>
    <n v="1.0205078000000001"/>
    <n v="18.58796147"/>
    <n v="596.47931949999997"/>
    <n v="799.28234339999995"/>
    <n v="0.74626860511228954"/>
    <n v="0.1884557"/>
    <n v="0.14063856999999999"/>
    <n v="52.268496900000002"/>
    <n v="2.8027922059999999"/>
    <n v="159.2974609"/>
    <n v="504842.09989999997"/>
    <n v="550383"/>
    <n v="26.971191000000001"/>
    <n v="79.239687900000007"/>
  </r>
  <r>
    <n v="669"/>
    <x v="668"/>
    <n v="47.140723999999999"/>
    <n v="-122.85602"/>
    <x v="0"/>
    <x v="0"/>
    <x v="27"/>
    <n v="-8"/>
    <n v="34.666666669999998"/>
    <n v="3.353367"/>
    <x v="0"/>
    <n v="1.0206127"/>
    <n v="13.16168921"/>
    <n v="422.35273439999997"/>
    <n v="565.95263599999998"/>
    <n v="0.74626869376397775"/>
    <n v="0.18960689"/>
    <n v="0.14149766999999999"/>
    <n v="51.955385839999998"/>
    <n v="16.394987"/>
    <n v="106.3042662"/>
    <n v="357991.22249999997"/>
    <n v="395892.47"/>
    <n v="19.282686000000002"/>
    <n v="71.238071840000003"/>
  </r>
  <r>
    <n v="670"/>
    <x v="669"/>
    <n v="47.167946000000001"/>
    <n v="-122.70122000000001"/>
    <x v="0"/>
    <x v="0"/>
    <x v="23"/>
    <n v="-8"/>
    <n v="42.5"/>
    <n v="3.3822990000000002"/>
    <x v="0"/>
    <n v="1.0207223000000001"/>
    <n v="3.7059121579999998"/>
    <n v="118.92105359999999"/>
    <n v="159.3542228"/>
    <n v="0.74626860531492611"/>
    <n v="0.19163730000000001"/>
    <n v="0.14301293000000001"/>
    <n v="51.409267120000003"/>
    <n v="38.289019459999999"/>
    <n v="222.51712319999999"/>
    <n v="749858.32440000004"/>
    <n v="903668.6"/>
    <n v="43.548533999999997"/>
    <n v="94.957801119999999"/>
  </r>
  <r>
    <n v="671"/>
    <x v="670"/>
    <n v="47.195010000000003"/>
    <n v="-122.54626500000001"/>
    <x v="0"/>
    <x v="0"/>
    <x v="23"/>
    <n v="-8"/>
    <n v="82.38461538"/>
    <n v="3.3854410000000001"/>
    <x v="0"/>
    <n v="1.0208088"/>
    <n v="9.0973530399999998"/>
    <n v="291.92996540000001"/>
    <n v="391.18618070000002"/>
    <n v="0.74626860508623283"/>
    <n v="0.19197813999999999"/>
    <n v="0.14326727"/>
    <n v="51.321439030000001"/>
    <n v="0.63"/>
    <n v="73.889733730000003"/>
    <n v="250974.07560000001"/>
    <n v="292196"/>
    <n v="14.056167"/>
    <n v="65.377606029999995"/>
  </r>
  <r>
    <n v="672"/>
    <x v="671"/>
    <n v="47.221924000000001"/>
    <n v="-122.39116"/>
    <x v="0"/>
    <x v="0"/>
    <x v="23"/>
    <n v="-8"/>
    <n v="71.555555560000002"/>
    <n v="3.3042590000000001"/>
    <x v="0"/>
    <n v="1.0208997"/>
    <n v="11.966615880000001"/>
    <n v="384.00331890000001"/>
    <n v="514.56448290000003"/>
    <n v="0.74626860512373694"/>
    <n v="0.18615129999999999"/>
    <n v="0.13891887999999999"/>
    <n v="52.931617690000003"/>
    <n v="3.3555844119999998"/>
    <n v="62.849519450000003"/>
    <n v="213890.18890000001"/>
    <n v="262887.34000000003"/>
    <n v="13.042115000000001"/>
    <n v="65.973732690000006"/>
  </r>
  <r>
    <n v="673"/>
    <x v="672"/>
    <n v="47.248683999999997"/>
    <n v="-122.235916"/>
    <x v="0"/>
    <x v="0"/>
    <x v="23"/>
    <n v="-8"/>
    <n v="105.875"/>
    <n v="3.214483"/>
    <x v="0"/>
    <n v="1.0209056000000001"/>
    <n v="14.79238176"/>
    <n v="474.68087450000002"/>
    <n v="636.07241580000004"/>
    <n v="0.74626860512884385"/>
    <n v="0.18098243"/>
    <n v="0.13506151999999999"/>
    <n v="54.443603549999999"/>
    <n v="0.127279221"/>
    <n v="47.448279200000002"/>
    <n v="150032.80540000001"/>
    <n v="166302.32999999999"/>
    <n v="8.486065"/>
    <n v="62.929668550000002"/>
  </r>
  <r>
    <n v="674"/>
    <x v="673"/>
    <n v="47.275289999999998"/>
    <n v="-122.08052000000001"/>
    <x v="0"/>
    <x v="0"/>
    <x v="18"/>
    <n v="-8"/>
    <n v="151.15"/>
    <n v="3.1559051999999999"/>
    <x v="0"/>
    <n v="1.0208484"/>
    <n v="28.52982158"/>
    <n v="915.50902780000001"/>
    <n v="1226.782328"/>
    <n v="0.7462685163492182"/>
    <n v="0.17691272"/>
    <n v="0.13202442"/>
    <n v="55.693552590000003"/>
    <n v="4.345584412"/>
    <n v="65.314149310000005"/>
    <n v="221977.96669999999"/>
    <n v="287634.12"/>
    <n v="15.015014000000001"/>
    <n v="70.708566590000004"/>
  </r>
  <r>
    <n v="675"/>
    <x v="674"/>
    <n v="47.301746000000001"/>
    <n v="-121.92498999999999"/>
    <x v="0"/>
    <x v="0"/>
    <x v="18"/>
    <n v="-8"/>
    <n v="405.83333329999999"/>
    <n v="3.0636988000000001"/>
    <x v="0"/>
    <n v="1.0207033000000001"/>
    <n v="30.14091079"/>
    <n v="967.20826439999996"/>
    <n v="1296.059164"/>
    <n v="0.74626860506500758"/>
    <n v="0.17166518"/>
    <n v="0.12810835000000001"/>
    <n v="57.389557959999998"/>
    <n v="0.757279221"/>
    <n v="53.003792179999998"/>
    <n v="190801.86429999999"/>
    <n v="237906.7"/>
    <n v="12.798788999999999"/>
    <n v="70.18834695999999"/>
  </r>
  <r>
    <n v="676"/>
    <x v="675"/>
    <n v="47.328045000000003"/>
    <n v="-121.7693"/>
    <x v="0"/>
    <x v="0"/>
    <x v="18"/>
    <n v="-8"/>
    <n v="643.9"/>
    <n v="3.0771608000000001"/>
    <x v="0"/>
    <n v="1.0204542000000001"/>
    <n v="5.4061023559999999"/>
    <n v="173.4793713"/>
    <n v="232.46240130000001"/>
    <n v="0.74626851624112511"/>
    <n v="0.17502288999999999"/>
    <n v="0.13061410000000001"/>
    <n v="56.277706510000002"/>
    <n v="2.1946298679999998"/>
    <n v="64.625032430000005"/>
    <n v="220370.01850000001"/>
    <n v="291528.28000000003"/>
    <n v="15.382618000000001"/>
    <n v="71.660324510000009"/>
  </r>
  <r>
    <n v="677"/>
    <x v="676"/>
    <n v="47.354190000000003"/>
    <n v="-121.61348"/>
    <x v="0"/>
    <x v="0"/>
    <x v="18"/>
    <n v="-8"/>
    <n v="926"/>
    <n v="3.2077637000000001"/>
    <x v="0"/>
    <n v="1.0193584"/>
    <n v="2.3328001000000001E-2"/>
    <n v="0.74858496399999996"/>
    <n v="1.00310404"/>
    <n v="0.7462685166735048"/>
    <n v="0.18362456999999999"/>
    <n v="0.13703325"/>
    <n v="89.228471429999999"/>
    <n v="6.6893311630000003"/>
    <n v="75.236629820000005"/>
    <n v="360059.70909999998"/>
    <n v="475017.8"/>
    <n v="23.890408000000001"/>
    <n v="113.11887942999999"/>
  </r>
  <r>
    <n v="678"/>
    <x v="677"/>
    <n v="47.380184"/>
    <n v="-121.45752"/>
    <x v="0"/>
    <x v="0"/>
    <x v="28"/>
    <n v="-8"/>
    <n v="1015"/>
    <n v="3.2762937999999999"/>
    <x v="0"/>
    <n v="1.0184355"/>
    <n v="0.54075601699999998"/>
    <n v="17.352617259999999"/>
    <n v="23.25250874"/>
    <n v="0.74626860499354442"/>
    <n v="0.18774809000000001"/>
    <n v="0.14011051999999999"/>
    <n v="60.907972950000001"/>
    <n v="2.5546298680000001"/>
    <n v="83.682285660000005"/>
    <n v="424927.19"/>
    <n v="470917.66"/>
    <n v="23.164017000000001"/>
    <n v="84.071989950000003"/>
  </r>
  <r>
    <n v="679"/>
    <x v="678"/>
    <n v="47.406025"/>
    <n v="-121.30141399999999"/>
    <x v="0"/>
    <x v="0"/>
    <x v="28"/>
    <n v="-8"/>
    <n v="1038.25"/>
    <n v="3.5913496"/>
    <x v="0"/>
    <n v="1.017784"/>
    <n v="0.149363989"/>
    <n v="4.7930237619999998"/>
    <n v="6.4226515219999998"/>
    <n v="0.7462686937913553"/>
    <n v="0.20880151"/>
    <n v="0.15582202000000001"/>
    <n v="63.22024545"/>
    <n v="11.22396103"/>
    <n v="88.186032409999996"/>
    <n v="452911.28629999998"/>
    <n v="585402"/>
    <n v="25.891961999999999"/>
    <n v="89.11220745"/>
  </r>
  <r>
    <n v="680"/>
    <x v="679"/>
    <n v="47.431705000000001"/>
    <n v="-121.14516399999999"/>
    <x v="0"/>
    <x v="0"/>
    <x v="28"/>
    <n v="-8"/>
    <n v="1397"/>
    <n v="3.6740002999999999"/>
    <x v="0"/>
    <n v="1.0167090000000001"/>
    <n v="5.1840000000000002E-3"/>
    <n v="0.16635222399999999"/>
    <n v="0.222911995"/>
    <n v="0.74626860703480757"/>
    <n v="0.2145804"/>
    <n v="0.16013463999999999"/>
    <n v="91.117151410000005"/>
    <n v="22.984175310000001"/>
    <n v="88.186032409999996"/>
    <n v="452911.28629999998"/>
    <n v="675196.4"/>
    <n v="29.059253999999999"/>
    <n v="120.17640541"/>
  </r>
  <r>
    <n v="681"/>
    <x v="680"/>
    <n v="47.507828000000003"/>
    <n v="-120.6756"/>
    <x v="0"/>
    <x v="0"/>
    <x v="12"/>
    <n v="-8"/>
    <n v="663.5"/>
    <n v="3.8941127999999998"/>
    <x v="0"/>
    <n v="1.0122812000000001"/>
    <n v="0.55355396999999995"/>
    <n v="17.763299929999999"/>
    <n v="23.80282072"/>
    <n v="0.74626869390629091"/>
    <n v="0.23088539999999999"/>
    <n v="0.17230250999999999"/>
    <n v="49.15591577"/>
    <n v="10.01028571"/>
    <n v="137.66703240000001"/>
    <n v="428321.94099999999"/>
    <n v="546242.80000000005"/>
    <n v="21.849105999999999"/>
    <n v="71.005021769999999"/>
  </r>
  <r>
    <n v="682"/>
    <x v="681"/>
    <n v="47.532893999999999"/>
    <n v="-120.51879"/>
    <x v="0"/>
    <x v="0"/>
    <x v="12"/>
    <n v="-8"/>
    <n v="533.375"/>
    <n v="3.9740647999999998"/>
    <x v="0"/>
    <n v="1.0107481"/>
    <n v="3.6660600489999999"/>
    <n v="117.6422173"/>
    <n v="157.64058209999999"/>
    <n v="0.74626860503073467"/>
    <n v="0.23590934"/>
    <n v="0.17605175000000001"/>
    <n v="41.438545670000003"/>
    <n v="0.45"/>
    <n v="129.66498039999999"/>
    <n v="399869.20899999997"/>
    <n v="439932.56"/>
    <n v="17.222069999999999"/>
    <n v="58.660615669999999"/>
  </r>
  <r>
    <n v="683"/>
    <x v="682"/>
    <n v="47.557803999999997"/>
    <n v="-120.36185500000001"/>
    <x v="0"/>
    <x v="0"/>
    <x v="12"/>
    <n v="-8"/>
    <n v="593.5"/>
    <n v="4.0436544000000003"/>
    <x v="2"/>
    <n v="1.0085541"/>
    <n v="1.1051638960000001"/>
    <n v="35.464212119999999"/>
    <n v="47.522047540000003"/>
    <n v="0.74626860490700142"/>
    <n v="0.24351074"/>
    <n v="0.18172442999999999"/>
    <n v="43.089712349999999"/>
    <n v="3.8364675300000002"/>
    <n v="119.2872012"/>
    <n v="363898.64809999999"/>
    <n v="443331.22"/>
    <n v="16.813364"/>
    <n v="59.903076349999999"/>
  </r>
  <r>
    <n v="684"/>
    <x v="683"/>
    <n v="47.582557999999999"/>
    <n v="-120.20477"/>
    <x v="0"/>
    <x v="0"/>
    <x v="20"/>
    <n v="-8"/>
    <n v="833.41176470000005"/>
    <n v="4.0994052999999999"/>
    <x v="2"/>
    <n v="1.0066651"/>
    <n v="15.14108716"/>
    <n v="485.8706737"/>
    <n v="651.06674780000003"/>
    <n v="0.74626860508817394"/>
    <n v="0.25129449999999998"/>
    <n v="0.18753323"/>
    <n v="38.777399819999999"/>
    <n v="1.0709545439999999"/>
    <n v="123.68550639999999"/>
    <n v="371341.89110000001"/>
    <n v="421474.2"/>
    <n v="15.489322"/>
    <n v="54.266721820000001"/>
  </r>
  <r>
    <n v="685"/>
    <x v="684"/>
    <n v="47.607154999999999"/>
    <n v="-120.04756"/>
    <x v="0"/>
    <x v="0"/>
    <x v="20"/>
    <n v="-8"/>
    <n v="870.83333330000005"/>
    <n v="4.0301939999999998"/>
    <x v="2"/>
    <n v="1.0046824000000001"/>
    <n v="32.513399999999997"/>
    <n v="1043.3403760000001"/>
    <n v="1398.0762"/>
    <n v="0.74626860538788953"/>
    <n v="0.24580827"/>
    <n v="0.18343902000000001"/>
    <n v="39.581261019999999"/>
    <n v="7.0647727209999998"/>
    <n v="134.11225970000001"/>
    <n v="417665.3112"/>
    <n v="499683.53"/>
    <n v="18.773401"/>
    <n v="58.354662019999999"/>
  </r>
  <r>
    <n v="686"/>
    <x v="685"/>
    <n v="47.631596000000002"/>
    <n v="-119.89021"/>
    <x v="0"/>
    <x v="0"/>
    <x v="20"/>
    <n v="-8"/>
    <n v="754.95"/>
    <n v="4.008661"/>
    <x v="2"/>
    <n v="1.0024434"/>
    <n v="54.290087839999998"/>
    <n v="1742.144489"/>
    <n v="2334.4737770000002"/>
    <n v="0.74626860501247771"/>
    <n v="0.24431618999999999"/>
    <n v="0.18232551"/>
    <n v="39.75298394"/>
    <n v="14.030499989999999"/>
    <n v="143.759896"/>
    <n v="443228.43170000002"/>
    <n v="549904.4"/>
    <n v="20.786404000000001"/>
    <n v="60.539387939999997"/>
  </r>
  <r>
    <n v="687"/>
    <x v="686"/>
    <n v="47.655884"/>
    <n v="-119.73273500000001"/>
    <x v="0"/>
    <x v="0"/>
    <x v="20"/>
    <n v="-8"/>
    <n v="725"/>
    <n v="4.0048136999999997"/>
    <x v="2"/>
    <n v="1.0001879"/>
    <n v="46.06567295"/>
    <n v="1478.2267159999999"/>
    <n v="1980.8239369999999"/>
    <n v="0.74626860489115743"/>
    <n v="0.2444095"/>
    <n v="0.18239516"/>
    <n v="39.667303799999999"/>
    <n v="9.8340324569999993"/>
    <n v="163.3375064"/>
    <n v="460797.04670000001"/>
    <n v="555652.6"/>
    <n v="20.995667000000001"/>
    <n v="60.662970799999997"/>
  </r>
  <r>
    <n v="688"/>
    <x v="687"/>
    <n v="47.680008000000001"/>
    <n v="-119.57512"/>
    <x v="0"/>
    <x v="0"/>
    <x v="20"/>
    <n v="-8"/>
    <n v="676.94444439999995"/>
    <n v="3.9904670000000002"/>
    <x v="0"/>
    <n v="0.99793829999999994"/>
    <n v="52.167725679999997"/>
    <n v="1674.038644"/>
    <n v="2243.2122039999999"/>
    <n v="0.74626851664542748"/>
    <n v="0.24369979999999999"/>
    <n v="0.18186553"/>
    <n v="39.712309490000003"/>
    <n v="1.924629868"/>
    <n v="153.3697986"/>
    <n v="432904.42200000002"/>
    <n v="482593.28000000003"/>
    <n v="18.288181000000002"/>
    <n v="58.000490490000004"/>
  </r>
  <r>
    <n v="689"/>
    <x v="688"/>
    <n v="47.703980000000001"/>
    <n v="-119.41737000000001"/>
    <x v="0"/>
    <x v="0"/>
    <x v="20"/>
    <n v="-8"/>
    <n v="686.78947370000003"/>
    <n v="3.9650397000000002"/>
    <x v="0"/>
    <n v="0.99539169999999999"/>
    <n v="84.325540430000004"/>
    <n v="2705.9686470000001"/>
    <n v="3625.9982380000001"/>
    <n v="0.74626860505385606"/>
    <n v="0.24144883"/>
    <n v="0.18018569000000001"/>
    <n v="40.001962370000001"/>
    <n v="5.9847727209999997"/>
    <n v="145.28944150000001"/>
    <n v="412267.73670000001"/>
    <n v="481251.9"/>
    <n v="18.40737"/>
    <n v="58.409332370000001"/>
  </r>
  <r>
    <n v="690"/>
    <x v="689"/>
    <n v="47.727800000000002"/>
    <n v="-119.25949"/>
    <x v="0"/>
    <x v="0"/>
    <x v="20"/>
    <n v="-8"/>
    <n v="640.33333330000005"/>
    <n v="3.9338549999999999"/>
    <x v="0"/>
    <n v="0.99325739999999996"/>
    <n v="14.88488313"/>
    <n v="477.64920169999999"/>
    <n v="640.04997460000004"/>
    <n v="0.74626860503901649"/>
    <n v="0.23908468999999999"/>
    <n v="0.17842142"/>
    <n v="40.329320129999999"/>
    <n v="9.3403571339999996"/>
    <n v="76.600973980000006"/>
    <n v="211177.75510000001"/>
    <n v="324883.25"/>
    <n v="12.549314000000001"/>
    <n v="52.878634130000002"/>
  </r>
  <r>
    <n v="691"/>
    <x v="690"/>
    <n v="47.774951999999999"/>
    <n v="-118.94333"/>
    <x v="0"/>
    <x v="0"/>
    <x v="14"/>
    <n v="-8"/>
    <n v="711"/>
    <n v="3.9384556000000002"/>
    <x v="0"/>
    <n v="0.98822284000000005"/>
    <n v="26.408588600000002"/>
    <n v="847.43982549999998"/>
    <n v="1135.5693100000001"/>
    <n v="0.74626869362998183"/>
    <n v="0.23901263"/>
    <n v="0.17836763"/>
    <n v="40.180579620000003"/>
    <n v="11.05410388"/>
    <n v="94.068012920000001"/>
    <n v="257969.72459999999"/>
    <n v="357901.6"/>
    <n v="13.828885"/>
    <n v="54.009464620000003"/>
  </r>
  <r>
    <n v="692"/>
    <x v="691"/>
    <n v="47.798298000000003"/>
    <n v="-118.78505"/>
    <x v="0"/>
    <x v="0"/>
    <x v="14"/>
    <n v="-8"/>
    <n v="722.3"/>
    <n v="3.9172335"/>
    <x v="0"/>
    <n v="0.98650289999999996"/>
    <n v="31.88605342"/>
    <n v="1023.209106"/>
    <n v="1371.100297"/>
    <n v="0.74626860503116066"/>
    <n v="0.23706567000000001"/>
    <n v="0.17691469000000001"/>
    <n v="40.455143880000001"/>
    <n v="7.3784480449999998"/>
    <n v="118.86808430000001"/>
    <n v="374468.86359999998"/>
    <n v="436436.4"/>
    <n v="17.00187"/>
    <n v="57.457013880000005"/>
  </r>
  <r>
    <n v="693"/>
    <x v="692"/>
    <n v="47.821480000000001"/>
    <n v="-118.62665"/>
    <x v="0"/>
    <x v="0"/>
    <x v="14"/>
    <n v="-8"/>
    <n v="751.5"/>
    <n v="3.9014785000000001"/>
    <x v="0"/>
    <n v="0.98473834999999998"/>
    <n v="24.98631284"/>
    <n v="801.79953569999998"/>
    <n v="1074.4114520000001"/>
    <n v="0.74626860520470317"/>
    <n v="0.23589257999999999"/>
    <n v="0.17603925000000001"/>
    <n v="40.59917256"/>
    <n v="0.68911688199999999"/>
    <n v="104.85677269999999"/>
    <n v="334932.4461"/>
    <n v="374738.25"/>
    <n v="14.670947999999999"/>
    <n v="55.270120559999995"/>
  </r>
  <r>
    <n v="694"/>
    <x v="693"/>
    <n v="47.84451"/>
    <n v="-118.468124"/>
    <x v="0"/>
    <x v="0"/>
    <x v="14"/>
    <n v="-8"/>
    <n v="631.27777779999997"/>
    <n v="3.8482791999999999"/>
    <x v="0"/>
    <n v="0.98313919999999999"/>
    <n v="20.325004100000001"/>
    <n v="652.22031330000004"/>
    <n v="873.97517640000001"/>
    <n v="0.74626869379353233"/>
    <n v="0.23135616000000001"/>
    <n v="0.17265384"/>
    <n v="41.342441970000003"/>
    <n v="9.6412402509999993"/>
    <n v="94.448110349999993"/>
    <n v="308131.98349999997"/>
    <n v="381103.56"/>
    <n v="15.212702"/>
    <n v="56.555143970000003"/>
  </r>
  <r>
    <n v="695"/>
    <x v="694"/>
    <n v="47.867379999999997"/>
    <n v="-118.309456"/>
    <x v="0"/>
    <x v="0"/>
    <x v="14"/>
    <n v="-8"/>
    <n v="618.57894739999995"/>
    <n v="3.838533"/>
    <x v="0"/>
    <n v="0.98167230000000005"/>
    <n v="20.683431079999998"/>
    <n v="663.72199620000004"/>
    <n v="889.38753640000004"/>
    <n v="0.74626860511961635"/>
    <n v="0.22804156"/>
    <n v="0.17018026"/>
    <n v="41.894210749999999"/>
    <n v="7.2538181770000003"/>
    <n v="84.691285679999993"/>
    <n v="287936.92859999998"/>
    <n v="375450.44"/>
    <n v="15.204881"/>
    <n v="57.099091749999999"/>
  </r>
  <r>
    <n v="696"/>
    <x v="695"/>
    <n v="47.890090000000001"/>
    <n v="-118.15067000000001"/>
    <x v="0"/>
    <x v="0"/>
    <x v="7"/>
    <n v="-8"/>
    <n v="642.6875"/>
    <n v="3.777542"/>
    <x v="0"/>
    <n v="0.98052620000000001"/>
    <n v="31.45861824"/>
    <n v="1009.493023"/>
    <n v="1352.7205839999999"/>
    <n v="0.74626869357966397"/>
    <n v="0.22312245"/>
    <n v="0.1665093"/>
    <n v="42.778600470000001"/>
    <n v="19.620642839999999"/>
    <n v="52.297681779999998"/>
    <n v="184428.9541"/>
    <n v="356629.2"/>
    <n v="14.761077"/>
    <n v="57.539677470000001"/>
  </r>
  <r>
    <n v="697"/>
    <x v="696"/>
    <n v="47.912643000000003"/>
    <n v="-117.99176"/>
    <x v="0"/>
    <x v="0"/>
    <x v="7"/>
    <n v="-8"/>
    <n v="750.15789470000004"/>
    <n v="3.7165222"/>
    <x v="0"/>
    <n v="0.97984236000000002"/>
    <n v="62.235377049999997"/>
    <n v="1997.1050069999999"/>
    <n v="2676.1212129999999"/>
    <n v="0.74626851627591051"/>
    <n v="0.21958558"/>
    <n v="0.16386983999999999"/>
    <n v="43.443847910000002"/>
    <n v="13.38396103"/>
    <n v="56.981428530000002"/>
    <n v="208086.2775"/>
    <n v="338436.75"/>
    <n v="14.23371"/>
    <n v="57.677557910000004"/>
  </r>
  <r>
    <n v="698"/>
    <x v="697"/>
    <n v="47.935029999999998"/>
    <n v="-117.83271999999999"/>
    <x v="0"/>
    <x v="0"/>
    <x v="7"/>
    <n v="-8"/>
    <n v="681.11111110000002"/>
    <n v="3.7115146999999999"/>
    <x v="0"/>
    <n v="0.97930799999999996"/>
    <n v="72.157797950000003"/>
    <n v="2315.5109910000001"/>
    <n v="3102.785312"/>
    <n v="0.74626851624080404"/>
    <n v="0.21877015"/>
    <n v="0.16326130999999999"/>
    <n v="43.587115619999999"/>
    <n v="4.249188309"/>
    <n v="56.981428530000002"/>
    <n v="208086.2775"/>
    <n v="254013.4"/>
    <n v="10.722918"/>
    <n v="54.310033619999999"/>
  </r>
  <r>
    <n v="699"/>
    <x v="698"/>
    <n v="47.957267999999999"/>
    <n v="-117.67354"/>
    <x v="0"/>
    <x v="0"/>
    <x v="7"/>
    <n v="-8"/>
    <n v="739.31578950000005"/>
    <n v="3.7047119999999998"/>
    <x v="0"/>
    <n v="0.97890955000000002"/>
    <n v="19.851642550000001"/>
    <n v="637.03027669999994"/>
    <n v="853.62062979999996"/>
    <n v="0.74626860511706905"/>
    <n v="0.21784152000000001"/>
    <n v="0.1625683"/>
    <n v="43.758952749999999"/>
    <n v="7.192051942"/>
    <n v="67.302740209999996"/>
    <n v="238264.0073"/>
    <n v="337070.12"/>
    <n v="14.289728999999999"/>
    <n v="58.04868175"/>
  </r>
  <r>
    <n v="700"/>
    <x v="699"/>
    <n v="47.979340000000001"/>
    <n v="-117.51425"/>
    <x v="0"/>
    <x v="0"/>
    <x v="29"/>
    <n v="-8"/>
    <n v="677.94736839999996"/>
    <n v="3.6785882000000001"/>
    <x v="0"/>
    <n v="0.97880137"/>
    <n v="36.039407519999997"/>
    <n v="1156.4885079999999"/>
    <n v="1549.6945229999999"/>
    <n v="0.74626869414314889"/>
    <n v="0.21514183000000001"/>
    <n v="0.16055362000000001"/>
    <n v="44.304217149999999"/>
    <n v="2.3155129859999999"/>
    <n v="57.627324649999998"/>
    <n v="212223.72440000001"/>
    <n v="242022.6"/>
    <n v="10.389041000000001"/>
    <n v="54.693258149999998"/>
  </r>
  <r>
    <n v="701"/>
    <x v="700"/>
    <n v="48.001260000000002"/>
    <n v="-117.35484"/>
    <x v="0"/>
    <x v="0"/>
    <x v="29"/>
    <n v="-8"/>
    <n v="639.27777779999997"/>
    <n v="3.6444728"/>
    <x v="0"/>
    <n v="0.97886335999999996"/>
    <n v="48.440024999999999"/>
    <n v="1554.4186050000001"/>
    <n v="2082.9210750000002"/>
    <n v="0.74626860501663506"/>
    <n v="0.21306641000000001"/>
    <n v="0.1590048"/>
    <n v="44.737983810000003"/>
    <n v="8.0265389569999996"/>
    <n v="56.080331139999998"/>
    <n v="184827.50330000001"/>
    <n v="257982.45"/>
    <n v="11.182002000000001"/>
    <n v="55.91998581"/>
  </r>
  <r>
    <n v="702"/>
    <x v="701"/>
    <n v="48.023014000000003"/>
    <n v="-117.1953"/>
    <x v="0"/>
    <x v="0"/>
    <x v="29"/>
    <n v="-8"/>
    <n v="759.65"/>
    <n v="3.6179787999999999"/>
    <x v="0"/>
    <n v="0.97905933999999994"/>
    <n v="39.206024999999997"/>
    <n v="1258.1036999999999"/>
    <n v="1685.8590750000001"/>
    <n v="0.7462686049247621"/>
    <n v="0.21086131"/>
    <n v="0.1573592"/>
    <n v="45.212940959999997"/>
    <n v="7.7538896040000003"/>
    <n v="67.024149309999999"/>
    <n v="231340.83439999999"/>
    <n v="332074.44"/>
    <n v="14.54397"/>
    <n v="59.756910959999999"/>
  </r>
  <r>
    <n v="703"/>
    <x v="702"/>
    <n v="48.044609999999999"/>
    <n v="-117.035645"/>
    <x v="0"/>
    <x v="1"/>
    <x v="13"/>
    <n v="-8"/>
    <n v="827.66666669999995"/>
    <n v="3.592047"/>
    <x v="0"/>
    <n v="0.97943515000000003"/>
    <n v="33.807129789999998"/>
    <n v="1084.8555819999999"/>
    <n v="1453.7065809999999"/>
    <n v="0.74626860480588275"/>
    <n v="0.20798675999999999"/>
    <n v="0.15521399999999999"/>
    <n v="45.85162073"/>
    <n v="4.8637467499999998"/>
    <n v="310.7389609"/>
    <n v="1123197.115"/>
    <n v="1192295"/>
    <n v="52.941035999999997"/>
    <n v="98.792656730000004"/>
  </r>
  <r>
    <n v="704"/>
    <x v="703"/>
    <n v="48.066048000000002"/>
    <n v="-116.875854"/>
    <x v="0"/>
    <x v="1"/>
    <x v="13"/>
    <n v="-8"/>
    <n v="838.78947370000003"/>
    <n v="3.5246810000000002"/>
    <x v="0"/>
    <n v="0.97991189999999995"/>
    <n v="31.002749999999999"/>
    <n v="994.86429680000003"/>
    <n v="1333.11825"/>
    <n v="0.74626860505435288"/>
    <n v="0.20357963000000001"/>
    <n v="0.15192509000000001"/>
    <n v="46.86212184"/>
    <n v="6.7074220740000001"/>
    <n v="320.90101279999999"/>
    <n v="1148183.9890000001"/>
    <n v="1270601"/>
    <n v="57.639378000000001"/>
    <n v="104.50149984000001"/>
  </r>
  <r>
    <n v="705"/>
    <x v="704"/>
    <n v="48.087322"/>
    <n v="-116.71596"/>
    <x v="0"/>
    <x v="1"/>
    <x v="13"/>
    <n v="-8"/>
    <n v="802.94117649999998"/>
    <n v="3.5184758"/>
    <x v="0"/>
    <n v="0.98043764"/>
    <n v="28.257174320000001"/>
    <n v="906.76000859999999"/>
    <n v="1215.0584960000001"/>
    <n v="0.74626860483266799"/>
    <n v="0.20367673"/>
    <n v="0.15199753999999999"/>
    <n v="46.859507489999999"/>
    <n v="17.878662330000001"/>
    <n v="310.12440249999997"/>
    <n v="1139118.669"/>
    <n v="1292984.5"/>
    <n v="58.626820000000002"/>
    <n v="105.48632749000001"/>
  </r>
  <r>
    <n v="706"/>
    <x v="705"/>
    <n v="48.108437000000002"/>
    <n v="-116.55594000000001"/>
    <x v="0"/>
    <x v="1"/>
    <x v="13"/>
    <n v="-8"/>
    <n v="840.73333330000003"/>
    <n v="3.5085537000000002"/>
    <x v="0"/>
    <n v="0.98025530000000005"/>
    <n v="11.946283810000001"/>
    <n v="383.3509631"/>
    <n v="513.69020399999999"/>
    <n v="0.74626878245861972"/>
    <n v="0.20286787000000001"/>
    <n v="0.15139391999999999"/>
    <n v="47.039478840000001"/>
    <n v="9.2684480449999995"/>
    <n v="355.7647336"/>
    <n v="1369717.702"/>
    <n v="1493572.5"/>
    <n v="67.99194"/>
    <n v="115.03141884"/>
  </r>
  <r>
    <n v="707"/>
    <x v="706"/>
    <n v="48.129390000000001"/>
    <n v="-116.39579999999999"/>
    <x v="0"/>
    <x v="1"/>
    <x v="13"/>
    <n v="-8"/>
    <n v="926.66666669999995"/>
    <n v="3.4722059000000001"/>
    <x v="0"/>
    <n v="0.98068624999999998"/>
    <n v="0.70826401999999999"/>
    <n v="22.72787099"/>
    <n v="30.455352850000001"/>
    <n v="0.74626851647197379"/>
    <n v="0.19984742"/>
    <n v="0.14913988"/>
    <n v="53.86940019"/>
    <n v="5.2237467500000001"/>
    <n v="287.3985323"/>
    <n v="1027741.527"/>
    <n v="1171999"/>
    <n v="54.159309999999998"/>
    <n v="108.02871019"/>
  </r>
  <r>
    <n v="708"/>
    <x v="707"/>
    <n v="48.150185"/>
    <n v="-116.235535"/>
    <x v="0"/>
    <x v="1"/>
    <x v="13"/>
    <n v="-8"/>
    <n v="843.53846150000004"/>
    <n v="3.4350135000000002"/>
    <x v="0"/>
    <n v="0.98121069999999999"/>
    <n v="3.1019756840000001"/>
    <n v="99.541015689999995"/>
    <n v="133.3849544"/>
    <n v="0.74626869378005345"/>
    <n v="0.19691824999999999"/>
    <n v="0.14695393000000001"/>
    <n v="48.497771749999998"/>
    <n v="3.2219090889999999"/>
    <n v="301.15153880000003"/>
    <n v="1107427.6329999999"/>
    <n v="1169456.6000000001"/>
    <n v="54.845694999999999"/>
    <n v="103.34346675"/>
  </r>
  <r>
    <n v="709"/>
    <x v="708"/>
    <n v="48.170822000000001"/>
    <n v="-116.075165"/>
    <x v="0"/>
    <x v="1"/>
    <x v="13"/>
    <n v="-8"/>
    <n v="1133.4000000000001"/>
    <n v="3.4109848"/>
    <x v="0"/>
    <n v="0.98155486999999997"/>
    <n v="5.0812114749999999"/>
    <n v="163.05377039999999"/>
    <n v="218.49209339999999"/>
    <n v="0.74626851646065107"/>
    <n v="0.19617093999999999"/>
    <n v="0.14639622999999999"/>
    <n v="48.695919680000003"/>
    <n v="12.10477272"/>
    <n v="316.92027259999998"/>
    <n v="1156053.932"/>
    <n v="1290168.1000000001"/>
    <n v="60.737380000000002"/>
    <n v="109.43329968"/>
  </r>
  <r>
    <n v="710"/>
    <x v="709"/>
    <n v="48.191290000000002"/>
    <n v="-115.914665"/>
    <x v="0"/>
    <x v="2"/>
    <x v="30"/>
    <n v="-7"/>
    <n v="1023.2"/>
    <n v="3.4025979999999998"/>
    <x v="0"/>
    <n v="0.98207250000000001"/>
    <n v="1.9119239459999999"/>
    <n v="61.352786379999998"/>
    <n v="82.212729659999994"/>
    <n v="0.74626869383526562"/>
    <n v="0.19408573000000001"/>
    <n v="0.14484011999999999"/>
    <n v="49.912298470000003"/>
    <n v="19.530642839999999"/>
    <n v="250.5344479"/>
    <n v="915569.31559999997"/>
    <n v="1146129"/>
    <n v="54.53613"/>
    <n v="104.44842847000001"/>
  </r>
  <r>
    <n v="711"/>
    <x v="710"/>
    <n v="48.211599999999997"/>
    <n v="-115.75406"/>
    <x v="0"/>
    <x v="2"/>
    <x v="14"/>
    <n v="-7"/>
    <n v="1134.2"/>
    <n v="3.4104934"/>
    <x v="0"/>
    <n v="0.98233280000000001"/>
    <n v="1.4113439210000001"/>
    <n v="45.289391340000002"/>
    <n v="60.687788599999998"/>
    <n v="0.74626860501554015"/>
    <n v="0.19526461000000001"/>
    <n v="0.14571983999999999"/>
    <n v="51.250853560000003"/>
    <n v="28.297922060000001"/>
    <n v="240.89055830000001"/>
    <n v="866864.88439999998"/>
    <n v="1162931"/>
    <n v="55.001536999999999"/>
    <n v="106.25239056000001"/>
  </r>
  <r>
    <n v="712"/>
    <x v="711"/>
    <n v="48.231749999999998"/>
    <n v="-115.59332999999999"/>
    <x v="0"/>
    <x v="2"/>
    <x v="14"/>
    <n v="-7"/>
    <n v="1051.9000000000001"/>
    <n v="3.4848607"/>
    <x v="0"/>
    <n v="0.98269415000000004"/>
    <n v="8.9712364749999995"/>
    <n v="287.88290740000002"/>
    <n v="385.76316839999998"/>
    <n v="0.74626851649427717"/>
    <n v="0.19877075"/>
    <n v="0.14833637999999999"/>
    <n v="48.102784649999997"/>
    <n v="25.135129859999999"/>
    <n v="305.93497389999999"/>
    <n v="1295964.9110000001"/>
    <n v="1472119.4"/>
    <n v="68.396675000000002"/>
    <n v="116.49945965000001"/>
  </r>
  <r>
    <n v="713"/>
    <x v="712"/>
    <n v="48.251739999999998"/>
    <n v="-115.432495"/>
    <x v="0"/>
    <x v="2"/>
    <x v="14"/>
    <n v="-7"/>
    <n v="1146.3529410000001"/>
    <n v="3.5246751000000001"/>
    <x v="0"/>
    <n v="0.98300880000000002"/>
    <n v="16.29363549"/>
    <n v="522.85549309999999"/>
    <n v="700.62632589999998"/>
    <n v="0.74626869384098315"/>
    <n v="0.20166455"/>
    <n v="0.15049593"/>
    <n v="47.42445506"/>
    <n v="22.24233765"/>
    <n v="305.93497389999999"/>
    <n v="1295964.9110000001"/>
    <n v="1458503.6"/>
    <n v="66.791679999999999"/>
    <n v="114.21613506"/>
  </r>
  <r>
    <n v="714"/>
    <x v="713"/>
    <n v="48.271563999999998"/>
    <n v="-115.27153"/>
    <x v="0"/>
    <x v="2"/>
    <x v="14"/>
    <n v="-7"/>
    <n v="1087.0769230000001"/>
    <n v="3.5440938000000002"/>
    <x v="0"/>
    <n v="0.98326789999999997"/>
    <n v="7.7037481379999999"/>
    <n v="247.20981119999999"/>
    <n v="331.26116999999999"/>
    <n v="0.74626860491979785"/>
    <n v="0.20380163000000001"/>
    <n v="0.15209076999999999"/>
    <n v="46.93686873"/>
    <n v="17.512266220000001"/>
    <n v="285.9117531"/>
    <n v="1181860.8600000001"/>
    <n v="1340945.6000000001"/>
    <n v="60.764220000000002"/>
    <n v="107.70108873000001"/>
  </r>
  <r>
    <n v="715"/>
    <x v="714"/>
    <n v="48.291229999999999"/>
    <n v="-115.11047000000001"/>
    <x v="0"/>
    <x v="2"/>
    <x v="14"/>
    <n v="-7"/>
    <n v="1171.5999999999999"/>
    <n v="3.543342"/>
    <x v="0"/>
    <n v="0.98351544000000002"/>
    <n v="20.287098629999999"/>
    <n v="651.00386630000003"/>
    <n v="872.34524120000003"/>
    <n v="0.74626860508171933"/>
    <n v="0.20384578"/>
    <n v="0.15212371999999999"/>
    <n v="46.93598094"/>
    <n v="4.5628636330000001"/>
    <n v="257.24743489999997"/>
    <n v="1062509.5109999999"/>
    <n v="1149682.8"/>
    <n v="52.085963999999997"/>
    <n v="99.021944939999997"/>
  </r>
  <r>
    <n v="716"/>
    <x v="715"/>
    <n v="48.31073"/>
    <n v="-114.94929500000001"/>
    <x v="0"/>
    <x v="2"/>
    <x v="14"/>
    <n v="-7"/>
    <n v="1132"/>
    <n v="3.531593"/>
    <x v="0"/>
    <n v="0.9836935"/>
    <n v="16.56255509"/>
    <n v="531.48500320000005"/>
    <n v="712.18986889999996"/>
    <n v="0.74626869379775884"/>
    <n v="0.20388211000000001"/>
    <n v="0.15215081999999999"/>
    <n v="46.934296670000002"/>
    <n v="8.9856558389999996"/>
    <n v="258.5974349"/>
    <n v="1067886.43"/>
    <n v="1188555.6000000001"/>
    <n v="53.837490000000003"/>
    <n v="100.77178667000001"/>
  </r>
  <r>
    <n v="717"/>
    <x v="716"/>
    <n v="48.330069999999999"/>
    <n v="-114.78801"/>
    <x v="0"/>
    <x v="2"/>
    <x v="16"/>
    <n v="-7"/>
    <n v="1502.25"/>
    <n v="3.5193705999999998"/>
    <x v="0"/>
    <n v="0.9838886"/>
    <n v="0.35153995100000002"/>
    <n v="11.28076151"/>
    <n v="15.11621787"/>
    <n v="0.7462687827745631"/>
    <n v="0.2053576"/>
    <n v="0.15325192000000001"/>
    <n v="56.767212319999999"/>
    <n v="18.436753240000002"/>
    <n v="227.35354530000001"/>
    <n v="938952.87809999997"/>
    <n v="1107191.6000000001"/>
    <n v="49.791640000000001"/>
    <n v="106.55885232"/>
  </r>
  <r>
    <n v="718"/>
    <x v="717"/>
    <n v="48.349243000000001"/>
    <n v="-114.62661"/>
    <x v="0"/>
    <x v="2"/>
    <x v="16"/>
    <n v="-7"/>
    <n v="1352.166667"/>
    <n v="3.5077552999999999"/>
    <x v="0"/>
    <n v="0.98351080000000002"/>
    <n v="3.0822121579999999"/>
    <n v="98.906801220000006"/>
    <n v="132.53512280000001"/>
    <n v="0.74626860510970905"/>
    <n v="0.20413816000000001"/>
    <n v="0.15234191999999999"/>
    <n v="46.868577809999998"/>
    <n v="15.835798690000001"/>
    <n v="224.85803240000001"/>
    <n v="825191.58900000004"/>
    <n v="1021200.6"/>
    <n v="46.198864"/>
    <n v="93.067441809999991"/>
  </r>
  <r>
    <n v="719"/>
    <x v="718"/>
    <n v="48.368259999999999"/>
    <n v="-114.46510000000001"/>
    <x v="0"/>
    <x v="2"/>
    <x v="16"/>
    <n v="-7"/>
    <n v="1044.8"/>
    <n v="3.4811535"/>
    <x v="0"/>
    <n v="0.98120534000000004"/>
    <n v="30.601556760000001"/>
    <n v="981.99018639999997"/>
    <n v="1315.866941"/>
    <n v="0.74626860498047876"/>
    <n v="0.20089413"/>
    <n v="0.14992099"/>
    <n v="47.537748909999998"/>
    <n v="5.2519805149999996"/>
    <n v="224.73075309999999"/>
    <n v="824835.63289999997"/>
    <n v="896093"/>
    <n v="41.193644999999997"/>
    <n v="88.731393909999994"/>
  </r>
  <r>
    <n v="720"/>
    <x v="719"/>
    <n v="48.387107999999998"/>
    <n v="-114.30347999999999"/>
    <x v="0"/>
    <x v="2"/>
    <x v="16"/>
    <n v="-7"/>
    <n v="1035.1052629999999"/>
    <n v="3.4549832"/>
    <x v="0"/>
    <n v="0.98127746999999999"/>
    <n v="47.768290579999999"/>
    <n v="1532.86295"/>
    <n v="2054.0364949999998"/>
    <n v="0.7462686051252464"/>
    <n v="0.19852719999999999"/>
    <n v="0.14815463000000001"/>
    <n v="48.107294889999999"/>
    <n v="2.4055129860000002"/>
    <n v="212.7931882"/>
    <n v="761389.42660000001"/>
    <n v="812808.44"/>
    <n v="37.810516"/>
    <n v="85.917810889999998"/>
  </r>
  <r>
    <n v="721"/>
    <x v="720"/>
    <n v="48.405799999999999"/>
    <n v="-114.14176"/>
    <x v="0"/>
    <x v="2"/>
    <x v="16"/>
    <n v="-7"/>
    <n v="1104.625"/>
    <n v="3.4223547000000001"/>
    <x v="0"/>
    <n v="0.98136000000000001"/>
    <n v="29.574638530000001"/>
    <n v="949.03684220000002"/>
    <n v="1271.7094569999999"/>
    <n v="0.74626860481072921"/>
    <n v="0.19619101"/>
    <n v="0.14641121000000001"/>
    <n v="48.683351430000002"/>
    <n v="2.1573506469999999"/>
    <n v="204.14304540000001"/>
    <n v="740732.24109999998"/>
    <n v="771872.44"/>
    <n v="36.333799999999997"/>
    <n v="85.017151429999998"/>
  </r>
  <r>
    <n v="722"/>
    <x v="721"/>
    <n v="48.424323999999999"/>
    <n v="-113.979935"/>
    <x v="0"/>
    <x v="2"/>
    <x v="16"/>
    <n v="-7"/>
    <n v="1103.0999999999999"/>
    <n v="3.3906635999999999"/>
    <x v="0"/>
    <n v="0.98144673999999998"/>
    <n v="15.143112159999999"/>
    <n v="485.935655"/>
    <n v="651.15382279999994"/>
    <n v="0.74626860502860592"/>
    <n v="0.19356622000000001"/>
    <n v="0.14445240000000001"/>
    <n v="49.346924639999997"/>
    <n v="9.4111688250000007"/>
    <n v="207.1913505"/>
    <n v="760555.15359999996"/>
    <n v="900283.94"/>
    <n v="42.953082999999999"/>
    <n v="92.30000763999999"/>
  </r>
  <r>
    <n v="723"/>
    <x v="722"/>
    <n v="48.442680000000003"/>
    <n v="-113.81798999999999"/>
    <x v="0"/>
    <x v="2"/>
    <x v="16"/>
    <n v="-7"/>
    <n v="1228"/>
    <n v="3.2080000000000002"/>
    <x v="0"/>
    <n v="0.98157053999999999"/>
    <n v="7.1279999999999998E-3"/>
    <n v="0.228734311"/>
    <n v="0.306503998"/>
    <n v="0.74626860495307468"/>
    <n v="0.1824943"/>
    <n v="0.13618975999999999"/>
    <n v="99.942554020000003"/>
    <n v="33.35820777"/>
    <n v="205.8285583"/>
    <n v="751165.98129999998"/>
    <n v="1038814.4"/>
    <n v="52.569405000000003"/>
    <n v="152.51195902000001"/>
  </r>
  <r>
    <n v="724"/>
    <x v="723"/>
    <n v="48.460880000000003"/>
    <n v="-113.655945"/>
    <x v="0"/>
    <x v="2"/>
    <x v="16"/>
    <n v="-7"/>
    <n v="1290"/>
    <n v="3.286"/>
    <x v="0"/>
    <n v="0.98165643000000002"/>
    <n v="1.8467999999999998E-2"/>
    <n v="0.59262980200000004"/>
    <n v="0.79412399"/>
    <n v="0.74626860473010015"/>
    <n v="0.18724477"/>
    <n v="0.13973490999999999"/>
    <n v="87.025247820000004"/>
    <n v="50.240473989999998"/>
    <n v="208.71230510000001"/>
    <n v="771585.42350000003"/>
    <n v="1214606.8999999999"/>
    <n v="59.906016999999999"/>
    <n v="146.93126482"/>
  </r>
  <r>
    <n v="725"/>
    <x v="724"/>
    <n v="48.496780000000001"/>
    <n v="-113.33154"/>
    <x v="0"/>
    <x v="2"/>
    <x v="19"/>
    <n v="-7"/>
    <n v="1615"/>
    <n v="3.6468828000000002"/>
    <x v="0"/>
    <n v="0.98192656"/>
    <n v="9.1795682369999998"/>
    <n v="294.56821409999998"/>
    <n v="394.72143419999998"/>
    <n v="0.74626860509111925"/>
    <n v="0.2180684"/>
    <n v="0.16273762"/>
    <n v="43.819107539999997"/>
    <n v="28.465129860000001"/>
    <n v="239.35616870000001"/>
    <n v="641928.82299999997"/>
    <n v="863192.25"/>
    <n v="36.556040000000003"/>
    <n v="80.37514754"/>
  </r>
  <r>
    <n v="726"/>
    <x v="725"/>
    <n v="48.514490000000002"/>
    <n v="-113.1692"/>
    <x v="0"/>
    <x v="2"/>
    <x v="19"/>
    <n v="-7"/>
    <n v="1512.0526319999999"/>
    <n v="3.7009167999999999"/>
    <x v="0"/>
    <n v="0.98202259999999997"/>
    <n v="74.228004490000004"/>
    <n v="2381.942697"/>
    <n v="3191.8041929999999"/>
    <n v="0.74626842781392388"/>
    <n v="0.22230955999999999"/>
    <n v="0.16590263999999999"/>
    <n v="42.986436410000003"/>
    <n v="15.40233765"/>
    <n v="239.31888950000001"/>
    <n v="641934.87360000005"/>
    <n v="754368.3"/>
    <n v="31.337886999999998"/>
    <n v="74.324323410000005"/>
  </r>
  <r>
    <n v="727"/>
    <x v="726"/>
    <n v="48.532029999999999"/>
    <n v="-113.006744"/>
    <x v="0"/>
    <x v="2"/>
    <x v="19"/>
    <n v="-7"/>
    <n v="1387.058824"/>
    <n v="3.7355075000000002"/>
    <x v="0"/>
    <n v="0.98215823999999996"/>
    <n v="85.216540429999995"/>
    <n v="2734.5601109999998"/>
    <n v="3664.3112379999998"/>
    <n v="0.74626851634266111"/>
    <n v="0.22540500999999999"/>
    <n v="0.16821269999999999"/>
    <n v="42.400712329999998"/>
    <n v="7.895512986"/>
    <n v="239.1016103"/>
    <n v="641308.08100000001"/>
    <n v="723263.9"/>
    <n v="29.633137000000001"/>
    <n v="72.033849329999995"/>
  </r>
  <r>
    <n v="728"/>
    <x v="727"/>
    <n v="48.549404000000003"/>
    <n v="-112.84417999999999"/>
    <x v="0"/>
    <x v="2"/>
    <x v="19"/>
    <n v="-7"/>
    <n v="1294.5714290000001"/>
    <n v="3.7495432000000002"/>
    <x v="0"/>
    <n v="0.98229694000000001"/>
    <n v="103.7998863"/>
    <n v="3330.8912479999999"/>
    <n v="4463.3951120000002"/>
    <n v="0.74626851632399238"/>
    <n v="0.22788887999999999"/>
    <n v="0.17006634000000001"/>
    <n v="41.943216640000003"/>
    <n v="5.8691883090000001"/>
    <n v="225.87690900000001"/>
    <n v="607913.74840000004"/>
    <n v="679435.56"/>
    <n v="27.534013999999999"/>
    <n v="69.477230640000002"/>
  </r>
  <r>
    <n v="729"/>
    <x v="728"/>
    <n v="48.56662"/>
    <n v="-112.68152000000001"/>
    <x v="0"/>
    <x v="2"/>
    <x v="19"/>
    <n v="-7"/>
    <n v="1249"/>
    <n v="3.7653606000000002"/>
    <x v="0"/>
    <n v="0.98242490000000005"/>
    <n v="90.653902729999999"/>
    <n v="2909.042946"/>
    <n v="3898.1178180000002"/>
    <n v="0.74626860495779912"/>
    <n v="0.23010074999999999"/>
    <n v="0.17171697"/>
    <n v="41.544287249999996"/>
    <n v="3.6063961029999998"/>
    <n v="214.65404530000001"/>
    <n v="578240.55799999996"/>
    <n v="636761.30000000005"/>
    <n v="25.556597"/>
    <n v="67.100884249999993"/>
  </r>
  <r>
    <n v="730"/>
    <x v="729"/>
    <n v="48.583663999999999"/>
    <n v="-112.51877"/>
    <x v="0"/>
    <x v="2"/>
    <x v="19"/>
    <n v="-7"/>
    <n v="1204.6500000000001"/>
    <n v="3.7760414999999998"/>
    <x v="0"/>
    <n v="0.98257494000000001"/>
    <n v="50.422333889999997"/>
    <n v="1618.0301979999999"/>
    <n v="2168.1603570000002"/>
    <n v="0.74626869399955542"/>
    <n v="0.23060449999999999"/>
    <n v="0.17209290999999999"/>
    <n v="41.458502439999997"/>
    <n v="1.44"/>
    <n v="202.58390249999999"/>
    <n v="549222.33970000001"/>
    <n v="595491.5"/>
    <n v="23.848013000000002"/>
    <n v="65.306515439999998"/>
  </r>
  <r>
    <n v="731"/>
    <x v="730"/>
    <n v="48.600548000000003"/>
    <n v="-112.35590999999999"/>
    <x v="0"/>
    <x v="2"/>
    <x v="19"/>
    <n v="-7"/>
    <n v="1167.8888890000001"/>
    <n v="3.7650502000000001"/>
    <x v="0"/>
    <n v="0.98264074000000001"/>
    <n v="62.43577295"/>
    <n v="2003.5358590000001"/>
    <n v="2684.738237"/>
    <n v="0.74626860503123238"/>
    <n v="0.22965553"/>
    <n v="0.1713847"/>
    <n v="41.632012850000002"/>
    <n v="0.09"/>
    <n v="188.94273369999999"/>
    <n v="509752.54920000001"/>
    <n v="545559.4"/>
    <n v="21.938631000000001"/>
    <n v="63.570643850000003"/>
  </r>
  <r>
    <n v="732"/>
    <x v="731"/>
    <n v="48.617263999999999"/>
    <n v="-112.19296"/>
    <x v="0"/>
    <x v="2"/>
    <x v="21"/>
    <n v="-7"/>
    <n v="1121.823529"/>
    <n v="3.7627269999999999"/>
    <x v="0"/>
    <n v="0.98274963999999998"/>
    <n v="48.883820360000001"/>
    <n v="1568.659985"/>
    <n v="2102.0042760000001"/>
    <n v="0.74626869360374215"/>
    <n v="0.22963116"/>
    <n v="0.17136654000000001"/>
    <n v="41.64004181"/>
    <n v="7.34646753"/>
    <n v="184.404357"/>
    <n v="494989.69040000002"/>
    <n v="570257.1"/>
    <n v="22.934238000000001"/>
    <n v="64.574279810000007"/>
  </r>
  <r>
    <n v="733"/>
    <x v="732"/>
    <n v="48.633811999999999"/>
    <n v="-112.02991"/>
    <x v="0"/>
    <x v="2"/>
    <x v="21"/>
    <n v="-7"/>
    <n v="1039.2857140000001"/>
    <n v="3.739455"/>
    <x v="0"/>
    <n v="0.98278546"/>
    <n v="51.569298629999999"/>
    <n v="1654.8355879999999"/>
    <n v="2217.4798409999999"/>
    <n v="0.74626860519901339"/>
    <n v="0.22758734"/>
    <n v="0.16984126999999999"/>
    <n v="42.01519476"/>
    <n v="15.68668181"/>
    <n v="181.7767207"/>
    <n v="482091.22039999999"/>
    <n v="585080.1"/>
    <n v="23.741689999999998"/>
    <n v="65.756884759999991"/>
  </r>
  <r>
    <n v="734"/>
    <x v="733"/>
    <n v="48.650199999999998"/>
    <n v="-111.86676"/>
    <x v="0"/>
    <x v="2"/>
    <x v="21"/>
    <n v="-7"/>
    <n v="1048.8125"/>
    <n v="3.7407859999999999"/>
    <x v="0"/>
    <n v="0.98285149999999999"/>
    <n v="54.479381840000002"/>
    <n v="1748.218848"/>
    <n v="2342.6134189999998"/>
    <n v="0.74626860489267954"/>
    <n v="0.22753109999999999"/>
    <n v="0.16979933999999999"/>
    <n v="42.02779134"/>
    <n v="18.21947402"/>
    <n v="170.51657779999999"/>
    <n v="450270.60940000002"/>
    <n v="566308.06000000006"/>
    <n v="22.985627999999998"/>
    <n v="65.013419339999999"/>
  </r>
  <r>
    <n v="735"/>
    <x v="734"/>
    <n v="48.666420000000002"/>
    <n v="-111.70352"/>
    <x v="0"/>
    <x v="2"/>
    <x v="21"/>
    <n v="-7"/>
    <n v="1046.7894739999999"/>
    <n v="3.7668993"/>
    <x v="0"/>
    <n v="0.98287029999999997"/>
    <n v="43.331108200000003"/>
    <n v="1390.475929"/>
    <n v="1863.2376529999999"/>
    <n v="0.7462686935084174"/>
    <n v="0.22942583"/>
    <n v="0.17121330000000001"/>
    <n v="41.681335199999999"/>
    <n v="24.663746750000001"/>
    <n v="180.4267207"/>
    <n v="475197.54840000003"/>
    <n v="613614.9"/>
    <n v="24.700057999999999"/>
    <n v="66.381393199999991"/>
  </r>
  <r>
    <n v="736"/>
    <x v="735"/>
    <n v="48.682471999999997"/>
    <n v="-111.54019"/>
    <x v="0"/>
    <x v="2"/>
    <x v="21"/>
    <n v="-7"/>
    <n v="1024.294118"/>
    <n v="3.7687770999999999"/>
    <x v="0"/>
    <n v="0.98280230000000002"/>
    <n v="63.886558890000003"/>
    <n v="2050.0909270000002"/>
    <n v="2747.1220320000002"/>
    <n v="0.74626860515091964"/>
    <n v="0.22964728000000001"/>
    <n v="0.17137854"/>
    <n v="41.638880530000002"/>
    <n v="27.12947402"/>
    <n v="186.37951290000001"/>
    <n v="488631.32030000002"/>
    <n v="634927.4"/>
    <n v="25.533311999999999"/>
    <n v="67.172192530000004"/>
  </r>
  <r>
    <n v="737"/>
    <x v="736"/>
    <n v="48.698360000000001"/>
    <n v="-111.37676"/>
    <x v="0"/>
    <x v="2"/>
    <x v="21"/>
    <n v="-7"/>
    <n v="1064.176471"/>
    <n v="3.7694646999999999"/>
    <x v="0"/>
    <n v="0.98276204"/>
    <n v="46.136785250000003"/>
    <n v="1480.5088539999999"/>
    <n v="1983.881766"/>
    <n v="0.74626869371609517"/>
    <n v="0.22993775"/>
    <n v="0.17159534000000001"/>
    <n v="41.584940809999999"/>
    <n v="30.694844150000002"/>
    <n v="202.84156479999999"/>
    <n v="530633.04350000003"/>
    <n v="694650.1"/>
    <n v="27.899747999999999"/>
    <n v="69.484688809999994"/>
  </r>
  <r>
    <n v="738"/>
    <x v="737"/>
    <n v="48.714084999999997"/>
    <n v="-111.21324"/>
    <x v="0"/>
    <x v="2"/>
    <x v="24"/>
    <n v="-7"/>
    <n v="1129.2"/>
    <n v="3.7847559999999998"/>
    <x v="0"/>
    <n v="0.98263246000000004"/>
    <n v="53.464208200000002"/>
    <n v="1715.642587"/>
    <n v="2298.9609529999998"/>
    <n v="0.74626869358576708"/>
    <n v="0.23144345"/>
    <n v="0.17271897"/>
    <n v="41.310128120000002"/>
    <n v="28.407564929999999"/>
    <n v="222.70927259999999"/>
    <n v="580943.85210000002"/>
    <n v="715153.44"/>
    <n v="28.536370999999999"/>
    <n v="69.846499120000004"/>
  </r>
  <r>
    <n v="739"/>
    <x v="738"/>
    <n v="48.729636999999997"/>
    <n v="-111.04964"/>
    <x v="0"/>
    <x v="2"/>
    <x v="24"/>
    <n v="-7"/>
    <n v="1111.5625"/>
    <n v="3.7842180000000001"/>
    <x v="0"/>
    <n v="0.98248049999999998"/>
    <n v="68.039351370000006"/>
    <n v="2183.351909"/>
    <n v="2925.6921090000001"/>
    <n v="0.74626851618582257"/>
    <n v="0.23164651"/>
    <n v="0.17287056000000001"/>
    <n v="41.268893069999997"/>
    <n v="30.100571410000001"/>
    <n v="222.70927259999999"/>
    <n v="580943.85210000002"/>
    <n v="722127.1"/>
    <n v="28.789380000000001"/>
    <n v="70.058273069999998"/>
  </r>
  <r>
    <n v="740"/>
    <x v="739"/>
    <n v="48.745026000000003"/>
    <n v="-110.88594000000001"/>
    <x v="0"/>
    <x v="2"/>
    <x v="24"/>
    <n v="-7"/>
    <n v="1040.5999999999999"/>
    <n v="3.7670138"/>
    <x v="0"/>
    <n v="0.98230189999999995"/>
    <n v="31.80189133"/>
    <n v="1020.508504"/>
    <n v="1367.481327"/>
    <n v="0.74626869402217444"/>
    <n v="0.23000485000000001"/>
    <n v="0.17164539000000001"/>
    <n v="41.557538960000002"/>
    <n v="28.704701289999999"/>
    <n v="248.6803634"/>
    <n v="622544.8077"/>
    <n v="780490.7"/>
    <n v="31.338280000000001"/>
    <n v="72.89581896"/>
  </r>
  <r>
    <n v="741"/>
    <x v="740"/>
    <n v="48.760254000000003"/>
    <n v="-110.72214"/>
    <x v="0"/>
    <x v="2"/>
    <x v="25"/>
    <n v="-7"/>
    <n v="971.21052629999997"/>
    <n v="3.7490508999999999"/>
    <x v="0"/>
    <n v="0.98103576999999997"/>
    <n v="48.286686619999998"/>
    <n v="1549.4982299999999"/>
    <n v="2076.3275250000002"/>
    <n v="0.74626869380831418"/>
    <n v="0.22869074"/>
    <n v="0.17066474000000001"/>
    <n v="41.754034709999999"/>
    <n v="30.563818179999998"/>
    <n v="237.1193375"/>
    <n v="594882.45030000003"/>
    <n v="757044.2"/>
    <n v="30.571522000000002"/>
    <n v="72.325556710000001"/>
  </r>
  <r>
    <n v="742"/>
    <x v="741"/>
    <n v="48.775306999999998"/>
    <n v="-110.55826"/>
    <x v="0"/>
    <x v="2"/>
    <x v="25"/>
    <n v="-7"/>
    <n v="910.94444439999995"/>
    <n v="3.7417655000000001"/>
    <x v="0"/>
    <n v="0.98071646999999995"/>
    <n v="50.850743989999998"/>
    <n v="1631.777687"/>
    <n v="2186.5819919999999"/>
    <n v="0.74626869377418714"/>
    <n v="0.22804764"/>
    <n v="0.17018484"/>
    <n v="41.861069000000001"/>
    <n v="32.957636350000001"/>
    <n v="227.74014919999999"/>
    <n v="573491.32180000003"/>
    <n v="745766.44"/>
    <n v="30.201025000000001"/>
    <n v="72.062094000000002"/>
  </r>
  <r>
    <n v="743"/>
    <x v="742"/>
    <n v="48.790199999999999"/>
    <n v="-110.3943"/>
    <x v="0"/>
    <x v="2"/>
    <x v="25"/>
    <n v="-7"/>
    <n v="882.61904760000004"/>
    <n v="3.7503676000000001"/>
    <x v="0"/>
    <n v="0.98035410000000001"/>
    <n v="49.190081839999998"/>
    <n v="1578.487779"/>
    <n v="2115.1735189999999"/>
    <n v="0.74626869371278282"/>
    <n v="0.22886918000000001"/>
    <n v="0.1707979"/>
    <n v="41.698719689999997"/>
    <n v="34.312935060000001"/>
    <n v="212.1008894"/>
    <n v="535678.96059999999"/>
    <n v="715414.3"/>
    <n v="28.867868000000001"/>
    <n v="70.566587690000006"/>
  </r>
  <r>
    <n v="744"/>
    <x v="743"/>
    <n v="48.804920000000003"/>
    <n v="-110.23023999999999"/>
    <x v="0"/>
    <x v="2"/>
    <x v="25"/>
    <n v="-7"/>
    <n v="834.58823529999995"/>
    <n v="3.7314227"/>
    <x v="0"/>
    <n v="0.97984815000000003"/>
    <n v="44.602483890000002"/>
    <n v="1431.2738079999999"/>
    <n v="1917.9068070000001"/>
    <n v="0.74626869396162476"/>
    <n v="0.22715537"/>
    <n v="0.16951895"/>
    <n v="41.996308749999997"/>
    <n v="36.029331159999998"/>
    <n v="201.96442189999999"/>
    <n v="509528.13650000002"/>
    <n v="695883.56"/>
    <n v="28.291630000000001"/>
    <n v="70.287938749999995"/>
  </r>
  <r>
    <n v="745"/>
    <x v="744"/>
    <n v="48.819473000000002"/>
    <n v="-110.06610000000001"/>
    <x v="0"/>
    <x v="2"/>
    <x v="25"/>
    <n v="-7"/>
    <n v="852.44444439999995"/>
    <n v="3.741768"/>
    <x v="0"/>
    <n v="0.97942090000000004"/>
    <n v="59.06600684"/>
    <n v="1895.4015810000001"/>
    <n v="2539.8382940000001"/>
    <n v="0.74626860516183713"/>
    <n v="0.22815970999999999"/>
    <n v="0.17026844999999999"/>
    <n v="41.797132169999998"/>
    <n v="38.270285710000003"/>
    <n v="187.78699979999999"/>
    <n v="473855.58519999997"/>
    <n v="671297.75"/>
    <n v="27.171939999999999"/>
    <n v="68.969072170000004"/>
  </r>
  <r>
    <n v="746"/>
    <x v="745"/>
    <n v="48.833862000000003"/>
    <n v="-109.90188000000001"/>
    <x v="0"/>
    <x v="2"/>
    <x v="25"/>
    <n v="-7"/>
    <n v="892.89473680000003"/>
    <n v="3.7397646999999998"/>
    <x v="0"/>
    <n v="0.97886830000000002"/>
    <n v="67.49421504"/>
    <n v="2165.8589889999998"/>
    <n v="2902.2512470000001"/>
    <n v="0.74626860484212232"/>
    <n v="0.22824216"/>
    <n v="0.17032996"/>
    <n v="41.76355092"/>
    <n v="38.719831149999997"/>
    <n v="204.8439673"/>
    <n v="523869.80869999999"/>
    <n v="724573.25"/>
    <n v="29.317764"/>
    <n v="71.081314919999997"/>
  </r>
  <r>
    <n v="747"/>
    <x v="746"/>
    <n v="48.848083000000003"/>
    <n v="-109.73756400000001"/>
    <x v="0"/>
    <x v="2"/>
    <x v="25"/>
    <n v="-7"/>
    <n v="849.66666669999995"/>
    <n v="3.7307804"/>
    <x v="0"/>
    <n v="0.97835079999999996"/>
    <n v="62.565863380000003"/>
    <n v="2007.7099250000001"/>
    <n v="2690.3321249999999"/>
    <n v="0.74626842773176205"/>
    <n v="0.22749205"/>
    <n v="0.16977020000000001"/>
    <n v="41.88387195"/>
    <n v="36.333961029999998"/>
    <n v="204.8439673"/>
    <n v="523869.80869999999"/>
    <n v="717174.94"/>
    <n v="29.114096"/>
    <n v="70.997967950000003"/>
  </r>
  <r>
    <n v="748"/>
    <x v="747"/>
    <n v="48.862136999999997"/>
    <n v="-109.57317"/>
    <x v="0"/>
    <x v="2"/>
    <x v="25"/>
    <n v="-7"/>
    <n v="825.21052629999997"/>
    <n v="3.7136556999999999"/>
    <x v="0"/>
    <n v="0.97785679999999997"/>
    <n v="79.389887700000003"/>
    <n v="2547.5857719999999"/>
    <n v="3413.765171"/>
    <n v="0.7462686050117886"/>
    <n v="0.22601488"/>
    <n v="0.16866782"/>
    <n v="42.140910740000002"/>
    <n v="31.11944802"/>
    <n v="234.42471420000001"/>
    <n v="610161.39439999999"/>
    <n v="755562.44"/>
    <n v="30.872921000000002"/>
    <n v="73.013831740000001"/>
  </r>
  <r>
    <n v="749"/>
    <x v="748"/>
    <n v="48.876021999999999"/>
    <n v="-109.40871"/>
    <x v="0"/>
    <x v="2"/>
    <x v="26"/>
    <n v="-7"/>
    <n v="810.35"/>
    <n v="3.7009292"/>
    <x v="0"/>
    <n v="0.97719895999999995"/>
    <n v="59.427433739999998"/>
    <n v="1906.9993810000001"/>
    <n v="2555.3796510000002"/>
    <n v="0.74626851640370984"/>
    <n v="0.22527227"/>
    <n v="0.16811365"/>
    <n v="42.257517319999998"/>
    <n v="25.87322077"/>
    <n v="234.42471420000001"/>
    <n v="610161.39439999999"/>
    <n v="732194.9"/>
    <n v="30.016729999999999"/>
    <n v="72.274247320000001"/>
  </r>
  <r>
    <n v="750"/>
    <x v="749"/>
    <n v="48.889740000000003"/>
    <n v="-109.24415"/>
    <x v="0"/>
    <x v="2"/>
    <x v="26"/>
    <n v="-7"/>
    <n v="820.1176471"/>
    <n v="3.6957499999999999"/>
    <x v="0"/>
    <n v="0.97654282999999997"/>
    <n v="71.864006840000002"/>
    <n v="2306.0836420000001"/>
    <n v="3090.152294"/>
    <n v="0.74626860510325388"/>
    <n v="0.22505459999999999"/>
    <n v="0.16795120999999999"/>
    <n v="42.276122999999998"/>
    <n v="24.978519469999998"/>
    <n v="234.42471420000001"/>
    <n v="610161.39439999999"/>
    <n v="730100.9"/>
    <n v="29.959831000000001"/>
    <n v="72.235953999999992"/>
  </r>
  <r>
    <n v="751"/>
    <x v="750"/>
    <n v="48.903289999999998"/>
    <n v="-109.07951"/>
    <x v="0"/>
    <x v="2"/>
    <x v="26"/>
    <n v="-7"/>
    <n v="886.9"/>
    <n v="3.6941090000000001"/>
    <x v="0"/>
    <n v="0.97586729999999999"/>
    <n v="76.817156839999996"/>
    <n v="2465.0279970000001"/>
    <n v="3303.1377440000001"/>
    <n v="0.74626860520049809"/>
    <n v="0.22544326000000001"/>
    <n v="0.16824125000000001"/>
    <n v="42.180355689999999"/>
    <n v="29.750259710000002"/>
    <n v="234.42471420000001"/>
    <n v="610161.39439999999"/>
    <n v="753835.94"/>
    <n v="30.880478"/>
    <n v="73.060833689999995"/>
  </r>
  <r>
    <n v="752"/>
    <x v="751"/>
    <n v="48.916668000000001"/>
    <n v="-108.914795"/>
    <x v="0"/>
    <x v="2"/>
    <x v="26"/>
    <n v="-7"/>
    <n v="980.95"/>
    <n v="3.6830099999999999"/>
    <x v="0"/>
    <n v="0.97514630000000002"/>
    <n v="62.699189060000002"/>
    <n v="2011.9885240000001"/>
    <n v="2696.06513"/>
    <n v="0.74626851614671497"/>
    <n v="0.22498018"/>
    <n v="0.16789564000000001"/>
    <n v="42.242683980000002"/>
    <n v="38.761499960000002"/>
    <n v="234.42471420000001"/>
    <n v="610161.39439999999"/>
    <n v="796394.7"/>
    <n v="32.691025000000003"/>
    <n v="74.933708980000006"/>
  </r>
  <r>
    <n v="753"/>
    <x v="752"/>
    <n v="48.929886000000003"/>
    <n v="-108.75"/>
    <x v="0"/>
    <x v="2"/>
    <x v="26"/>
    <n v="-7"/>
    <n v="966.4375"/>
    <n v="3.7100746999999998"/>
    <x v="0"/>
    <n v="0.97441279999999997"/>
    <n v="53.102785249999997"/>
    <n v="1704.044686"/>
    <n v="2283.419766"/>
    <n v="0.74626869372558458"/>
    <n v="0.22755246000000001"/>
    <n v="0.16981526999999999"/>
    <n v="41.74055628"/>
    <n v="48.783480480000001"/>
    <n v="234.42471420000001"/>
    <n v="610161.39439999999"/>
    <n v="844397.06"/>
    <n v="34.269640000000003"/>
    <n v="76.010196280000002"/>
  </r>
  <r>
    <n v="754"/>
    <x v="753"/>
    <n v="48.942929999999997"/>
    <n v="-108.58513000000001"/>
    <x v="0"/>
    <x v="2"/>
    <x v="26"/>
    <n v="-7"/>
    <n v="931.2142857"/>
    <n v="3.7153063"/>
    <x v="0"/>
    <n v="0.97372700000000001"/>
    <n v="33.289216260000003"/>
    <n v="1068.236097"/>
    <n v="1431.436299"/>
    <n v="0.74626869372131244"/>
    <n v="0.2280991"/>
    <n v="0.17022318"/>
    <n v="41.617563500000003"/>
    <n v="53.012837640000001"/>
    <n v="171.35901290000001"/>
    <n v="459485.95539999998"/>
    <n v="723594.1"/>
    <n v="29.296509"/>
    <n v="70.914072500000003"/>
  </r>
  <r>
    <n v="755"/>
    <x v="754"/>
    <n v="48.955803000000003"/>
    <n v="-108.42018"/>
    <x v="0"/>
    <x v="2"/>
    <x v="26"/>
    <n v="-7"/>
    <n v="900"/>
    <n v="3.6928817999999999"/>
    <x v="0"/>
    <n v="0.97289634000000003"/>
    <n v="31.693356080000001"/>
    <n v="1017.025535"/>
    <n v="1362.8143110000001"/>
    <n v="0.74626860518784199"/>
    <n v="0.22593363999999999"/>
    <n v="0.16860718999999999"/>
    <n v="41.988344789999999"/>
    <n v="57.697227230000003"/>
    <n v="169.949896"/>
    <n v="455430.14270000003"/>
    <n v="737004.1"/>
    <n v="30.125443000000001"/>
    <n v="72.113787790000003"/>
  </r>
  <r>
    <n v="756"/>
    <x v="755"/>
    <n v="48.968513000000002"/>
    <n v="-108.25516"/>
    <x v="0"/>
    <x v="2"/>
    <x v="26"/>
    <n v="-7"/>
    <n v="884.1"/>
    <n v="3.6903486000000001"/>
    <x v="0"/>
    <n v="0.96923239999999999"/>
    <n v="35.848978420000002"/>
    <n v="1150.3777230000001"/>
    <n v="1541.5060719999999"/>
    <n v="0.74626869390625417"/>
    <n v="0.22585379999999999"/>
    <n v="0.16854762000000001"/>
    <n v="41.879261309999997"/>
    <n v="62.76345448"/>
    <n v="169.949896"/>
    <n v="455430.14270000003"/>
    <n v="763849.4"/>
    <n v="31.233795000000001"/>
    <n v="73.11305630999999"/>
  </r>
  <r>
    <n v="757"/>
    <x v="756"/>
    <n v="48.981051999999998"/>
    <n v="-108.09005999999999"/>
    <x v="0"/>
    <x v="2"/>
    <x v="31"/>
    <n v="-7"/>
    <n v="880.7"/>
    <n v="3.6833849999999999"/>
    <x v="0"/>
    <n v="0.96772250000000004"/>
    <n v="18.706949999999999"/>
    <n v="600.29760769999996"/>
    <n v="804.39885000000004"/>
    <n v="0.74626860505829906"/>
    <n v="0.22555244999999999"/>
    <n v="0.16832275999999999"/>
    <n v="41.884072840000002"/>
    <n v="69.378038919999995"/>
    <n v="139.8663181"/>
    <n v="375246.76770000003"/>
    <n v="724006"/>
    <n v="29.644151999999998"/>
    <n v="71.528224840000007"/>
  </r>
  <r>
    <n v="758"/>
    <x v="757"/>
    <n v="48.99342"/>
    <n v="-107.92488"/>
    <x v="0"/>
    <x v="2"/>
    <x v="31"/>
    <n v="-7"/>
    <n v="841.55555560000005"/>
    <n v="3.6708647999999999"/>
    <x v="0"/>
    <n v="0.96682805000000005"/>
    <n v="16.13779156"/>
    <n v="517.8545312"/>
    <n v="693.92503729999999"/>
    <n v="0.7462686938273988"/>
    <n v="0.22433583000000001"/>
    <n v="0.1674148"/>
    <n v="42.08076251"/>
    <n v="74.065077860000002"/>
    <n v="139.28903890000001"/>
    <n v="373755.08159999998"/>
    <n v="747094.9"/>
    <n v="30.755410000000001"/>
    <n v="72.836172509999997"/>
  </r>
  <r>
    <n v="759"/>
    <x v="758"/>
    <n v="47.190776999999997"/>
    <n v="-69.42944"/>
    <x v="0"/>
    <x v="3"/>
    <x v="22"/>
    <n v="-5"/>
    <n v="381.1333333"/>
    <n v="3.5755005"/>
    <x v="0"/>
    <n v="1.0285605"/>
    <n v="86.768821579999994"/>
    <n v="2784.3721089999999"/>
    <n v="3731.0593279999998"/>
    <n v="0.74626851631773361"/>
    <n v="0.20872088"/>
    <n v="0.15576187"/>
    <n v="47.488360120000003"/>
    <n v="248.4906751"/>
    <n v="298.39919459999999"/>
    <n v="2487328.727"/>
    <n v="5955057"/>
    <n v="263.49016999999998"/>
    <n v="310.97853011999996"/>
  </r>
  <r>
    <n v="760"/>
    <x v="759"/>
    <n v="47.163690000000003"/>
    <n v="-69.274506000000002"/>
    <x v="0"/>
    <x v="3"/>
    <x v="22"/>
    <n v="-5"/>
    <n v="350.73684209999999"/>
    <n v="3.5683346"/>
    <x v="0"/>
    <n v="1.0286325000000001"/>
    <n v="98.154178419999994"/>
    <n v="3149.723418"/>
    <n v="4220.629672"/>
    <n v="0.74626860510779258"/>
    <n v="0.20788852999999999"/>
    <n v="0.15514069999999999"/>
    <n v="47.681154710000001"/>
    <n v="325.79401280000002"/>
    <n v="330.50379850000002"/>
    <n v="2701813.4870000002"/>
    <n v="5444747"/>
    <n v="241.87533999999999"/>
    <n v="289.55649470999998"/>
  </r>
  <r>
    <n v="761"/>
    <x v="760"/>
    <n v="47.136443999999997"/>
    <n v="-69.119720000000001"/>
    <x v="0"/>
    <x v="3"/>
    <x v="22"/>
    <n v="-5"/>
    <n v="308.61111110000002"/>
    <n v="3.5587694999999999"/>
    <x v="0"/>
    <n v="1.0288098000000001"/>
    <n v="57.611736469999997"/>
    <n v="1848.734479"/>
    <n v="2477.3046680000002"/>
    <n v="0.74626851629538837"/>
    <n v="0.20670321999999999"/>
    <n v="0.15425614000000001"/>
    <n v="47.961120149999999"/>
    <n v="314.42842839999997"/>
    <n v="335.14761670000001"/>
    <n v="2737709.35"/>
    <n v="5261402"/>
    <n v="235.07077000000001"/>
    <n v="283.03189014999998"/>
  </r>
  <r>
    <n v="762"/>
    <x v="761"/>
    <n v="47.109054999999998"/>
    <n v="-68.965090000000004"/>
    <x v="0"/>
    <x v="3"/>
    <x v="22"/>
    <n v="-5"/>
    <n v="320.05263159999998"/>
    <n v="3.5524132000000002"/>
    <x v="0"/>
    <n v="1.0289128999999999"/>
    <n v="55.087696579999999"/>
    <n v="1767.7391849999999"/>
    <n v="2368.7709530000002"/>
    <n v="0.74626851649003645"/>
    <n v="0.20640855999999999"/>
    <n v="0.15403623999999999"/>
    <n v="48.033415490000003"/>
    <n v="298.82955179999999"/>
    <n v="331.14019459999997"/>
    <n v="2707776.8029999998"/>
    <n v="5048658"/>
    <n v="225.88774000000001"/>
    <n v="273.92115548999999"/>
  </r>
  <r>
    <n v="763"/>
    <x v="762"/>
    <n v="47.081505"/>
    <n v="-68.810590000000005"/>
    <x v="0"/>
    <x v="3"/>
    <x v="22"/>
    <n v="-5"/>
    <n v="385.52631580000002"/>
    <n v="3.5803742000000001"/>
    <x v="0"/>
    <n v="1.0291262000000001"/>
    <n v="48.880264750000002"/>
    <n v="1568.5453279999999"/>
    <n v="2101.8513840000001"/>
    <n v="0.7462684278918551"/>
    <n v="0.20902914"/>
    <n v="0.15599189999999999"/>
    <n v="47.439001740000002"/>
    <n v="301.72609069999999"/>
    <n v="331.14019459999997"/>
    <n v="2707776.8029999998"/>
    <n v="5244492"/>
    <n v="231.708"/>
    <n v="279.14700174000001"/>
  </r>
  <r>
    <n v="764"/>
    <x v="763"/>
    <n v="47.053809999999999"/>
    <n v="-68.65625"/>
    <x v="0"/>
    <x v="3"/>
    <x v="22"/>
    <n v="-5"/>
    <n v="297.82352939999998"/>
    <n v="3.5927882000000002"/>
    <x v="0"/>
    <n v="1.0292867000000001"/>
    <n v="56.681209420000002"/>
    <n v="1818.8742890000001"/>
    <n v="2437.2920049999998"/>
    <n v="0.74626851656209336"/>
    <n v="0.2099625"/>
    <n v="0.15668844000000001"/>
    <n v="47.233953579999998"/>
    <n v="199.36108429999999"/>
    <n v="337.08129200000002"/>
    <n v="2749877.8250000002"/>
    <n v="4995895.5"/>
    <n v="219.74348000000001"/>
    <n v="266.97743358000002"/>
  </r>
  <r>
    <n v="765"/>
    <x v="764"/>
    <n v="47.025959999999998"/>
    <n v="-68.502044999999995"/>
    <x v="0"/>
    <x v="3"/>
    <x v="22"/>
    <n v="-5"/>
    <n v="234.35"/>
    <n v="3.5810377999999998"/>
    <x v="0"/>
    <n v="1.0295844000000001"/>
    <n v="69.333405470000002"/>
    <n v="2224.8775179999998"/>
    <n v="2981.3364350000002"/>
    <n v="0.74626851632060087"/>
    <n v="0.21039768"/>
    <n v="0.15701319999999999"/>
    <n v="47.147079929999997"/>
    <n v="187.46719469999999"/>
    <n v="335.4548959"/>
    <n v="2738985.051"/>
    <n v="4773714"/>
    <n v="209.53658999999999"/>
    <n v="256.68366993000001"/>
  </r>
  <r>
    <n v="766"/>
    <x v="765"/>
    <n v="46.997959999999999"/>
    <n v="-68.348010000000002"/>
    <x v="0"/>
    <x v="3"/>
    <x v="22"/>
    <n v="-5"/>
    <n v="223.94444440000001"/>
    <n v="3.5661132000000002"/>
    <x v="0"/>
    <n v="1.0297898000000001"/>
    <n v="79.109140429999997"/>
    <n v="2538.5764170000002"/>
    <n v="3401.6930379999999"/>
    <n v="0.74626851648335013"/>
    <n v="0.21131017999999999"/>
    <n v="0.15769416"/>
    <n v="46.950902759999998"/>
    <n v="177.48404529999999"/>
    <n v="334.4430582"/>
    <n v="2733167.84"/>
    <n v="4610851.5"/>
    <n v="201.51394999999999"/>
    <n v="248.46485275999999"/>
  </r>
  <r>
    <n v="767"/>
    <x v="766"/>
    <n v="46.969807000000003"/>
    <n v="-68.194109999999995"/>
    <x v="0"/>
    <x v="3"/>
    <x v="22"/>
    <n v="-5"/>
    <n v="221.55555559999999"/>
    <n v="3.5949996"/>
    <x v="0"/>
    <n v="1.030108"/>
    <n v="82.641056840000005"/>
    <n v="2651.914327"/>
    <n v="3553.5654439999998"/>
    <n v="0.74626860509284043"/>
    <n v="0.21389215"/>
    <n v="0.15962098999999999"/>
    <n v="46.395517650000002"/>
    <n v="164.58736350000001"/>
    <n v="336.64673349999998"/>
    <n v="2745965.7030000002"/>
    <n v="4445036"/>
    <n v="191.92204000000001"/>
    <n v="238.31755765000003"/>
  </r>
  <r>
    <n v="768"/>
    <x v="767"/>
    <n v="46.941504999999999"/>
    <n v="-68.040360000000007"/>
    <x v="0"/>
    <x v="3"/>
    <x v="22"/>
    <n v="-5"/>
    <n v="193.84210529999999"/>
    <n v="3.5827171999999998"/>
    <x v="0"/>
    <n v="1.0303863"/>
    <n v="44.53857773"/>
    <n v="1429.2229179999999"/>
    <n v="1915.1588429999999"/>
    <n v="0.74626860493785163"/>
    <n v="0.21264454999999999"/>
    <n v="0.15868995"/>
    <n v="46.677721429999998"/>
    <n v="150.79862979999999"/>
    <n v="344.12422700000002"/>
    <n v="2806523.0419999999"/>
    <n v="4244837"/>
    <n v="184.35341"/>
    <n v="231.03113142999999"/>
  </r>
  <r>
    <n v="769"/>
    <x v="768"/>
    <n v="46.913055"/>
    <n v="-67.886769999999999"/>
    <x v="0"/>
    <x v="3"/>
    <x v="22"/>
    <n v="-5"/>
    <n v="189.7222222"/>
    <n v="3.5645718999999998"/>
    <x v="0"/>
    <n v="1.0307202"/>
    <n v="35.10871831"/>
    <n v="1126.623106"/>
    <n v="1509.6748869999999"/>
    <n v="0.74626869381049732"/>
    <n v="0.21129744"/>
    <n v="0.15768463999999999"/>
    <n v="46.987385690000004"/>
    <n v="144.0144545"/>
    <n v="344.12422700000002"/>
    <n v="2806523.0419999999"/>
    <n v="4177723.5"/>
    <n v="182.59540999999999"/>
    <n v="229.58279568999998"/>
  </r>
  <r>
    <n v="770"/>
    <x v="769"/>
    <n v="46.824154"/>
    <n v="-124.04236"/>
    <x v="0"/>
    <x v="0"/>
    <x v="15"/>
    <n v="-8"/>
    <n v="44.533333329999998"/>
    <n v="3.1774368000000002"/>
    <x v="0"/>
    <n v="1.0205934000000001"/>
    <n v="23.423580399999999"/>
    <n v="751.65206539999997"/>
    <n v="1007.2139570000001"/>
    <n v="0.74626851641214886"/>
    <n v="0.18238802000000001"/>
    <n v="0.13611047000000001"/>
    <n v="54.010941699999997"/>
    <n v="12.945655840000001"/>
    <n v="237.16153879999999"/>
    <n v="810230.2794"/>
    <n v="894381.4"/>
    <n v="45.286715999999998"/>
    <n v="99.297657700000002"/>
  </r>
  <r>
    <n v="771"/>
    <x v="770"/>
    <n v="46.852530000000002"/>
    <n v="-123.88898"/>
    <x v="0"/>
    <x v="0"/>
    <x v="15"/>
    <n v="-8"/>
    <n v="84.944444439999998"/>
    <n v="3.1130716999999999"/>
    <x v="0"/>
    <n v="1.0204607000000001"/>
    <n v="32.515343919999999"/>
    <n v="1043.4027550000001"/>
    <n v="1398.159789"/>
    <n v="0.74626860478248247"/>
    <n v="0.17761189999999999"/>
    <n v="0.1325462"/>
    <n v="55.457633610000002"/>
    <n v="10.124772719999999"/>
    <n v="222.4802986"/>
    <n v="760250.3223"/>
    <n v="881124.25"/>
    <n v="45.815193000000001"/>
    <n v="101.27282661000001"/>
  </r>
  <r>
    <n v="772"/>
    <x v="771"/>
    <n v="46.880763999999999"/>
    <n v="-123.73542999999999"/>
    <x v="0"/>
    <x v="0"/>
    <x v="15"/>
    <n v="-8"/>
    <n v="91.944444439999998"/>
    <n v="3.1126915999999998"/>
    <x v="0"/>
    <n v="1.0203346"/>
    <n v="28.83259863"/>
    <n v="925.22511599999996"/>
    <n v="1239.801741"/>
    <n v="0.74626860521564631"/>
    <n v="0.17740861999999999"/>
    <n v="0.1323945"/>
    <n v="55.515747920000003"/>
    <n v="2.1882337650000001"/>
    <n v="210.30361679999999"/>
    <n v="731898.37360000005"/>
    <n v="789361.25"/>
    <n v="41.090885"/>
    <n v="96.60663292000001"/>
  </r>
  <r>
    <n v="773"/>
    <x v="772"/>
    <n v="46.908844000000002"/>
    <n v="-123.58174"/>
    <x v="0"/>
    <x v="0"/>
    <x v="15"/>
    <n v="-8"/>
    <n v="99.555555560000002"/>
    <n v="3.1169216999999998"/>
    <x v="0"/>
    <n v="1.0202594"/>
    <n v="15.211475679999999"/>
    <n v="488.12940980000002"/>
    <n v="654.09345440000004"/>
    <n v="0.74626860506922688"/>
    <n v="0.17790289000000001"/>
    <n v="0.13276336"/>
    <n v="55.358284640000001"/>
    <n v="6.8128636330000001"/>
    <n v="187.825909"/>
    <n v="610155.97549999994"/>
    <n v="722222.2"/>
    <n v="37.491447000000001"/>
    <n v="92.849731640000002"/>
  </r>
  <r>
    <n v="774"/>
    <x v="773"/>
    <n v="46.936770000000003"/>
    <n v="-123.42789999999999"/>
    <x v="0"/>
    <x v="0"/>
    <x v="15"/>
    <n v="-8"/>
    <n v="103.3888889"/>
    <n v="3.1531028999999999"/>
    <x v="0"/>
    <n v="1.0202291999999999"/>
    <n v="18.534662839999999"/>
    <n v="594.76899030000004"/>
    <n v="796.99050220000004"/>
    <n v="0.74626860503131354"/>
    <n v="0.17799551999999999"/>
    <n v="0.13283247000000001"/>
    <n v="55.328177429999997"/>
    <n v="5.925655839"/>
    <n v="178.13304539999999"/>
    <n v="570811.74120000005"/>
    <n v="650260.56000000006"/>
    <n v="33.738266000000003"/>
    <n v="89.066443429999993"/>
  </r>
  <r>
    <n v="775"/>
    <x v="774"/>
    <n v="46.964550000000003"/>
    <n v="-123.27391"/>
    <x v="0"/>
    <x v="0"/>
    <x v="15"/>
    <n v="-8"/>
    <n v="164.94444440000001"/>
    <n v="3.1314616000000002"/>
    <x v="0"/>
    <n v="1.0202283000000001"/>
    <n v="24.39825205"/>
    <n v="782.92902260000005"/>
    <n v="1049.124838"/>
    <n v="0.74626869390733086"/>
    <n v="0.17598188000000001"/>
    <n v="0.13132975999999999"/>
    <n v="55.961222960000001"/>
    <n v="5.5001428529999998"/>
    <n v="179.4713505"/>
    <n v="570777.03729999997"/>
    <n v="654629.80000000005"/>
    <n v="34.353596000000003"/>
    <n v="90.314818959999997"/>
  </r>
  <r>
    <n v="776"/>
    <x v="775"/>
    <n v="46.992176000000001"/>
    <n v="-123.11977"/>
    <x v="0"/>
    <x v="0"/>
    <x v="27"/>
    <n v="-8"/>
    <n v="294.73684209999999"/>
    <n v="3.2479043000000001"/>
    <x v="0"/>
    <n v="1.0202903999999999"/>
    <n v="11.684736470000001"/>
    <n v="374.95793559999998"/>
    <n v="502.44366839999998"/>
    <n v="0.74626860518320348"/>
    <n v="0.18536559"/>
    <n v="0.13833253000000001"/>
    <n v="53.130875320000001"/>
    <n v="4.2119090889999997"/>
    <n v="152.08996740000001"/>
    <n v="477542.65950000001"/>
    <n v="583555.25"/>
    <n v="29.073498000000001"/>
    <n v="82.204373320000002"/>
  </r>
  <r>
    <n v="777"/>
    <x v="776"/>
    <n v="47.019649999999999"/>
    <n v="-122.965485"/>
    <x v="0"/>
    <x v="0"/>
    <x v="27"/>
    <n v="-8"/>
    <n v="96.58823529"/>
    <n v="3.2986197000000002"/>
    <x v="0"/>
    <n v="1.0203332000000001"/>
    <n v="17.377414890000001"/>
    <n v="557.63349070000004"/>
    <n v="747.22884039999997"/>
    <n v="0.74626869380669592"/>
    <n v="0.18716447"/>
    <n v="0.13967499"/>
    <n v="52.621963600000001"/>
    <n v="0.99639610300000003"/>
    <n v="139.51600640000001"/>
    <n v="437025.6202"/>
    <n v="465189.2"/>
    <n v="22.953588"/>
    <n v="75.575551599999997"/>
  </r>
  <r>
    <n v="778"/>
    <x v="777"/>
    <n v="47.046970000000002"/>
    <n v="-122.81104999999999"/>
    <x v="0"/>
    <x v="0"/>
    <x v="27"/>
    <n v="-8"/>
    <n v="58.5625"/>
    <n v="3.3199245999999998"/>
    <x v="0"/>
    <n v="1.0204344000000001"/>
    <n v="22.020174319999999"/>
    <n v="706.61756909999997"/>
    <n v="946.86749559999998"/>
    <n v="0.74626869375449278"/>
    <n v="0.18753976"/>
    <n v="0.13995504"/>
    <n v="52.520791979999998"/>
    <n v="1.536396103"/>
    <n v="134.7832856"/>
    <n v="416468.72220000002"/>
    <n v="447740.2"/>
    <n v="22.048403"/>
    <n v="74.569194979999992"/>
  </r>
  <r>
    <n v="779"/>
    <x v="778"/>
    <n v="47.074142000000002"/>
    <n v="-122.65648"/>
    <x v="0"/>
    <x v="0"/>
    <x v="23"/>
    <n v="-8"/>
    <n v="79.4375"/>
    <n v="3.3132136000000001"/>
    <x v="0"/>
    <n v="1.0204991999999999"/>
    <n v="45.922135249999997"/>
    <n v="1473.6206560000001"/>
    <n v="1974.6518160000001"/>
    <n v="0.74626860495592306"/>
    <n v="0.18737054"/>
    <n v="0.13982876999999999"/>
    <n v="52.570861829999998"/>
    <n v="1.7755129860000001"/>
    <n v="93.910305140000006"/>
    <n v="317263.04739999998"/>
    <n v="380982.6"/>
    <n v="18.777951999999999"/>
    <n v="71.348813829999997"/>
  </r>
  <r>
    <n v="780"/>
    <x v="779"/>
    <n v="47.10116"/>
    <n v="-122.501755"/>
    <x v="0"/>
    <x v="0"/>
    <x v="23"/>
    <n v="-8"/>
    <n v="111.3529412"/>
    <n v="3.272688"/>
    <x v="0"/>
    <n v="1.0206021999999999"/>
    <n v="55.824306149999998"/>
    <n v="1791.376865"/>
    <n v="2400.4451650000001"/>
    <n v="0.74626860514016358"/>
    <n v="0.18497369999999999"/>
    <n v="0.13804008000000001"/>
    <n v="53.256315069999999"/>
    <n v="4.8392597359999998"/>
    <n v="80.091785669999993"/>
    <n v="265367.51209999999"/>
    <n v="321802.09999999998"/>
    <n v="16.066573999999999"/>
    <n v="69.322889070000002"/>
  </r>
  <r>
    <n v="781"/>
    <x v="780"/>
    <n v="47.128030000000003"/>
    <n v="-122.34688"/>
    <x v="0"/>
    <x v="0"/>
    <x v="23"/>
    <n v="-8"/>
    <n v="125.29411760000001"/>
    <n v="3.2443300000000002"/>
    <x v="0"/>
    <n v="1.0206286"/>
    <n v="15.520086470000001"/>
    <n v="498.03259120000001"/>
    <n v="667.36371840000004"/>
    <n v="0.74626860506296289"/>
    <n v="0.18255695999999999"/>
    <n v="0.13623652999999999"/>
    <n v="53.962440469999997"/>
    <n v="2.2100714269999999"/>
    <n v="73.467967490000007"/>
    <n v="233768.1489"/>
    <n v="271809.03000000003"/>
    <n v="13.750227000000001"/>
    <n v="67.71266747"/>
  </r>
  <r>
    <n v="782"/>
    <x v="781"/>
    <n v="47.154743000000003"/>
    <n v="-122.191864"/>
    <x v="0"/>
    <x v="0"/>
    <x v="23"/>
    <n v="-8"/>
    <n v="147.84210529999999"/>
    <n v="3.2032492000000001"/>
    <x v="0"/>
    <n v="1.0206465"/>
    <n v="22.7646446"/>
    <n v="730.5072017"/>
    <n v="978.87971800000003"/>
    <n v="0.74626860508718806"/>
    <n v="0.17973226"/>
    <n v="0.13412856000000001"/>
    <n v="54.811279319999997"/>
    <n v="1.955512986"/>
    <n v="61.313123339999997"/>
    <n v="204040.25140000001"/>
    <n v="239355.94"/>
    <n v="12.298795"/>
    <n v="67.110074319999995"/>
  </r>
  <r>
    <n v="783"/>
    <x v="782"/>
    <n v="47.181297000000001"/>
    <n v="-122.03671"/>
    <x v="0"/>
    <x v="0"/>
    <x v="18"/>
    <n v="-8"/>
    <n v="218"/>
    <n v="3.1671388"/>
    <x v="0"/>
    <n v="1.020572"/>
    <n v="27.157274999999998"/>
    <n v="871.46473449999996"/>
    <n v="1167.762825"/>
    <n v="0.74626860509966997"/>
    <n v="0.17701565999999999"/>
    <n v="0.13210124000000001"/>
    <n v="55.64922756"/>
    <n v="1.160954544"/>
    <n v="64.711285680000003"/>
    <n v="232117.62409999999"/>
    <n v="275578.65999999997"/>
    <n v="14.377331"/>
    <n v="70.026558559999998"/>
  </r>
  <r>
    <n v="784"/>
    <x v="783"/>
    <n v="47.207706000000002"/>
    <n v="-121.88141"/>
    <x v="0"/>
    <x v="0"/>
    <x v="18"/>
    <n v="-8"/>
    <n v="559.625"/>
    <n v="3.0926619"/>
    <x v="0"/>
    <n v="1.0204172"/>
    <n v="19.766108060000001"/>
    <n v="634.28543769999999"/>
    <n v="849.94264639999994"/>
    <n v="0.74626851633644542"/>
    <n v="0.17368047"/>
    <n v="0.12961230000000001"/>
    <n v="56.711057789999998"/>
    <n v="4.14374675"/>
    <n v="74.006870090000007"/>
    <n v="278710.67910000001"/>
    <n v="365435.44"/>
    <n v="19.4314"/>
    <n v="76.142457789999995"/>
  </r>
  <r>
    <n v="785"/>
    <x v="784"/>
    <n v="47.233963000000003"/>
    <n v="-121.72597"/>
    <x v="0"/>
    <x v="0"/>
    <x v="18"/>
    <n v="-8"/>
    <n v="700.30769229999999"/>
    <n v="3.1613397999999999"/>
    <x v="0"/>
    <n v="1.0201344000000001"/>
    <n v="2.6893621579999998"/>
    <n v="86.300421490000005"/>
    <n v="115.6425728"/>
    <n v="0.74626860506859982"/>
    <n v="0.17905591000000001"/>
    <n v="0.13362382"/>
    <n v="54.996474659999997"/>
    <n v="0.25455844100000002"/>
    <n v="86.036629820000002"/>
    <n v="314605.65980000002"/>
    <n v="353039.16"/>
    <n v="18.208687000000001"/>
    <n v="73.205161660000002"/>
  </r>
  <r>
    <n v="786"/>
    <x v="785"/>
    <n v="47.260063000000002"/>
    <n v="-121.57037"/>
    <x v="0"/>
    <x v="0"/>
    <x v="18"/>
    <n v="-8"/>
    <n v="959.7"/>
    <n v="3.2366955000000002"/>
    <x v="0"/>
    <n v="1.0188556"/>
    <n v="1.3394158810000001"/>
    <n v="42.981258029999999"/>
    <n v="57.594882900000002"/>
    <n v="0.7462686937766132"/>
    <n v="0.18507007"/>
    <n v="0.13811198"/>
    <n v="55.986409330000001"/>
    <n v="4.7274220739999997"/>
    <n v="83.674792159999996"/>
    <n v="285911.77010000002"/>
    <n v="380511.7"/>
    <n v="18.987870000000001"/>
    <n v="74.974279330000002"/>
  </r>
  <r>
    <n v="787"/>
    <x v="786"/>
    <n v="47.286009999999997"/>
    <n v="-121.41464999999999"/>
    <x v="0"/>
    <x v="0"/>
    <x v="28"/>
    <n v="-8"/>
    <n v="1059.75"/>
    <n v="3.4334834000000001"/>
    <x v="0"/>
    <n v="1.0180686999999999"/>
    <n v="0.383049007"/>
    <n v="12.291870279999999"/>
    <n v="16.471107320000002"/>
    <n v="0.74626860484811641"/>
    <n v="0.19777420000000001"/>
    <n v="0.14759268"/>
    <n v="60.053953120000003"/>
    <n v="4.0164675299999999"/>
    <n v="103.24801290000001"/>
    <n v="355706.83559999999"/>
    <n v="442160.94"/>
    <n v="20.646915"/>
    <n v="80.700868119999996"/>
  </r>
  <r>
    <n v="788"/>
    <x v="787"/>
    <n v="47.311805999999997"/>
    <n v="-121.25879"/>
    <x v="0"/>
    <x v="0"/>
    <x v="28"/>
    <n v="-8"/>
    <n v="876.09090909999998"/>
    <n v="3.4937623000000002"/>
    <x v="0"/>
    <n v="1.0173596"/>
    <n v="2.4018121579999998"/>
    <n v="77.073062219999997"/>
    <n v="103.2779228"/>
    <n v="0.74626851635323554"/>
    <n v="0.20035374"/>
    <n v="0.14951772999999999"/>
    <n v="49.044475779999999"/>
    <n v="4.5937467500000002"/>
    <n v="112.95101940000001"/>
    <n v="393523.92920000001"/>
    <n v="483443.4"/>
    <n v="22.283971999999999"/>
    <n v="71.328447780000005"/>
  </r>
  <r>
    <n v="789"/>
    <x v="788"/>
    <n v="47.337443999999998"/>
    <n v="-121.10277600000001"/>
    <x v="0"/>
    <x v="0"/>
    <x v="28"/>
    <n v="-8"/>
    <n v="827"/>
    <n v="3.8250673000000002"/>
    <x v="0"/>
    <n v="1.0160400000000001"/>
    <n v="0.33777000600000001"/>
    <n v="10.838887509999999"/>
    <n v="14.52411027"/>
    <n v="0.74626860499593273"/>
    <n v="0.22366837000000001"/>
    <n v="0.16691671"/>
    <n v="53.761848430000001"/>
    <n v="17.77587012"/>
    <n v="119.806461"/>
    <n v="389266.76040000003"/>
    <n v="516336.9"/>
    <n v="21.319305"/>
    <n v="75.081153430000001"/>
  </r>
  <r>
    <n v="790"/>
    <x v="789"/>
    <n v="47.413429999999998"/>
    <n v="-120.63392"/>
    <x v="0"/>
    <x v="0"/>
    <x v="12"/>
    <n v="-8"/>
    <n v="1055.090909"/>
    <n v="3.9502790000000001"/>
    <x v="0"/>
    <n v="1.012006"/>
    <n v="0.30034801500000002"/>
    <n v="9.6380326449999991"/>
    <n v="12.914964640000001"/>
    <n v="0.74626860495995895"/>
    <n v="0.23774672999999999"/>
    <n v="0.17742297000000001"/>
    <n v="51.076729309999997"/>
    <n v="17.724246740000002"/>
    <n v="131.47137649999999"/>
    <n v="407445.65659999999"/>
    <n v="589359.4"/>
    <n v="22.893387000000001"/>
    <n v="73.970116309999995"/>
  </r>
  <r>
    <n v="791"/>
    <x v="790"/>
    <n v="47.438454"/>
    <n v="-120.477356"/>
    <x v="0"/>
    <x v="0"/>
    <x v="12"/>
    <n v="-8"/>
    <n v="624.7857143"/>
    <n v="3.9591536999999999"/>
    <x v="0"/>
    <n v="1.0106264"/>
    <n v="0.82020601699999995"/>
    <n v="26.320042019999999"/>
    <n v="35.268858739999999"/>
    <n v="0.74626860523131289"/>
    <n v="0.23590597999999999"/>
    <n v="0.17604923"/>
    <n v="46.01908134"/>
    <n v="7.3155844119999998"/>
    <n v="114.31911030000001"/>
    <n v="340930.44150000002"/>
    <n v="448667.66"/>
    <n v="17.564274000000001"/>
    <n v="63.583355339999997"/>
  </r>
  <r>
    <n v="792"/>
    <x v="791"/>
    <n v="47.463318000000001"/>
    <n v="-120.32066"/>
    <x v="0"/>
    <x v="0"/>
    <x v="12"/>
    <n v="-8"/>
    <n v="474.125"/>
    <n v="4.0489179999999996"/>
    <x v="2"/>
    <n v="1.0082414"/>
    <n v="9.5040537230000002"/>
    <n v="304.98080729999998"/>
    <n v="408.67431010000001"/>
    <n v="0.74626860500571501"/>
    <n v="0.2438266"/>
    <n v="0.18196014999999999"/>
    <n v="40.014468100000002"/>
    <n v="0.18"/>
    <n v="112.2235259"/>
    <n v="338744.06069999997"/>
    <n v="378092.2"/>
    <n v="14.320595000000001"/>
    <n v="54.335063099999999"/>
  </r>
  <r>
    <n v="793"/>
    <x v="792"/>
    <n v="47.488025999999998"/>
    <n v="-120.16382"/>
    <x v="0"/>
    <x v="0"/>
    <x v="20"/>
    <n v="-8"/>
    <n v="912.9375"/>
    <n v="4.1048635999999998"/>
    <x v="2"/>
    <n v="1.0063848"/>
    <n v="34.25781885"/>
    <n v="1099.317861"/>
    <n v="1473.0862099999999"/>
    <n v="0.74626851676250505"/>
    <n v="0.25121805000000003"/>
    <n v="0.18747616"/>
    <n v="38.78067746"/>
    <n v="5.0991168819999997"/>
    <n v="105.260448"/>
    <n v="311053.73210000002"/>
    <n v="388332.84"/>
    <n v="14.275709000000001"/>
    <n v="53.056386459999999"/>
  </r>
  <r>
    <n v="794"/>
    <x v="793"/>
    <n v="47.512577"/>
    <n v="-120.00686"/>
    <x v="0"/>
    <x v="0"/>
    <x v="20"/>
    <n v="-8"/>
    <n v="842.47368419999998"/>
    <n v="4.0502076000000002"/>
    <x v="2"/>
    <n v="1.0042359999999999"/>
    <n v="29.622427729999998"/>
    <n v="950.57048940000004"/>
    <n v="1273.7643929999999"/>
    <n v="0.74626869350712033"/>
    <n v="0.24730468"/>
    <n v="0.18455572000000001"/>
    <n v="39.327976300000003"/>
    <n v="16.172409080000001"/>
    <n v="120.3080843"/>
    <n v="361074.89279999997"/>
    <n v="489410.38"/>
    <n v="18.276173"/>
    <n v="57.604149300000003"/>
  </r>
  <r>
    <n v="795"/>
    <x v="794"/>
    <n v="47.536976000000003"/>
    <n v="-119.84975"/>
    <x v="0"/>
    <x v="0"/>
    <x v="20"/>
    <n v="-8"/>
    <n v="668.47368419999998"/>
    <n v="4.0039030000000002"/>
    <x v="2"/>
    <n v="1.0020081000000001"/>
    <n v="44.679762160000003"/>
    <n v="1433.753463"/>
    <n v="1921.229773"/>
    <n v="0.74626860521799754"/>
    <n v="0.24304124999999999"/>
    <n v="0.18137407"/>
    <n v="39.947834360000002"/>
    <n v="17.463292190000001"/>
    <n v="103.0951493"/>
    <n v="291170.99420000002"/>
    <n v="416971.8"/>
    <n v="15.84423"/>
    <n v="55.792064359999998"/>
  </r>
  <r>
    <n v="796"/>
    <x v="795"/>
    <n v="47.561219999999999"/>
    <n v="-119.69252"/>
    <x v="0"/>
    <x v="0"/>
    <x v="20"/>
    <n v="-8"/>
    <n v="673"/>
    <n v="4.0117050000000001"/>
    <x v="2"/>
    <n v="0.99969730000000001"/>
    <n v="39.955599319999997"/>
    <n v="1282.15705"/>
    <n v="1718.0907709999999"/>
    <n v="0.74626851598401378"/>
    <n v="0.24449651999999999"/>
    <n v="0.18246009999999999"/>
    <n v="39.637861180000002"/>
    <n v="11.084987"/>
    <n v="115.1791817"/>
    <n v="322792.58630000002"/>
    <n v="427900.06"/>
    <n v="16.162704000000002"/>
    <n v="55.800565180000007"/>
  </r>
  <r>
    <n v="797"/>
    <x v="796"/>
    <n v="47.585304000000001"/>
    <n v="-119.53514"/>
    <x v="0"/>
    <x v="0"/>
    <x v="20"/>
    <n v="-8"/>
    <n v="716.05555560000005"/>
    <n v="4.0051055"/>
    <x v="2"/>
    <n v="0.99736689999999995"/>
    <n v="30.24458723"/>
    <n v="970.53519470000003"/>
    <n v="1300.517251"/>
    <n v="0.7462686050136832"/>
    <n v="0.24418434999999999"/>
    <n v="0.18222712999999999"/>
    <n v="39.615635320000003"/>
    <n v="4.845655839"/>
    <n v="126.52777260000001"/>
    <n v="357172.1004"/>
    <n v="428137.62"/>
    <n v="16.192352"/>
    <n v="55.807987320000002"/>
  </r>
  <r>
    <n v="798"/>
    <x v="797"/>
    <n v="47.609229999999997"/>
    <n v="-119.37764"/>
    <x v="0"/>
    <x v="0"/>
    <x v="20"/>
    <n v="-8"/>
    <n v="644.20000000000005"/>
    <n v="3.9629897999999999"/>
    <x v="0"/>
    <n v="0.99514484000000003"/>
    <n v="21.666202729999998"/>
    <n v="695.258779"/>
    <n v="931.64671759999999"/>
    <n v="0.74626869377165295"/>
    <n v="0.24097022000000001"/>
    <n v="0.17982851"/>
    <n v="40.073593799999998"/>
    <n v="1.977350647"/>
    <n v="135.1417337"/>
    <n v="385564.93400000001"/>
    <n v="439973.72"/>
    <n v="16.86195"/>
    <n v="56.935543799999998"/>
  </r>
  <r>
    <n v="799"/>
    <x v="798"/>
    <n v="47.656619999999997"/>
    <n v="-119.06224"/>
    <x v="0"/>
    <x v="0"/>
    <x v="32"/>
    <n v="-8"/>
    <n v="555.5"/>
    <n v="3.9597346999999998"/>
    <x v="0"/>
    <n v="0.98877320000000002"/>
    <n v="0.57704398300000004"/>
    <n v="18.517081749999999"/>
    <n v="24.812891260000001"/>
    <n v="0.74626860513634474"/>
    <n v="0.24066911999999999"/>
    <n v="0.17960379000000001"/>
    <n v="46.050438960000001"/>
    <n v="7.9866103830000004"/>
    <n v="73.372668790000006"/>
    <n v="201784.35269999999"/>
    <n v="280887.2"/>
    <n v="10.778441000000001"/>
    <n v="56.828879960000002"/>
  </r>
  <r>
    <n v="800"/>
    <x v="799"/>
    <n v="47.680076999999997"/>
    <n v="-118.90434"/>
    <x v="0"/>
    <x v="0"/>
    <x v="14"/>
    <n v="-8"/>
    <n v="604"/>
    <n v="3.9588093999999998"/>
    <x v="0"/>
    <n v="0.98795310000000003"/>
    <n v="55.48272979"/>
    <n v="1780.415833"/>
    <n v="2385.7573809999999"/>
    <n v="0.74626860517297511"/>
    <n v="0.24122848"/>
    <n v="0.18002127000000001"/>
    <n v="39.802934870000001"/>
    <n v="13.05594155"/>
    <n v="137.7548376"/>
    <n v="426080.13130000001"/>
    <n v="514300.75"/>
    <n v="19.689425"/>
    <n v="59.492359870000001"/>
  </r>
  <r>
    <n v="801"/>
    <x v="800"/>
    <n v="47.703377000000003"/>
    <n v="-118.746315"/>
    <x v="0"/>
    <x v="0"/>
    <x v="14"/>
    <n v="-8"/>
    <n v="669.94736839999996"/>
    <n v="3.944423"/>
    <x v="0"/>
    <n v="0.98603430000000003"/>
    <n v="59.750781150000002"/>
    <n v="1917.375908"/>
    <n v="2569.28359"/>
    <n v="0.7462686935232401"/>
    <n v="0.24019024"/>
    <n v="0.17924646999999999"/>
    <n v="39.91396469"/>
    <n v="0.09"/>
    <n v="129.96741549999999"/>
    <n v="404423.04570000002"/>
    <n v="440173.3"/>
    <n v="16.924379999999999"/>
    <n v="56.83834469"/>
  </r>
  <r>
    <n v="802"/>
    <x v="801"/>
    <n v="47.726520000000001"/>
    <n v="-118.58816"/>
    <x v="0"/>
    <x v="0"/>
    <x v="14"/>
    <n v="-8"/>
    <n v="713.63157890000002"/>
    <n v="3.901913"/>
    <x v="0"/>
    <n v="0.98411053000000004"/>
    <n v="40.220146579999998"/>
    <n v="1290.646252"/>
    <n v="1729.4663029999999"/>
    <n v="0.7462685163400955"/>
    <n v="0.23630029999999999"/>
    <n v="0.17634349999999999"/>
    <n v="40.508829079999998"/>
    <n v="8.4430064859999998"/>
    <n v="94.448110349999993"/>
    <n v="308131.98349999997"/>
    <n v="369986.2"/>
    <n v="14.459911"/>
    <n v="54.968740079999996"/>
  </r>
  <r>
    <n v="803"/>
    <x v="802"/>
    <n v="47.749507999999999"/>
    <n v="-118.42988"/>
    <x v="0"/>
    <x v="0"/>
    <x v="14"/>
    <n v="-8"/>
    <n v="694.1"/>
    <n v="3.8741436"/>
    <x v="0"/>
    <n v="0.98254870000000005"/>
    <n v="82.777633589999994"/>
    <n v="2656.2966980000001"/>
    <n v="3559.4382449999998"/>
    <n v="0.74626851631190483"/>
    <n v="0.23408143000000001"/>
    <n v="0.17468764000000001"/>
    <n v="40.841838199999998"/>
    <n v="0.74183766200000001"/>
    <n v="88.248707760000002"/>
    <n v="291919.92070000002"/>
    <n v="334338.96999999997"/>
    <n v="13.190595999999999"/>
    <n v="54.032434199999997"/>
  </r>
  <r>
    <n v="804"/>
    <x v="803"/>
    <n v="47.772334999999998"/>
    <n v="-118.27146999999999"/>
    <x v="0"/>
    <x v="0"/>
    <x v="14"/>
    <n v="-8"/>
    <n v="683.64705879999997"/>
    <n v="3.8587215000000001"/>
    <x v="0"/>
    <n v="0.98124250000000002"/>
    <n v="26.897345290000001"/>
    <n v="863.12370699999997"/>
    <n v="1156.5858470000001"/>
    <n v="0.74626860534287687"/>
    <n v="0.23217214999999999"/>
    <n v="0.17326279"/>
    <n v="41.134730810000001"/>
    <n v="4.7763961029999997"/>
    <n v="76.730259709999999"/>
    <n v="261238.2911"/>
    <n v="333583.56"/>
    <n v="13.269023000000001"/>
    <n v="54.403753809999998"/>
  </r>
  <r>
    <n v="805"/>
    <x v="804"/>
    <n v="47.795006000000001"/>
    <n v="-118.11293000000001"/>
    <x v="0"/>
    <x v="0"/>
    <x v="14"/>
    <n v="-8"/>
    <n v="674.42105260000005"/>
    <n v="3.819674"/>
    <x v="0"/>
    <n v="0.98020260000000003"/>
    <n v="32.662439210000002"/>
    <n v="1048.1231009999999"/>
    <n v="1404.484886"/>
    <n v="0.74626869356001024"/>
    <n v="0.22768287000000001"/>
    <n v="0.16991259"/>
    <n v="41.910895629999999"/>
    <n v="4.991025971"/>
    <n v="75.73386361"/>
    <n v="254408.30160000001"/>
    <n v="338256.84"/>
    <n v="13.720205999999999"/>
    <n v="55.631101629999996"/>
  </r>
  <r>
    <n v="806"/>
    <x v="805"/>
    <n v="47.817515999999998"/>
    <n v="-117.95426"/>
    <x v="0"/>
    <x v="0"/>
    <x v="7"/>
    <n v="-8"/>
    <n v="632.63157890000002"/>
    <n v="3.7857449999999999"/>
    <x v="0"/>
    <n v="0.97937655000000001"/>
    <n v="41.647364209999999"/>
    <n v="1336.4451770000001"/>
    <n v="1790.836661"/>
    <n v="0.7462686051187557"/>
    <n v="0.22503944000000001"/>
    <n v="0.16793986"/>
    <n v="42.375178990000002"/>
    <n v="3.0573506469999998"/>
    <n v="52.260402560000003"/>
    <n v="184298.63260000001"/>
    <n v="250348.86"/>
    <n v="10.273807"/>
    <n v="52.64898599"/>
  </r>
  <r>
    <n v="807"/>
    <x v="806"/>
    <n v="47.839866999999998"/>
    <n v="-117.79546999999999"/>
    <x v="0"/>
    <x v="0"/>
    <x v="7"/>
    <n v="-8"/>
    <n v="610.15789470000004"/>
    <n v="3.7547581000000001"/>
    <x v="0"/>
    <n v="0.97880180000000006"/>
    <n v="45.853451370000002"/>
    <n v="1471.4166210000001"/>
    <n v="1971.6984090000001"/>
    <n v="0.74626860491624003"/>
    <n v="0.22202714000000001"/>
    <n v="0.16569188000000001"/>
    <n v="42.930309059999999"/>
    <n v="4.14374675"/>
    <n v="48.004818149999998"/>
    <n v="170945.9633"/>
    <n v="238936.12"/>
    <n v="9.9384840000000008"/>
    <n v="52.868793060000002"/>
  </r>
  <r>
    <n v="808"/>
    <x v="807"/>
    <n v="47.86206"/>
    <n v="-117.63655"/>
    <x v="0"/>
    <x v="0"/>
    <x v="7"/>
    <n v="-8"/>
    <n v="653.44444439999995"/>
    <n v="3.7219180000000001"/>
    <x v="0"/>
    <n v="0.97842050000000003"/>
    <n v="32.508456150000001"/>
    <n v="1043.18173"/>
    <n v="1397.863615"/>
    <n v="0.74626860503841075"/>
    <n v="0.21915543000000001"/>
    <n v="0.16354883000000001"/>
    <n v="43.479555449999999"/>
    <n v="14.514032459999999"/>
    <n v="52.859974000000001"/>
    <n v="194253.4051"/>
    <n v="294854.62"/>
    <n v="12.425106"/>
    <n v="55.904661449999999"/>
  </r>
  <r>
    <n v="809"/>
    <x v="808"/>
    <n v="47.884093999999997"/>
    <n v="-117.47752"/>
    <x v="0"/>
    <x v="0"/>
    <x v="29"/>
    <n v="-8"/>
    <n v="651.77777779999997"/>
    <n v="3.68303"/>
    <x v="0"/>
    <n v="0.97837317000000001"/>
    <n v="41.002279100000003"/>
    <n v="1315.744686"/>
    <n v="1763.0980010000001"/>
    <n v="0.74626860517891314"/>
    <n v="0.21535351999999999"/>
    <n v="0.16071160000000001"/>
    <n v="44.245475249999998"/>
    <n v="3.33374675"/>
    <n v="44.914389589999999"/>
    <n v="170729.70370000001"/>
    <n v="211792.25"/>
    <n v="9.0824379999999998"/>
    <n v="53.327913249999995"/>
  </r>
  <r>
    <n v="810"/>
    <x v="809"/>
    <n v="47.905974999999998"/>
    <n v="-117.31836"/>
    <x v="0"/>
    <x v="0"/>
    <x v="29"/>
    <n v="-8"/>
    <n v="633.70000000000005"/>
    <n v="3.6508189999999998"/>
    <x v="0"/>
    <n v="0.97844730000000002"/>
    <n v="41.032250679999997"/>
    <n v="1316.706461"/>
    <n v="1764.3867789999999"/>
    <n v="0.74626860542803919"/>
    <n v="0.21311960999999999"/>
    <n v="0.15904449000000001"/>
    <n v="44.711906149999997"/>
    <n v="0.34455844099999999"/>
    <n v="50.260116859999997"/>
    <n v="169648.68299999999"/>
    <n v="210815.48"/>
    <n v="9.1353150000000003"/>
    <n v="53.847221149999996"/>
  </r>
  <r>
    <n v="811"/>
    <x v="810"/>
    <n v="47.927689999999998"/>
    <n v="-117.15907"/>
    <x v="0"/>
    <x v="0"/>
    <x v="29"/>
    <n v="-8"/>
    <n v="936.9375"/>
    <n v="3.6436380000000002"/>
    <x v="0"/>
    <n v="0.97874760000000005"/>
    <n v="16.148646280000001"/>
    <n v="518.20279240000002"/>
    <n v="694.39178990000005"/>
    <n v="0.74626860504014148"/>
    <n v="0.21366963999999999"/>
    <n v="0.15945493999999999"/>
    <n v="44.60754884"/>
    <n v="16.5685909"/>
    <n v="56.080331139999998"/>
    <n v="184827.50330000001"/>
    <n v="315127.09999999998"/>
    <n v="13.62032"/>
    <n v="58.227868839999999"/>
  </r>
  <r>
    <n v="812"/>
    <x v="811"/>
    <n v="47.949244999999998"/>
    <n v="-116.999664"/>
    <x v="0"/>
    <x v="1"/>
    <x v="33"/>
    <n v="-8"/>
    <n v="950.82352939999998"/>
    <n v="3.6099212000000001"/>
    <x v="0"/>
    <n v="0.97908569999999995"/>
    <n v="6.9036299010000004"/>
    <n v="221.5344034"/>
    <n v="296.85608569999999"/>
    <n v="0.74626869406302354"/>
    <n v="0.21107746999999999"/>
    <n v="0.15752049000000001"/>
    <n v="45.167602530000003"/>
    <n v="12.65491557"/>
    <n v="320.90101279999999"/>
    <n v="1148183.9890000001"/>
    <n v="1287518"/>
    <n v="56.332090000000001"/>
    <n v="101.49969253"/>
  </r>
  <r>
    <n v="813"/>
    <x v="812"/>
    <n v="47.970641999999998"/>
    <n v="-116.84013"/>
    <x v="0"/>
    <x v="1"/>
    <x v="33"/>
    <n v="-8"/>
    <n v="803.0625"/>
    <n v="3.5729825000000002"/>
    <x v="0"/>
    <n v="0.97960745999999999"/>
    <n v="58.15087295"/>
    <n v="1866.0353459999999"/>
    <n v="2500.487537"/>
    <n v="0.746268604977254"/>
    <n v="0.20700355000000001"/>
    <n v="0.15448026000000001"/>
    <n v="46.07577242"/>
    <n v="1.409116882"/>
    <n v="254.00149339999999"/>
    <n v="861842.80980000005"/>
    <n v="895044.06"/>
    <n v="39.931075999999997"/>
    <n v="86.006848419999997"/>
  </r>
  <r>
    <n v="814"/>
    <x v="813"/>
    <n v="47.991880000000002"/>
    <n v="-116.68049999999999"/>
    <x v="0"/>
    <x v="1"/>
    <x v="13"/>
    <n v="-8"/>
    <n v="741.23809519999998"/>
    <n v="3.5488498000000002"/>
    <x v="0"/>
    <n v="0.98014840000000003"/>
    <n v="54.79285342"/>
    <n v="1758.278219"/>
    <n v="2356.092697"/>
    <n v="0.74626869360395121"/>
    <n v="0.20483377999999999"/>
    <n v="0.15286104"/>
    <n v="46.584011220000001"/>
    <n v="5.4319805150000002"/>
    <n v="259.75884400000001"/>
    <n v="883897.19460000005"/>
    <n v="946007.7"/>
    <n v="42.651814000000002"/>
    <n v="89.235825220000009"/>
  </r>
  <r>
    <n v="815"/>
    <x v="814"/>
    <n v="48.012954999999998"/>
    <n v="-116.52072"/>
    <x v="0"/>
    <x v="1"/>
    <x v="13"/>
    <n v="-8"/>
    <n v="824.90909090000002"/>
    <n v="3.5297976000000002"/>
    <x v="0"/>
    <n v="0.98010260000000005"/>
    <n v="11.83717903"/>
    <n v="379.84970329999999"/>
    <n v="508.99869819999998"/>
    <n v="0.74626851629146274"/>
    <n v="0.20364694"/>
    <n v="0.15197532"/>
    <n v="46.853781820000002"/>
    <n v="18.188590900000001"/>
    <n v="259.75884400000001"/>
    <n v="883897.19460000005"/>
    <n v="1029972.1"/>
    <n v="46.708075999999998"/>
    <n v="93.56185782"/>
  </r>
  <r>
    <n v="816"/>
    <x v="815"/>
    <n v="48.033875000000002"/>
    <n v="-116.36084"/>
    <x v="0"/>
    <x v="1"/>
    <x v="13"/>
    <n v="-8"/>
    <n v="1136.0999999999999"/>
    <n v="3.5120027"/>
    <x v="0"/>
    <n v="0.98033020000000004"/>
    <n v="1.1074320099999999"/>
    <n v="35.536994870000001"/>
    <n v="47.619576430000002"/>
    <n v="0.74626860493475411"/>
    <n v="0.20279833999999999"/>
    <n v="0.15134202999999999"/>
    <n v="50.564513499999997"/>
    <n v="6.9002142800000001"/>
    <n v="273.14920119999999"/>
    <n v="952064.43480000005"/>
    <n v="1080183.6000000001"/>
    <n v="49.190086000000001"/>
    <n v="99.754599499999998"/>
  </r>
  <r>
    <n v="817"/>
    <x v="816"/>
    <n v="48.054625999999999"/>
    <n v="-116.20084"/>
    <x v="0"/>
    <x v="1"/>
    <x v="13"/>
    <n v="-8"/>
    <n v="1200.0714290000001"/>
    <n v="3.4300991999999999"/>
    <x v="0"/>
    <n v="0.98098160000000001"/>
    <n v="2.4504119110000002"/>
    <n v="78.632615580000007"/>
    <n v="105.3677122"/>
    <n v="0.74626860485255941"/>
    <n v="0.19822724"/>
    <n v="0.14793079000000001"/>
    <n v="48.168679779999998"/>
    <n v="7.5520519420000003"/>
    <n v="310.41094140000001"/>
    <n v="1133866.8419999999"/>
    <n v="1270951.1000000001"/>
    <n v="59.212029999999999"/>
    <n v="107.38070977999999"/>
  </r>
  <r>
    <n v="818"/>
    <x v="817"/>
    <n v="48.075221999999997"/>
    <n v="-116.04072600000001"/>
    <x v="0"/>
    <x v="1"/>
    <x v="13"/>
    <n v="-8"/>
    <n v="985.2142857"/>
    <n v="3.3990664000000002"/>
    <x v="0"/>
    <n v="0.98144350000000002"/>
    <n v="30.352968239999999"/>
    <n v="974.01309249999997"/>
    <n v="1305.1776339999999"/>
    <n v="0.74626860522802985"/>
    <n v="0.19511248"/>
    <n v="0.14560632000000001"/>
    <n v="48.955730320000001"/>
    <n v="1.3191168820000001"/>
    <n v="253.6509154"/>
    <n v="925141.02780000004"/>
    <n v="969907.56"/>
    <n v="45.908141999999998"/>
    <n v="94.863872319999999"/>
  </r>
  <r>
    <n v="819"/>
    <x v="818"/>
    <n v="48.095657000000003"/>
    <n v="-115.88048999999999"/>
    <x v="0"/>
    <x v="2"/>
    <x v="30"/>
    <n v="-7"/>
    <n v="964.5"/>
    <n v="3.3935884999999999"/>
    <x v="0"/>
    <n v="0.98184185999999996"/>
    <n v="4.0120920590000004"/>
    <n v="128.74622880000001"/>
    <n v="172.5199586"/>
    <n v="0.74626860477347701"/>
    <n v="0.19332916"/>
    <n v="0.14427546999999999"/>
    <n v="49.423054290000003"/>
    <n v="6.8064675299999999"/>
    <n v="240.89055830000001"/>
    <n v="866864.88439999998"/>
    <n v="1015762.7"/>
    <n v="48.522069999999999"/>
    <n v="97.945124289999995"/>
  </r>
  <r>
    <n v="820"/>
    <x v="819"/>
    <n v="48.115929999999999"/>
    <n v="-115.72014"/>
    <x v="0"/>
    <x v="2"/>
    <x v="30"/>
    <n v="-7"/>
    <n v="1132.333333"/>
    <n v="3.3579473000000002"/>
    <x v="0"/>
    <n v="0.98222816000000002"/>
    <n v="0.57153598000000005"/>
    <n v="18.340334599999998"/>
    <n v="24.576047150000001"/>
    <n v="0.74626869358036685"/>
    <n v="0.19105512999999999"/>
    <n v="0.14257848000000001"/>
    <n v="57.756771180000001"/>
    <n v="14.89587012"/>
    <n v="238.87592839999999"/>
    <n v="856595.1605"/>
    <n v="1039362.2"/>
    <n v="50.240344999999998"/>
    <n v="107.99711618000001"/>
  </r>
  <r>
    <n v="821"/>
    <x v="820"/>
    <n v="48.136043999999998"/>
    <n v="-115.55968"/>
    <x v="0"/>
    <x v="2"/>
    <x v="14"/>
    <n v="-7"/>
    <n v="1331.1"/>
    <n v="3.5134807000000001"/>
    <x v="0"/>
    <n v="0.98257899999999998"/>
    <n v="8.8473871580000001"/>
    <n v="283.90867270000001"/>
    <n v="380.43764779999998"/>
    <n v="0.74626860496533653"/>
    <n v="0.20146202999999999"/>
    <n v="0.15034481999999999"/>
    <n v="47.45582624"/>
    <n v="23.06887661"/>
    <n v="248.04688300000001"/>
    <n v="951632.97389999998"/>
    <n v="1179755.5"/>
    <n v="54.080813999999997"/>
    <n v="101.53664024"/>
  </r>
  <r>
    <n v="822"/>
    <x v="821"/>
    <n v="48.155994"/>
    <n v="-115.39909"/>
    <x v="0"/>
    <x v="2"/>
    <x v="14"/>
    <n v="-7"/>
    <n v="1191.7894739999999"/>
    <n v="3.5544055000000001"/>
    <x v="0"/>
    <n v="0.98290290000000002"/>
    <n v="6.8927756840000001"/>
    <n v="221.18607009999999"/>
    <n v="296.3893544"/>
    <n v="0.74626860518577387"/>
    <n v="0.20513745999999999"/>
    <n v="0.15308765999999999"/>
    <n v="46.617636070000003"/>
    <n v="19.048662329999999"/>
    <n v="248.04688300000001"/>
    <n v="951632.97389999998"/>
    <n v="1103649.8999999999"/>
    <n v="49.685623"/>
    <n v="96.303259069999996"/>
  </r>
  <r>
    <n v="823"/>
    <x v="822"/>
    <n v="48.175784999999998"/>
    <n v="-115.2384"/>
    <x v="0"/>
    <x v="2"/>
    <x v="14"/>
    <n v="-7"/>
    <n v="1176.857143"/>
    <n v="3.5573315999999999"/>
    <x v="0"/>
    <n v="0.98319524999999997"/>
    <n v="9.8541354860000006"/>
    <n v="316.21481119999999"/>
    <n v="423.72782590000003"/>
    <n v="0.74626869389178807"/>
    <n v="0.20468658000000001"/>
    <n v="0.15275119000000001"/>
    <n v="46.731226130000003"/>
    <n v="10.70579869"/>
    <n v="267.40282450000001"/>
    <n v="1036350.326"/>
    <n v="1178367.2"/>
    <n v="53.16621"/>
    <n v="99.897436130000003"/>
  </r>
  <r>
    <n v="824"/>
    <x v="823"/>
    <n v="48.195410000000003"/>
    <n v="-115.07761000000001"/>
    <x v="0"/>
    <x v="2"/>
    <x v="14"/>
    <n v="-7"/>
    <n v="1271.2666670000001"/>
    <n v="3.5886936"/>
    <x v="0"/>
    <n v="0.98341626000000004"/>
    <n v="9.5408290279999992"/>
    <n v="306.16087390000001"/>
    <n v="410.2556482"/>
    <n v="0.74626851633434743"/>
    <n v="0.20817867000000001"/>
    <n v="0.15535723000000001"/>
    <n v="45.955435540000003"/>
    <n v="3.2155129859999998"/>
    <n v="247.35648040000001"/>
    <n v="1006648.578"/>
    <n v="1082195"/>
    <n v="48.008006999999999"/>
    <n v="93.963442540000003"/>
  </r>
  <r>
    <n v="825"/>
    <x v="824"/>
    <n v="48.214877999999999"/>
    <n v="-114.91669"/>
    <x v="0"/>
    <x v="2"/>
    <x v="16"/>
    <n v="-7"/>
    <n v="1208.3846149999999"/>
    <n v="3.5757167000000001"/>
    <x v="0"/>
    <n v="0.98363566000000002"/>
    <n v="11.23048784"/>
    <n v="360.3813442"/>
    <n v="482.91097719999999"/>
    <n v="0.74626869384819605"/>
    <n v="0.20759148999999999"/>
    <n v="0.15491904000000001"/>
    <n v="46.093503269999999"/>
    <n v="6.667493501"/>
    <n v="231.0281038"/>
    <n v="953477.14619999996"/>
    <n v="1071983.6000000001"/>
    <n v="47.689529999999998"/>
    <n v="93.783033270000004"/>
  </r>
  <r>
    <n v="826"/>
    <x v="825"/>
    <n v="48.234180000000002"/>
    <n v="-114.75566000000001"/>
    <x v="0"/>
    <x v="2"/>
    <x v="16"/>
    <n v="-7"/>
    <n v="1508.1"/>
    <n v="3.5523527000000001"/>
    <x v="0"/>
    <n v="0.98372800000000005"/>
    <n v="2.4837841190000001"/>
    <n v="79.703505239999998"/>
    <n v="106.8027171"/>
    <n v="0.74626851642147973"/>
    <n v="0.20778606999999999"/>
    <n v="0.15506423"/>
    <n v="46.053736919999999"/>
    <n v="6.7266103829999997"/>
    <n v="226.88170769999999"/>
    <n v="936859.43220000004"/>
    <n v="1036601.1"/>
    <n v="46.072277"/>
    <n v="92.126013919999991"/>
  </r>
  <r>
    <n v="827"/>
    <x v="826"/>
    <n v="48.253323000000002"/>
    <n v="-114.59453000000001"/>
    <x v="0"/>
    <x v="2"/>
    <x v="16"/>
    <n v="-7"/>
    <n v="1369.4666669999999"/>
    <n v="3.5554041999999999"/>
    <x v="0"/>
    <n v="0.98390359999999999"/>
    <n v="7.6230719599999999"/>
    <n v="244.620949"/>
    <n v="327.79209429999997"/>
    <n v="0.74626860517300775"/>
    <n v="0.20885997000000001"/>
    <n v="0.15586564999999999"/>
    <n v="45.823366759999999"/>
    <n v="15.997707780000001"/>
    <n v="191.05357129999999"/>
    <n v="743314.69"/>
    <n v="905732"/>
    <n v="40.048748000000003"/>
    <n v="85.872114760000002"/>
  </r>
  <r>
    <n v="828"/>
    <x v="827"/>
    <n v="48.272300000000001"/>
    <n v="-114.43328"/>
    <x v="0"/>
    <x v="2"/>
    <x v="16"/>
    <n v="-7"/>
    <n v="1043.25"/>
    <n v="3.5317178"/>
    <x v="0"/>
    <n v="0.98119204999999998"/>
    <n v="43.94168921"/>
    <n v="1410.069201"/>
    <n v="1889.4926359999999"/>
    <n v="0.74626869358171977"/>
    <n v="0.20426080999999999"/>
    <n v="0.15243344"/>
    <n v="46.753722850000003"/>
    <n v="7.9685194719999997"/>
    <n v="185.57526609999999"/>
    <n v="718662.88529999997"/>
    <n v="803131.2"/>
    <n v="36.311638000000002"/>
    <n v="83.065360850000005"/>
  </r>
  <r>
    <n v="829"/>
    <x v="828"/>
    <n v="48.291110000000003"/>
    <n v="-114.27193"/>
    <x v="0"/>
    <x v="2"/>
    <x v="16"/>
    <n v="-7"/>
    <n v="923.17647060000002"/>
    <n v="3.5018113"/>
    <x v="0"/>
    <n v="0.98125320000000005"/>
    <n v="34.750941939999997"/>
    <n v="1115.1422219999999"/>
    <n v="1494.2905040000001"/>
    <n v="0.74626869341331226"/>
    <n v="0.20139492000000001"/>
    <n v="0.1502947"/>
    <n v="47.421364560000001"/>
    <n v="1.536396103"/>
    <n v="195.76555189999999"/>
    <n v="742332.75349999999"/>
    <n v="787620.5"/>
    <n v="36.117103999999998"/>
    <n v="83.538468559999998"/>
  </r>
  <r>
    <n v="830"/>
    <x v="829"/>
    <n v="48.30977"/>
    <n v="-114.110466"/>
    <x v="0"/>
    <x v="2"/>
    <x v="16"/>
    <n v="-7"/>
    <n v="964.77777779999997"/>
    <n v="3.4470622999999998"/>
    <x v="0"/>
    <n v="0.98133990000000004"/>
    <n v="10.776563530000001"/>
    <n v="345.81511540000002"/>
    <n v="463.3922316"/>
    <n v="0.74626869381467642"/>
    <n v="0.19706380000000001"/>
    <n v="0.14706253999999999"/>
    <n v="48.466954520000002"/>
    <n v="3.4391883089999999"/>
    <n v="194.2137142"/>
    <n v="706896.14350000001"/>
    <n v="789264.1"/>
    <n v="36.987920000000003"/>
    <n v="85.454874520000004"/>
  </r>
  <r>
    <n v="831"/>
    <x v="830"/>
    <n v="48.32826"/>
    <n v="-113.94889999999999"/>
    <x v="0"/>
    <x v="2"/>
    <x v="16"/>
    <n v="-7"/>
    <n v="1283.7777779999999"/>
    <n v="3.3518238"/>
    <x v="0"/>
    <n v="0.98145294000000005"/>
    <n v="1.2755879649999999"/>
    <n v="40.933048679999999"/>
    <n v="54.85028251"/>
    <n v="0.74626869373986016"/>
    <n v="0.19258555999999999"/>
    <n v="0.14372057999999999"/>
    <n v="52.491866190000003"/>
    <n v="5.7238181770000001"/>
    <n v="213.3278895"/>
    <n v="797324.3112"/>
    <n v="949481.9"/>
    <n v="45.531019999999998"/>
    <n v="98.022886190000008"/>
  </r>
  <r>
    <n v="832"/>
    <x v="831"/>
    <n v="48.346589999999999"/>
    <n v="-113.78722999999999"/>
    <x v="0"/>
    <x v="2"/>
    <x v="16"/>
    <n v="-7"/>
    <n v="1220"/>
    <n v="3.3048573000000001"/>
    <x v="0"/>
    <n v="0.98158276"/>
    <n v="2.7216001E-2"/>
    <n v="0.87334922800000003"/>
    <n v="1.1702880470000001"/>
    <n v="0.74626860475829504"/>
    <n v="0.18934677999999999"/>
    <n v="0.14130354000000001"/>
    <n v="82.23183779"/>
    <n v="18.414915570000002"/>
    <n v="213.3278895"/>
    <n v="797324.3112"/>
    <n v="1062444.5"/>
    <n v="51.819443"/>
    <n v="134.05128078999999"/>
  </r>
  <r>
    <n v="833"/>
    <x v="832"/>
    <n v="48.364745999999997"/>
    <n v="-113.62546"/>
    <x v="0"/>
    <x v="2"/>
    <x v="16"/>
    <n v="-7"/>
    <n v="1393.666667"/>
    <n v="3.3108686999999999"/>
    <x v="0"/>
    <n v="0.98168330000000004"/>
    <n v="0.40435201599999998"/>
    <n v="12.975472699999999"/>
    <n v="17.387136689999998"/>
    <n v="0.74626851627977853"/>
    <n v="0.18816972000000001"/>
    <n v="0.14042515999999999"/>
    <n v="60.888433220000003"/>
    <n v="58.254220740000001"/>
    <n v="213.20061029999999"/>
    <n v="796745.88260000001"/>
    <n v="1298258"/>
    <n v="63.717052000000002"/>
    <n v="124.60548522000001"/>
  </r>
  <r>
    <n v="834"/>
    <x v="833"/>
    <n v="48.400579999999998"/>
    <n v="-113.30159"/>
    <x v="0"/>
    <x v="2"/>
    <x v="19"/>
    <n v="-7"/>
    <n v="1552"/>
    <n v="3.6641536000000001"/>
    <x v="0"/>
    <n v="0.98201780000000005"/>
    <n v="10.67709529"/>
    <n v="342.62318329999999"/>
    <n v="459.11509740000002"/>
    <n v="0.7462686050628663"/>
    <n v="0.2186786"/>
    <n v="0.16319299000000001"/>
    <n v="43.70002058"/>
    <n v="34.925032430000002"/>
    <n v="239.31888950000001"/>
    <n v="641934.87360000005"/>
    <n v="880910.4"/>
    <n v="37.202305000000003"/>
    <n v="80.902325579999996"/>
  </r>
  <r>
    <n v="835"/>
    <x v="834"/>
    <n v="48.418255000000002"/>
    <n v="-113.1395"/>
    <x v="0"/>
    <x v="2"/>
    <x v="19"/>
    <n v="-7"/>
    <n v="1513.3125"/>
    <n v="3.7045028000000002"/>
    <x v="0"/>
    <n v="0.98215187000000004"/>
    <n v="60.816018159999999"/>
    <n v="1951.5584249999999"/>
    <n v="2615.0887809999999"/>
    <n v="0.74626851645691794"/>
    <n v="0.22236949"/>
    <n v="0.16594738000000001"/>
    <n v="42.97929938"/>
    <n v="25.039831150000001"/>
    <n v="239.22888950000001"/>
    <n v="641654.40899999999"/>
    <n v="800277.2"/>
    <n v="33.236065000000004"/>
    <n v="76.215364380000011"/>
  </r>
  <r>
    <n v="836"/>
    <x v="835"/>
    <n v="48.435763999999999"/>
    <n v="-112.97732499999999"/>
    <x v="0"/>
    <x v="2"/>
    <x v="19"/>
    <n v="-7"/>
    <n v="1412.0526319999999"/>
    <n v="3.7396332999999999"/>
    <x v="0"/>
    <n v="0.98228514"/>
    <n v="82.156116800000007"/>
    <n v="2636.3525060000002"/>
    <n v="3532.7130219999999"/>
    <n v="0.74626851645805725"/>
    <n v="0.22563216"/>
    <n v="0.16838220000000001"/>
    <n v="42.362335960000003"/>
    <n v="20.292123369999999"/>
    <n v="235.6379349"/>
    <n v="632636.89560000005"/>
    <n v="763748.25"/>
    <n v="31.260334"/>
    <n v="73.622669959999996"/>
  </r>
  <r>
    <n v="837"/>
    <x v="836"/>
    <n v="48.453105999999998"/>
    <n v="-112.81502999999999"/>
    <x v="0"/>
    <x v="2"/>
    <x v="19"/>
    <n v="-7"/>
    <n v="1296.2666670000001"/>
    <n v="3.7460846999999999"/>
    <x v="0"/>
    <n v="0.98245249999999995"/>
    <n v="86.876716110000004"/>
    <n v="2787.8340640000001"/>
    <n v="3735.698793"/>
    <n v="0.74626842753593492"/>
    <n v="0.22760937000000001"/>
    <n v="0.16985774000000001"/>
    <n v="41.999941479999997"/>
    <n v="18.893149340000001"/>
    <n v="222.1059544"/>
    <n v="597137.27509999997"/>
    <n v="721814.9"/>
    <n v="29.287354000000001"/>
    <n v="71.287295479999997"/>
  </r>
  <r>
    <n v="838"/>
    <x v="837"/>
    <n v="48.470286999999999"/>
    <n v="-112.65264000000001"/>
    <x v="0"/>
    <x v="2"/>
    <x v="19"/>
    <n v="-7"/>
    <n v="1217.7619050000001"/>
    <n v="3.7573295"/>
    <x v="0"/>
    <n v="0.9825931"/>
    <n v="91.971616109999999"/>
    <n v="2951.3274249999999"/>
    <n v="3954.779493"/>
    <n v="0.74626851641763581"/>
    <n v="0.22929849999999999"/>
    <n v="0.17111829000000001"/>
    <n v="41.695240130000002"/>
    <n v="15.35007143"/>
    <n v="214.65404530000001"/>
    <n v="578240.55799999996"/>
    <n v="694800"/>
    <n v="27.983561999999999"/>
    <n v="69.678802130000008"/>
  </r>
  <r>
    <n v="839"/>
    <x v="838"/>
    <n v="48.487299999999998"/>
    <n v="-112.49016"/>
    <x v="0"/>
    <x v="2"/>
    <x v="19"/>
    <n v="-7"/>
    <n v="1183.0625"/>
    <n v="3.7770638000000001"/>
    <x v="0"/>
    <n v="0.98272866000000003"/>
    <n v="87.0261627"/>
    <n v="2792.6300689999998"/>
    <n v="3742.124996"/>
    <n v="0.74626851641382208"/>
    <n v="0.23083140999999999"/>
    <n v="0.17226225000000001"/>
    <n v="41.422831680000002"/>
    <n v="13.727422069999999"/>
    <n v="201.9166233"/>
    <n v="547129.66059999994"/>
    <n v="655339.43999999994"/>
    <n v="26.218983000000001"/>
    <n v="67.64181468000001"/>
  </r>
  <r>
    <n v="840"/>
    <x v="839"/>
    <n v="48.504150000000003"/>
    <n v="-112.32757599999999"/>
    <x v="0"/>
    <x v="2"/>
    <x v="19"/>
    <n v="-7"/>
    <n v="1138.2857140000001"/>
    <n v="3.7643034000000002"/>
    <x v="0"/>
    <n v="0.98285997000000003"/>
    <n v="46.116535249999998"/>
    <n v="1479.8590409999999"/>
    <n v="1983.0110159999999"/>
    <n v="0.7462686939506139"/>
    <n v="0.22943287000000001"/>
    <n v="0.17121855999999999"/>
    <n v="41.67971387"/>
    <n v="6.1173506470000003"/>
    <n v="171.25686350000001"/>
    <n v="456240.8334"/>
    <n v="535144.30000000005"/>
    <n v="21.540694999999999"/>
    <n v="63.22040887"/>
  </r>
  <r>
    <n v="841"/>
    <x v="840"/>
    <n v="48.520836000000003"/>
    <n v="-112.16489"/>
    <x v="0"/>
    <x v="2"/>
    <x v="21"/>
    <n v="-7"/>
    <n v="1120"/>
    <n v="3.7572117"/>
    <x v="0"/>
    <n v="0.98295622999999999"/>
    <n v="47.242597410000002"/>
    <n v="1515.9936929999999"/>
    <n v="2031.431689"/>
    <n v="0.74626860514628901"/>
    <n v="0.22897234999999999"/>
    <n v="0.1708749"/>
    <n v="41.766743990000002"/>
    <n v="1.08"/>
    <n v="178.34877259999999"/>
    <n v="474287.9252"/>
    <n v="517086"/>
    <n v="20.85567"/>
    <n v="62.622413989999998"/>
  </r>
  <r>
    <n v="842"/>
    <x v="841"/>
    <n v="48.537357"/>
    <n v="-112.00211"/>
    <x v="0"/>
    <x v="2"/>
    <x v="21"/>
    <n v="-7"/>
    <n v="1062.1111109999999"/>
    <n v="3.7488703999999999"/>
    <x v="0"/>
    <n v="0.98306506999999999"/>
    <n v="48.24473115"/>
    <n v="1548.151713"/>
    <n v="2074.5234399999999"/>
    <n v="0.74626860470663081"/>
    <n v="0.22799388000000001"/>
    <n v="0.17014468999999999"/>
    <n v="41.949636849999997"/>
    <n v="3.2991168819999999"/>
    <n v="177.21120769999999"/>
    <n v="469180.84350000002"/>
    <n v="527318"/>
    <n v="21.359635999999998"/>
    <n v="63.309272849999999"/>
  </r>
  <r>
    <n v="843"/>
    <x v="842"/>
    <n v="48.553710000000002"/>
    <n v="-111.83923"/>
    <x v="0"/>
    <x v="2"/>
    <x v="21"/>
    <n v="-7"/>
    <n v="1039.4000000000001"/>
    <n v="3.7564706999999999"/>
    <x v="0"/>
    <n v="0.98309709999999995"/>
    <n v="61.671778420000003"/>
    <n v="1979.019618"/>
    <n v="2651.8864720000001"/>
    <n v="0.74626860497065806"/>
    <n v="0.22848287"/>
    <n v="0.17050962"/>
    <n v="41.860927719999999"/>
    <n v="6.5002857069999997"/>
    <n v="169.2720194"/>
    <n v="447022.56530000002"/>
    <n v="524612.30000000005"/>
    <n v="21.204560000000001"/>
    <n v="63.06548772"/>
  </r>
  <r>
    <n v="844"/>
    <x v="843"/>
    <n v="48.569899999999997"/>
    <n v="-111.67627"/>
    <x v="0"/>
    <x v="2"/>
    <x v="21"/>
    <n v="-7"/>
    <n v="1012.705882"/>
    <n v="3.7695956000000002"/>
    <x v="0"/>
    <n v="0.9831202"/>
    <n v="51.120555469999999"/>
    <n v="1640.435817"/>
    <n v="2198.1838849999999"/>
    <n v="0.74626869398599016"/>
    <n v="0.22929447999999999"/>
    <n v="0.1711153"/>
    <n v="41.713534699999997"/>
    <n v="12.76190909"/>
    <n v="178.42488299999999"/>
    <n v="469977.41369999998"/>
    <n v="565545.25"/>
    <n v="22.778134999999999"/>
    <n v="64.491669699999989"/>
  </r>
  <r>
    <n v="845"/>
    <x v="844"/>
    <n v="48.585926000000001"/>
    <n v="-111.513214"/>
    <x v="0"/>
    <x v="2"/>
    <x v="21"/>
    <n v="-7"/>
    <n v="992.4"/>
    <n v="3.7717494999999999"/>
    <x v="0"/>
    <n v="0.98311079999999995"/>
    <n v="41.34968525"/>
    <n v="1326.892951"/>
    <n v="1778.036466"/>
    <n v="0.74626869379404503"/>
    <n v="0.22959246"/>
    <n v="0.17133766"/>
    <n v="41.659076689999999"/>
    <n v="15.60947402"/>
    <n v="186.37951290000001"/>
    <n v="488631.32030000002"/>
    <n v="588914.56000000006"/>
    <n v="23.688583000000001"/>
    <n v="65.34765969"/>
  </r>
  <r>
    <n v="846"/>
    <x v="845"/>
    <n v="48.601784000000002"/>
    <n v="-111.35007"/>
    <x v="0"/>
    <x v="2"/>
    <x v="21"/>
    <n v="-7"/>
    <n v="1008.8421049999999"/>
    <n v="3.7631109"/>
    <x v="0"/>
    <n v="0.9830139"/>
    <n v="51.526362300000002"/>
    <n v="1653.457977"/>
    <n v="2215.6335789999998"/>
    <n v="0.74626869382719363"/>
    <n v="0.22901975999999999"/>
    <n v="0.17091028"/>
    <n v="41.760024170000001"/>
    <n v="22.173720750000001"/>
    <n v="222.70927259999999"/>
    <n v="580943.85210000002"/>
    <n v="689997.1"/>
    <n v="27.823945999999999"/>
    <n v="69.583970170000001"/>
  </r>
  <r>
    <n v="847"/>
    <x v="846"/>
    <n v="48.617474000000001"/>
    <n v="-111.18680999999999"/>
    <x v="0"/>
    <x v="2"/>
    <x v="24"/>
    <n v="-7"/>
    <n v="1052.666667"/>
    <n v="3.7874590000000001"/>
    <x v="0"/>
    <n v="0.98292416000000005"/>
    <n v="47.373170360000003"/>
    <n v="1520.1839010000001"/>
    <n v="2037.0463259999999"/>
    <n v="0.74626869384216454"/>
    <n v="0.23106458999999999"/>
    <n v="0.17243627"/>
    <n v="41.387496929999998"/>
    <n v="16.663889600000001"/>
    <n v="222.70927259999999"/>
    <n v="580943.85210000002"/>
    <n v="665396.30000000005"/>
    <n v="26.594474999999999"/>
    <n v="67.98197193"/>
  </r>
  <r>
    <n v="848"/>
    <x v="847"/>
    <n v="48.633000000000003"/>
    <n v="-111.02348000000001"/>
    <x v="0"/>
    <x v="2"/>
    <x v="24"/>
    <n v="-7"/>
    <n v="1026.3"/>
    <n v="3.7832932000000001"/>
    <x v="0"/>
    <n v="0.98269653000000001"/>
    <n v="38.97282173"/>
    <n v="1250.620461"/>
    <n v="1675.831334"/>
    <n v="0.74626869400688745"/>
    <n v="0.23066863000000001"/>
    <n v="0.17214075000000001"/>
    <n v="41.451012210000002"/>
    <n v="18.633292189999999"/>
    <n v="222.70927259999999"/>
    <n v="580943.85210000002"/>
    <n v="673226.06"/>
    <n v="26.953600000000002"/>
    <n v="68.40461221000001"/>
  </r>
  <r>
    <n v="849"/>
    <x v="848"/>
    <n v="48.648359999999997"/>
    <n v="-110.86005400000001"/>
    <x v="0"/>
    <x v="2"/>
    <x v="24"/>
    <n v="-7"/>
    <n v="1039.5999999999999"/>
    <n v="3.7764446999999999"/>
    <x v="0"/>
    <n v="0.98187610000000003"/>
    <n v="32.707796039999998"/>
    <n v="1049.5784570000001"/>
    <n v="1406.43523"/>
    <n v="0.74626860491826563"/>
    <n v="0.23021444999999999"/>
    <n v="0.17180184000000001"/>
    <n v="41.505562019999999"/>
    <n v="16.886467530000001"/>
    <n v="248.6803634"/>
    <n v="622544.8077"/>
    <n v="730274.44"/>
    <n v="29.295297999999999"/>
    <n v="70.800860020000002"/>
  </r>
  <r>
    <n v="850"/>
    <x v="849"/>
    <n v="48.663555000000002"/>
    <n v="-110.69653"/>
    <x v="0"/>
    <x v="2"/>
    <x v="25"/>
    <n v="-7"/>
    <n v="979.68421049999995"/>
    <n v="3.7625709000000001"/>
    <x v="0"/>
    <n v="0.98145760000000004"/>
    <n v="46.238683889999997"/>
    <n v="1483.778736"/>
    <n v="1988.2634069999999"/>
    <n v="0.74626869396485351"/>
    <n v="0.22921968000000001"/>
    <n v="0.17105946"/>
    <n v="41.671732650000003"/>
    <n v="18.82014285"/>
    <n v="237.1193375"/>
    <n v="594882.45030000003"/>
    <n v="708102"/>
    <n v="28.529115999999998"/>
    <n v="70.200848649999998"/>
  </r>
  <r>
    <n v="851"/>
    <x v="850"/>
    <n v="48.678584999999998"/>
    <n v="-110.53292999999999"/>
    <x v="0"/>
    <x v="2"/>
    <x v="25"/>
    <n v="-7"/>
    <n v="927.52631580000002"/>
    <n v="3.7538415999999999"/>
    <x v="0"/>
    <n v="0.98108065"/>
    <n v="39.861958889999997"/>
    <n v="1279.1523239999999"/>
    <n v="1714.0642319999999"/>
    <n v="0.74626860541128193"/>
    <n v="0.22854559999999999"/>
    <n v="0.17055643000000001"/>
    <n v="41.78204539"/>
    <n v="20.672863629999998"/>
    <n v="223.87919460000001"/>
    <n v="563673.65949999995"/>
    <n v="683832.56"/>
    <n v="27.632572"/>
    <n v="69.414617390000004"/>
  </r>
  <r>
    <n v="852"/>
    <x v="851"/>
    <n v="48.693443000000002"/>
    <n v="-110.36924999999999"/>
    <x v="0"/>
    <x v="2"/>
    <x v="25"/>
    <n v="-7"/>
    <n v="889.9375"/>
    <n v="3.7599084"/>
    <x v="0"/>
    <n v="0.98069733000000003"/>
    <n v="51.498660940000001"/>
    <n v="1652.5690520000001"/>
    <n v="2214.4424199999999"/>
    <n v="0.74626869367865534"/>
    <n v="0.2291782"/>
    <n v="0.17102848000000001"/>
    <n v="41.653933790000004"/>
    <n v="22.56925974"/>
    <n v="212.1008894"/>
    <n v="535678.96059999999"/>
    <n v="666945.43999999994"/>
    <n v="26.875800999999999"/>
    <n v="68.529734790000006"/>
  </r>
  <r>
    <n v="853"/>
    <x v="852"/>
    <n v="48.708137999999998"/>
    <n v="-110.20547000000001"/>
    <x v="0"/>
    <x v="2"/>
    <x v="25"/>
    <n v="-7"/>
    <n v="838.2857143"/>
    <n v="3.7527919999999999"/>
    <x v="0"/>
    <n v="0.98020929999999995"/>
    <n v="26.05478115"/>
    <n v="836.08620299999995"/>
    <n v="1120.3555899999999"/>
    <n v="0.74626860477395396"/>
    <n v="0.2286205"/>
    <n v="0.17061232000000001"/>
    <n v="41.739237060000001"/>
    <n v="24.18286363"/>
    <n v="199.92530500000001"/>
    <n v="504008.53259999998"/>
    <n v="641351.75"/>
    <n v="25.907501"/>
    <n v="67.646738060000004"/>
  </r>
  <r>
    <n v="854"/>
    <x v="853"/>
    <n v="48.722664000000002"/>
    <n v="-110.0416"/>
    <x v="0"/>
    <x v="2"/>
    <x v="25"/>
    <n v="-7"/>
    <n v="829.44444439999995"/>
    <n v="3.7479203000000001"/>
    <x v="0"/>
    <n v="0.9796996"/>
    <n v="50.016123630000003"/>
    <n v="1604.9947099999999"/>
    <n v="2150.6933159999999"/>
    <n v="0.74626851632434232"/>
    <n v="0.22826804000000001"/>
    <n v="0.17034928999999999"/>
    <n v="41.786625469999997"/>
    <n v="26.3774935"/>
    <n v="187.78699979999999"/>
    <n v="473855.58519999997"/>
    <n v="620976.25"/>
    <n v="25.123161"/>
    <n v="66.90978647"/>
  </r>
  <r>
    <n v="855"/>
    <x v="854"/>
    <n v="48.737026"/>
    <n v="-109.877655"/>
    <x v="0"/>
    <x v="2"/>
    <x v="25"/>
    <n v="-7"/>
    <n v="867"/>
    <n v="3.7461289999999998"/>
    <x v="0"/>
    <n v="0.97920185000000004"/>
    <n v="58.026129789999999"/>
    <n v="1862.0323940000001"/>
    <n v="2495.1235809999998"/>
    <n v="0.74626860496173564"/>
    <n v="0.22845845000000001"/>
    <n v="0.17049135000000001"/>
    <n v="41.735169900000002"/>
    <n v="27.199831150000001"/>
    <n v="204.8439673"/>
    <n v="523869.80869999999"/>
    <n v="675219.75"/>
    <n v="27.29495"/>
    <n v="69.030119900000003"/>
  </r>
  <r>
    <n v="856"/>
    <x v="855"/>
    <n v="48.751220000000004"/>
    <n v="-109.71362000000001"/>
    <x v="0"/>
    <x v="2"/>
    <x v="25"/>
    <n v="-7"/>
    <n v="837.57142859999999"/>
    <n v="3.7410884000000002"/>
    <x v="0"/>
    <n v="0.97861480000000001"/>
    <n v="69.455554100000001"/>
    <n v="2228.7974770000001"/>
    <n v="2986.5888260000002"/>
    <n v="0.74626860503763226"/>
    <n v="0.22784473"/>
    <n v="0.17003338000000001"/>
    <n v="41.827888399999999"/>
    <n v="24.068376619999999"/>
    <n v="204.8439673"/>
    <n v="523869.80869999999"/>
    <n v="665728.06000000006"/>
    <n v="26.983750000000001"/>
    <n v="68.811638399999993"/>
  </r>
  <r>
    <n v="857"/>
    <x v="856"/>
    <n v="48.765247000000002"/>
    <n v="-109.549515"/>
    <x v="0"/>
    <x v="2"/>
    <x v="25"/>
    <n v="-7"/>
    <n v="821.25"/>
    <n v="3.7331777000000002"/>
    <x v="0"/>
    <n v="0.97790739999999998"/>
    <n v="42.325090580000001"/>
    <n v="1358.1932730000001"/>
    <n v="1819.978895"/>
    <n v="0.74626869395647588"/>
    <n v="0.22747609999999999"/>
    <n v="0.16975829000000001"/>
    <n v="41.871920930000002"/>
    <n v="23.184461020000001"/>
    <n v="234.42471420000001"/>
    <n v="610161.39439999999"/>
    <n v="722963.4"/>
    <n v="29.351134999999999"/>
    <n v="71.223055930000001"/>
  </r>
  <r>
    <n v="858"/>
    <x v="857"/>
    <n v="48.779105999999999"/>
    <n v="-109.38531500000001"/>
    <x v="0"/>
    <x v="2"/>
    <x v="26"/>
    <n v="-7"/>
    <n v="791.94444439999995"/>
    <n v="3.7149885"/>
    <x v="0"/>
    <n v="0.97733194000000001"/>
    <n v="70.011701369999997"/>
    <n v="2246.6437259999998"/>
    <n v="3010.5031589999999"/>
    <n v="0.74626851637195035"/>
    <n v="0.22595345999999999"/>
    <n v="0.16862199"/>
    <n v="42.134621350000003"/>
    <n v="14.35322077"/>
    <n v="234.42471420000001"/>
    <n v="610161.39439999999"/>
    <n v="688430"/>
    <n v="28.13748"/>
    <n v="70.27210135"/>
  </r>
  <r>
    <n v="859"/>
    <x v="858"/>
    <n v="48.792797"/>
    <n v="-109.22104"/>
    <x v="0"/>
    <x v="2"/>
    <x v="26"/>
    <n v="-7"/>
    <n v="808.73684209999999"/>
    <n v="3.7103071000000001"/>
    <x v="0"/>
    <n v="0.97670009999999996"/>
    <n v="63.953553960000001"/>
    <n v="2052.2405250000002"/>
    <n v="2750.0028200000002"/>
    <n v="0.74626851655373938"/>
    <n v="0.22579974999999999"/>
    <n v="0.16850725999999999"/>
    <n v="42.141938379999999"/>
    <n v="13.458519470000001"/>
    <n v="234.42471420000001"/>
    <n v="610161.39439999999"/>
    <n v="687298.3"/>
    <n v="28.110347999999998"/>
    <n v="70.252286380000001"/>
  </r>
  <r>
    <n v="860"/>
    <x v="859"/>
    <n v="48.806319999999999"/>
    <n v="-109.05669"/>
    <x v="0"/>
    <x v="2"/>
    <x v="26"/>
    <n v="-7"/>
    <n v="881.46666670000002"/>
    <n v="3.7202058"/>
    <x v="0"/>
    <n v="0.97603583000000005"/>
    <n v="80.65599521"/>
    <n v="2588.214285"/>
    <n v="3468.2077939999999"/>
    <n v="0.74626851640135605"/>
    <n v="0.22733575"/>
    <n v="0.16965353"/>
    <n v="41.834891210000002"/>
    <n v="20.971740239999999"/>
    <n v="234.42471420000001"/>
    <n v="610161.39439999999"/>
    <n v="715508.9"/>
    <n v="29.066431000000001"/>
    <n v="70.901322210000004"/>
  </r>
  <r>
    <m/>
    <x v="860"/>
    <m/>
    <m/>
    <x v="1"/>
    <x v="4"/>
    <x v="34"/>
    <m/>
    <m/>
    <m/>
    <x v="3"/>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04770D-EE69-46AD-ACCF-73767C3FFB9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tate">
  <location ref="B3:C8" firstHeaderRow="1" firstDataRow="1" firstDataCol="1"/>
  <pivotFields count="25">
    <pivotField showAll="0"/>
    <pivotField showAll="0"/>
    <pivotField numFmtId="165" showAll="0"/>
    <pivotField numFmtId="165" showAll="0"/>
    <pivotField showAll="0"/>
    <pivotField axis="axisRow" showAll="0">
      <items count="5">
        <item x="1"/>
        <item x="3"/>
        <item x="2"/>
        <item x="0"/>
        <item t="default"/>
      </items>
    </pivotField>
    <pivotField showAll="0"/>
    <pivotField numFmtId="49" showAll="0"/>
    <pivotField numFmtId="2" showAll="0"/>
    <pivotField dataField="1" numFmtId="2" showAll="0"/>
    <pivotField showAll="0"/>
    <pivotField numFmtId="2" showAll="0"/>
    <pivotField numFmtId="2" showAll="0"/>
    <pivotField numFmtId="2" showAll="0"/>
    <pivotField numFmtId="2" showAll="0"/>
    <pivotField numFmtId="2" showAll="0"/>
    <pivotField numFmtId="10" showAll="0"/>
    <pivotField numFmtId="10" showAll="0"/>
    <pivotField numFmtId="164" showAll="0"/>
    <pivotField numFmtId="2" showAll="0"/>
    <pivotField numFmtId="2" showAll="0"/>
    <pivotField numFmtId="164" showAll="0"/>
    <pivotField numFmtId="164" showAll="0"/>
    <pivotField numFmtId="164" showAll="0"/>
    <pivotField numFmtId="164" showAll="0"/>
  </pivotFields>
  <rowFields count="1">
    <field x="5"/>
  </rowFields>
  <rowItems count="5">
    <i>
      <x/>
    </i>
    <i>
      <x v="1"/>
    </i>
    <i>
      <x v="2"/>
    </i>
    <i>
      <x v="3"/>
    </i>
    <i t="grand">
      <x/>
    </i>
  </rowItems>
  <colItems count="1">
    <i/>
  </colItems>
  <dataFields count="1">
    <dataField name="Average of Solar " fld="9" subtotal="average" baseField="5" baseItem="0" numFmtId="2"/>
  </dataFields>
  <formats count="14">
    <format dxfId="117">
      <pivotArea type="all" dataOnly="0" outline="0" fieldPosition="0"/>
    </format>
    <format dxfId="116">
      <pivotArea dataOnly="0" labelOnly="1" outline="0" axis="axisValues" fieldPosition="0"/>
    </format>
    <format dxfId="115">
      <pivotArea type="all" dataOnly="0" outline="0" fieldPosition="0"/>
    </format>
    <format dxfId="114">
      <pivotArea outline="0" collapsedLevelsAreSubtotals="1" fieldPosition="0"/>
    </format>
    <format dxfId="113">
      <pivotArea field="5" type="button" dataOnly="0" labelOnly="1" outline="0" axis="axisRow" fieldPosition="0"/>
    </format>
    <format dxfId="112">
      <pivotArea dataOnly="0" labelOnly="1" fieldPosition="0">
        <references count="1">
          <reference field="5" count="0"/>
        </references>
      </pivotArea>
    </format>
    <format dxfId="111">
      <pivotArea dataOnly="0" labelOnly="1" grandRow="1" outline="0" fieldPosition="0"/>
    </format>
    <format dxfId="110">
      <pivotArea dataOnly="0" labelOnly="1" outline="0" axis="axisValues" fieldPosition="0"/>
    </format>
    <format dxfId="109">
      <pivotArea type="all" dataOnly="0" outline="0" fieldPosition="0"/>
    </format>
    <format dxfId="108">
      <pivotArea outline="0" collapsedLevelsAreSubtotals="1" fieldPosition="0"/>
    </format>
    <format dxfId="107">
      <pivotArea field="5" type="button" dataOnly="0" labelOnly="1" outline="0" axis="axisRow" fieldPosition="0"/>
    </format>
    <format dxfId="106">
      <pivotArea dataOnly="0" labelOnly="1" fieldPosition="0">
        <references count="1">
          <reference field="5" count="0"/>
        </references>
      </pivotArea>
    </format>
    <format dxfId="105">
      <pivotArea dataOnly="0" labelOnly="1" grandRow="1" outline="0" fieldPosition="0"/>
    </format>
    <format dxfId="104">
      <pivotArea dataOnly="0" labelOnly="1" outline="0" axis="axisValues" fieldPosition="0"/>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5" count="1" selected="0">
            <x v="0"/>
          </reference>
        </references>
      </pivotArea>
    </chartFormat>
    <chartFormat chart="3" format="8">
      <pivotArea type="data" outline="0" fieldPosition="0">
        <references count="2">
          <reference field="4294967294" count="1" selected="0">
            <x v="0"/>
          </reference>
          <reference field="5" count="1" selected="0">
            <x v="1"/>
          </reference>
        </references>
      </pivotArea>
    </chartFormat>
    <chartFormat chart="3" format="9">
      <pivotArea type="data" outline="0" fieldPosition="0">
        <references count="2">
          <reference field="4294967294" count="1" selected="0">
            <x v="0"/>
          </reference>
          <reference field="5" count="1" selected="0">
            <x v="2"/>
          </reference>
        </references>
      </pivotArea>
    </chartFormat>
    <chartFormat chart="3" format="1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838C4A-78FD-4E1B-A7E5-F85AFE30EBF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
  <location ref="A4:B10" firstHeaderRow="1" firstDataRow="1" firstDataCol="1"/>
  <pivotFields count="25">
    <pivotField showAll="0"/>
    <pivotField showAll="0"/>
    <pivotField showAll="0"/>
    <pivotField showAll="0"/>
    <pivotField showAll="0"/>
    <pivotField axis="axisRow" showAll="0">
      <items count="6">
        <item x="1"/>
        <item x="3"/>
        <item x="2"/>
        <item x="0"/>
        <item x="4"/>
        <item t="default"/>
      </items>
    </pivotField>
    <pivotField showAll="0"/>
    <pivotField showAll="0"/>
    <pivotField showAll="0"/>
    <pivotField showAll="0"/>
    <pivotField multipleItemSelectionAllowed="1"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5"/>
  </rowFields>
  <rowItems count="6">
    <i>
      <x/>
    </i>
    <i>
      <x v="1"/>
    </i>
    <i>
      <x v="2"/>
    </i>
    <i>
      <x v="3"/>
    </i>
    <i>
      <x v="4"/>
    </i>
    <i t="grand">
      <x/>
    </i>
  </rowItems>
  <colItems count="1">
    <i/>
  </colItems>
  <dataFields count="1">
    <dataField name="Average of Total Energy Cost" fld="24" subtotal="average" baseField="5" baseItem="0"/>
  </dataFields>
  <formats count="17">
    <format dxfId="103">
      <pivotArea type="all" dataOnly="0" outline="0" fieldPosition="0"/>
    </format>
    <format dxfId="102">
      <pivotArea outline="0" collapsedLevelsAreSubtotals="1" fieldPosition="0"/>
    </format>
    <format dxfId="101">
      <pivotArea type="all" dataOnly="0" outline="0" fieldPosition="0"/>
    </format>
    <format dxfId="100">
      <pivotArea outline="0" collapsedLevelsAreSubtotals="1" fieldPosition="0"/>
    </format>
    <format dxfId="99">
      <pivotArea outline="0" collapsedLevelsAreSubtotals="1" fieldPosition="0"/>
    </format>
    <format dxfId="98">
      <pivotArea type="all" dataOnly="0" outline="0" fieldPosition="0"/>
    </format>
    <format dxfId="97">
      <pivotArea outline="0" collapsedLevelsAreSubtotals="1" fieldPosition="0"/>
    </format>
    <format dxfId="96">
      <pivotArea field="5" type="button" dataOnly="0" labelOnly="1" outline="0" axis="axisRow" fieldPosition="0"/>
    </format>
    <format dxfId="95">
      <pivotArea dataOnly="0" labelOnly="1" fieldPosition="0">
        <references count="1">
          <reference field="5" count="0"/>
        </references>
      </pivotArea>
    </format>
    <format dxfId="94">
      <pivotArea dataOnly="0" labelOnly="1" grandRow="1" outline="0" fieldPosition="0"/>
    </format>
    <format dxfId="93">
      <pivotArea dataOnly="0" labelOnly="1" outline="0" axis="axisValues" fieldPosition="0"/>
    </format>
    <format dxfId="92">
      <pivotArea type="all" dataOnly="0" outline="0" fieldPosition="0"/>
    </format>
    <format dxfId="91">
      <pivotArea outline="0" collapsedLevelsAreSubtotals="1" fieldPosition="0"/>
    </format>
    <format dxfId="90">
      <pivotArea field="5" type="button" dataOnly="0" labelOnly="1" outline="0" axis="axisRow" fieldPosition="0"/>
    </format>
    <format dxfId="89">
      <pivotArea dataOnly="0" labelOnly="1" fieldPosition="0">
        <references count="1">
          <reference field="5" count="0"/>
        </references>
      </pivotArea>
    </format>
    <format dxfId="88">
      <pivotArea dataOnly="0" labelOnly="1" grandRow="1" outline="0" fieldPosition="0"/>
    </format>
    <format dxfId="8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70E710-422C-429D-8AEF-0141ED0CA5E1}"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ounty">
  <location ref="B4:D10" firstHeaderRow="0" firstDataRow="1" firstDataCol="1"/>
  <pivotFields count="25">
    <pivotField showAll="0"/>
    <pivotField showAll="0"/>
    <pivotField showAll="0"/>
    <pivotField showAll="0"/>
    <pivotField showAll="0">
      <items count="3">
        <item x="0"/>
        <item x="1"/>
        <item t="default"/>
      </items>
    </pivotField>
    <pivotField axis="axisRow" showAll="0">
      <items count="6">
        <item x="1"/>
        <item x="3"/>
        <item x="2"/>
        <item x="0"/>
        <item x="4"/>
        <item t="default"/>
      </items>
    </pivotField>
    <pivotField showAll="0" sortType="ascending">
      <items count="36">
        <item x="22"/>
        <item x="26"/>
        <item x="13"/>
        <item x="10"/>
        <item x="12"/>
        <item x="1"/>
        <item x="20"/>
        <item x="5"/>
        <item x="16"/>
        <item x="19"/>
        <item x="32"/>
        <item x="15"/>
        <item x="25"/>
        <item x="4"/>
        <item x="9"/>
        <item x="18"/>
        <item x="11"/>
        <item x="28"/>
        <item x="33"/>
        <item x="24"/>
        <item x="14"/>
        <item x="17"/>
        <item x="3"/>
        <item x="8"/>
        <item x="31"/>
        <item x="23"/>
        <item x="30"/>
        <item x="2"/>
        <item x="6"/>
        <item x="29"/>
        <item x="7"/>
        <item x="27"/>
        <item x="21"/>
        <item x="0"/>
        <item x="34"/>
        <item t="default"/>
      </items>
    </pivotField>
    <pivotField showAll="0"/>
    <pivotField showAll="0"/>
    <pivotField showAll="0"/>
    <pivotField showAll="0">
      <items count="5">
        <item x="2"/>
        <item x="1"/>
        <item x="0"/>
        <item x="3"/>
        <item t="default"/>
      </items>
    </pivotField>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s>
  <rowFields count="1">
    <field x="5"/>
  </rowFields>
  <rowItems count="6">
    <i>
      <x/>
    </i>
    <i>
      <x v="1"/>
    </i>
    <i>
      <x v="2"/>
    </i>
    <i>
      <x v="3"/>
    </i>
    <i>
      <x v="4"/>
    </i>
    <i t="grand">
      <x/>
    </i>
  </rowItems>
  <colFields count="1">
    <field x="-2"/>
  </colFields>
  <colItems count="2">
    <i>
      <x/>
    </i>
    <i i="1">
      <x v="1"/>
    </i>
  </colItems>
  <dataFields count="2">
    <dataField name="Sum of Installed Capacity _x000a_(AC -MW)" fld="13" baseField="0" baseItem="0"/>
    <dataField name="Sum of Installed Capacity _x000a_(DC -MW)" fld="14" baseField="0" baseItem="0"/>
  </dataFields>
  <formats count="19">
    <format dxfId="86">
      <pivotArea type="all" dataOnly="0" outline="0" fieldPosition="0"/>
    </format>
    <format dxfId="85">
      <pivotArea outline="0" collapsedLevelsAreSubtotals="1" fieldPosition="0"/>
    </format>
    <format dxfId="84">
      <pivotArea field="6" type="button" dataOnly="0" labelOnly="1" outline="0"/>
    </format>
    <format dxfId="83">
      <pivotArea dataOnly="0" labelOnly="1" outline="0" fieldPosition="0">
        <references count="1">
          <reference field="4294967294" count="2">
            <x v="0"/>
            <x v="1"/>
          </reference>
        </references>
      </pivotArea>
    </format>
    <format dxfId="82">
      <pivotArea outline="0" collapsedLevelsAreSubtotals="1" fieldPosition="0"/>
    </format>
    <format dxfId="81">
      <pivotArea dataOnly="0" labelOnly="1" outline="0" fieldPosition="0">
        <references count="1">
          <reference field="4294967294" count="1">
            <x v="0"/>
          </reference>
        </references>
      </pivotArea>
    </format>
    <format dxfId="80">
      <pivotArea dataOnly="0" labelOnly="1" outline="0" fieldPosition="0">
        <references count="1">
          <reference field="4294967294" count="1">
            <x v="1"/>
          </reference>
        </references>
      </pivotArea>
    </format>
    <format dxfId="79">
      <pivotArea type="all" dataOnly="0" outline="0" fieldPosition="0"/>
    </format>
    <format dxfId="78">
      <pivotArea outline="0" collapsedLevelsAreSubtotals="1" fieldPosition="0"/>
    </format>
    <format dxfId="77">
      <pivotArea field="5" type="button" dataOnly="0" labelOnly="1" outline="0" axis="axisRow" fieldPosition="0"/>
    </format>
    <format dxfId="76">
      <pivotArea dataOnly="0" labelOnly="1" fieldPosition="0">
        <references count="1">
          <reference field="5" count="0"/>
        </references>
      </pivotArea>
    </format>
    <format dxfId="75">
      <pivotArea dataOnly="0" labelOnly="1" grandRow="1" outline="0" fieldPosition="0"/>
    </format>
    <format dxfId="74">
      <pivotArea dataOnly="0" labelOnly="1" outline="0" fieldPosition="0">
        <references count="1">
          <reference field="4294967294" count="2">
            <x v="0"/>
            <x v="1"/>
          </reference>
        </references>
      </pivotArea>
    </format>
    <format dxfId="73">
      <pivotArea type="all" dataOnly="0" outline="0" fieldPosition="0"/>
    </format>
    <format dxfId="72">
      <pivotArea outline="0" collapsedLevelsAreSubtotals="1" fieldPosition="0"/>
    </format>
    <format dxfId="71">
      <pivotArea field="5" type="button" dataOnly="0" labelOnly="1" outline="0" axis="axisRow" fieldPosition="0"/>
    </format>
    <format dxfId="70">
      <pivotArea dataOnly="0" labelOnly="1" fieldPosition="0">
        <references count="1">
          <reference field="5" count="0"/>
        </references>
      </pivotArea>
    </format>
    <format dxfId="69">
      <pivotArea dataOnly="0" labelOnly="1" grandRow="1" outline="0" fieldPosition="0"/>
    </format>
    <format dxfId="68">
      <pivotArea dataOnly="0" labelOnly="1" outline="0" fieldPosition="0">
        <references count="1">
          <reference field="4294967294" count="2">
            <x v="0"/>
            <x v="1"/>
          </reference>
        </references>
      </pivotArea>
    </format>
  </format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E53F14-3933-492B-9401-A927E50786C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Distance to Grid (KM)">
  <location ref="B4:C808" firstHeaderRow="1" firstDataRow="1" firstDataCol="1"/>
  <pivotFields count="25">
    <pivotField showAll="0"/>
    <pivotField showAll="0"/>
    <pivotField numFmtId="165" showAll="0"/>
    <pivotField numFmtId="165" showAll="0"/>
    <pivotField showAll="0"/>
    <pivotField showAll="0"/>
    <pivotField showAll="0"/>
    <pivotField numFmtId="49" showAll="0"/>
    <pivotField numFmtId="2" showAll="0"/>
    <pivotField numFmtId="2" showAll="0"/>
    <pivotField showAll="0"/>
    <pivotField numFmtId="2" showAll="0"/>
    <pivotField numFmtId="2" showAll="0"/>
    <pivotField numFmtId="2" showAll="0"/>
    <pivotField numFmtId="2" showAll="0"/>
    <pivotField numFmtId="2" showAll="0"/>
    <pivotField numFmtId="10" showAll="0"/>
    <pivotField numFmtId="10" showAll="0"/>
    <pivotField numFmtId="164" showAll="0"/>
    <pivotField axis="axisRow" numFmtId="2" showAll="0">
      <items count="804">
        <item x="60"/>
        <item x="125"/>
        <item x="122"/>
        <item x="59"/>
        <item x="6"/>
        <item x="732"/>
        <item x="340"/>
        <item x="88"/>
        <item x="216"/>
        <item x="390"/>
        <item x="362"/>
        <item x="314"/>
        <item x="287"/>
        <item x="87"/>
        <item x="622"/>
        <item x="544"/>
        <item x="11"/>
        <item x="17"/>
        <item x="214"/>
        <item x="156"/>
        <item x="402"/>
        <item x="266"/>
        <item x="18"/>
        <item x="191"/>
        <item x="335"/>
        <item x="748"/>
        <item x="632"/>
        <item x="44"/>
        <item x="415"/>
        <item x="413"/>
        <item x="406"/>
        <item x="157"/>
        <item x="179"/>
        <item x="411"/>
        <item x="725"/>
        <item x="432"/>
        <item x="96"/>
        <item x="205"/>
        <item x="783"/>
        <item x="246"/>
        <item x="730"/>
        <item x="491"/>
        <item x="148"/>
        <item x="417"/>
        <item x="2"/>
        <item x="495"/>
        <item x="159"/>
        <item x="218"/>
        <item x="1"/>
        <item x="3"/>
        <item x="761"/>
        <item x="339"/>
        <item x="348"/>
        <item x="38"/>
        <item x="756"/>
        <item x="471"/>
        <item x="4"/>
        <item x="400"/>
        <item x="256"/>
        <item x="360"/>
        <item x="401"/>
        <item x="225"/>
        <item x="238"/>
        <item x="195"/>
        <item x="306"/>
        <item x="289"/>
        <item x="566"/>
        <item x="487"/>
        <item x="29"/>
        <item x="581"/>
        <item x="726"/>
        <item x="542"/>
        <item x="25"/>
        <item x="124"/>
        <item x="91"/>
        <item x="643"/>
        <item x="61"/>
        <item x="729"/>
        <item x="744"/>
        <item x="577"/>
        <item x="548"/>
        <item x="472"/>
        <item x="196"/>
        <item x="414"/>
        <item x="556"/>
        <item x="442"/>
        <item x="720"/>
        <item x="633"/>
        <item x="728"/>
        <item x="407"/>
        <item x="568"/>
        <item x="293"/>
        <item x="654"/>
        <item x="587"/>
        <item x="286"/>
        <item x="543"/>
        <item x="671"/>
        <item x="26"/>
        <item x="23"/>
        <item x="292"/>
        <item x="186"/>
        <item x="398"/>
        <item x="39"/>
        <item x="635"/>
        <item x="285"/>
        <item x="68"/>
        <item x="500"/>
        <item x="127"/>
        <item x="405"/>
        <item x="627"/>
        <item x="470"/>
        <item x="490"/>
        <item x="347"/>
        <item x="123"/>
        <item x="501"/>
        <item x="240"/>
        <item x="624"/>
        <item x="136"/>
        <item x="5"/>
        <item x="41"/>
        <item x="751"/>
        <item x="549"/>
        <item x="92"/>
        <item x="436"/>
        <item x="7"/>
        <item x="49"/>
        <item x="767"/>
        <item x="661"/>
        <item x="341"/>
        <item x="553"/>
        <item x="312"/>
        <item x="784"/>
        <item x="357"/>
        <item x="164"/>
        <item x="753"/>
        <item x="630"/>
        <item x="74"/>
        <item x="416"/>
        <item x="772"/>
        <item x="128"/>
        <item x="516"/>
        <item x="507"/>
        <item x="397"/>
        <item x="679"/>
        <item x="359"/>
        <item x="511"/>
        <item x="550"/>
        <item x="639"/>
        <item x="174"/>
        <item x="282"/>
        <item x="75"/>
        <item x="555"/>
        <item x="336"/>
        <item x="361"/>
        <item x="116"/>
        <item x="576"/>
        <item x="499"/>
        <item x="734"/>
        <item x="567"/>
        <item x="103"/>
        <item x="731"/>
        <item x="469"/>
        <item x="206"/>
        <item x="724"/>
        <item x="652"/>
        <item x="42"/>
        <item x="349"/>
        <item x="54"/>
        <item x="631"/>
        <item x="494"/>
        <item x="121"/>
        <item x="368"/>
        <item x="259"/>
        <item x="236"/>
        <item x="667"/>
        <item x="475"/>
        <item x="735"/>
        <item x="288"/>
        <item x="294"/>
        <item x="376"/>
        <item x="733"/>
        <item x="749"/>
        <item x="8"/>
        <item x="155"/>
        <item x="727"/>
        <item x="743"/>
        <item x="657"/>
        <item x="563"/>
        <item x="620"/>
        <item x="404"/>
        <item x="750"/>
        <item x="239"/>
        <item x="739"/>
        <item x="427"/>
        <item x="338"/>
        <item x="307"/>
        <item x="131"/>
        <item x="337"/>
        <item x="333"/>
        <item x="86"/>
        <item x="545"/>
        <item x="757"/>
        <item x="626"/>
        <item x="723"/>
        <item x="564"/>
        <item x="546"/>
        <item x="185"/>
        <item x="453"/>
        <item x="40"/>
        <item x="447"/>
        <item x="383"/>
        <item x="412"/>
        <item x="773"/>
        <item x="0"/>
        <item x="477"/>
        <item x="547"/>
        <item x="36"/>
        <item x="678"/>
        <item x="89"/>
        <item x="722"/>
        <item x="644"/>
        <item x="425"/>
        <item x="588"/>
        <item x="135"/>
        <item x="58"/>
        <item x="782"/>
        <item x="165"/>
        <item x="454"/>
        <item x="173"/>
        <item x="476"/>
        <item x="467"/>
        <item x="785"/>
        <item x="63"/>
        <item x="352"/>
        <item x="768"/>
        <item x="634"/>
        <item x="658"/>
        <item x="769"/>
        <item x="408"/>
        <item x="488"/>
        <item x="67"/>
        <item x="762"/>
        <item x="721"/>
        <item x="535"/>
        <item x="419"/>
        <item x="539"/>
        <item x="759"/>
        <item x="623"/>
        <item x="478"/>
        <item x="395"/>
        <item x="382"/>
        <item x="94"/>
        <item x="441"/>
        <item x="640"/>
        <item x="168"/>
        <item x="291"/>
        <item x="653"/>
        <item x="649"/>
        <item x="738"/>
        <item x="377"/>
        <item x="680"/>
        <item x="448"/>
        <item x="554"/>
        <item x="647"/>
        <item x="158"/>
        <item x="502"/>
        <item x="57"/>
        <item x="192"/>
        <item x="64"/>
        <item x="468"/>
        <item x="12"/>
        <item x="760"/>
        <item x="126"/>
        <item x="551"/>
        <item x="132"/>
        <item x="34"/>
        <item x="510"/>
        <item x="656"/>
        <item x="313"/>
        <item x="203"/>
        <item x="399"/>
        <item x="389"/>
        <item x="621"/>
        <item x="677"/>
        <item x="371"/>
        <item x="426"/>
        <item x="771"/>
        <item x="745"/>
        <item x="481"/>
        <item x="655"/>
        <item x="591"/>
        <item x="418"/>
        <item x="463"/>
        <item x="213"/>
        <item x="446"/>
        <item x="204"/>
        <item x="504"/>
        <item x="589"/>
        <item x="747"/>
        <item x="562"/>
        <item x="176"/>
        <item x="104"/>
        <item x="437"/>
        <item x="235"/>
        <item x="668"/>
        <item x="496"/>
        <item x="267"/>
        <item x="350"/>
        <item x="260"/>
        <item x="505"/>
        <item x="660"/>
        <item x="645"/>
        <item x="207"/>
        <item x="257"/>
        <item x="672"/>
        <item x="167"/>
        <item x="180"/>
        <item x="24"/>
        <item x="141"/>
        <item x="648"/>
        <item x="489"/>
        <item x="219"/>
        <item x="43"/>
        <item x="506"/>
        <item x="255"/>
        <item x="578"/>
        <item x="642"/>
        <item x="351"/>
        <item x="175"/>
        <item x="638"/>
        <item x="557"/>
        <item x="590"/>
        <item x="95"/>
        <item x="473"/>
        <item x="163"/>
        <item x="719"/>
        <item x="480"/>
        <item x="515"/>
        <item x="27"/>
        <item x="245"/>
        <item x="35"/>
        <item x="217"/>
        <item x="370"/>
        <item x="363"/>
        <item x="517"/>
        <item x="565"/>
        <item x="172"/>
        <item x="394"/>
        <item x="492"/>
        <item x="766"/>
        <item x="625"/>
        <item x="302"/>
        <item x="93"/>
        <item x="197"/>
        <item x="212"/>
        <item x="97"/>
        <item x="646"/>
        <item x="742"/>
        <item x="28"/>
        <item x="384"/>
        <item x="9"/>
        <item x="536"/>
        <item x="636"/>
        <item x="329"/>
        <item x="420"/>
        <item x="202"/>
        <item x="569"/>
        <item x="140"/>
        <item x="482"/>
        <item x="575"/>
        <item x="85"/>
        <item x="346"/>
        <item x="431"/>
        <item x="295"/>
        <item x="83"/>
        <item x="464"/>
        <item x="120"/>
        <item x="498"/>
        <item x="55"/>
        <item x="586"/>
        <item x="433"/>
        <item x="224"/>
        <item x="241"/>
        <item x="662"/>
        <item x="574"/>
        <item x="315"/>
        <item x="247"/>
        <item x="345"/>
        <item x="73"/>
        <item x="142"/>
        <item x="582"/>
        <item x="367"/>
        <item x="215"/>
        <item x="391"/>
        <item x="56"/>
        <item x="755"/>
        <item x="19"/>
        <item x="786"/>
        <item x="486"/>
        <item x="184"/>
        <item x="396"/>
        <item x="718"/>
        <item x="746"/>
        <item x="592"/>
        <item x="66"/>
        <item x="428"/>
        <item x="651"/>
        <item x="48"/>
        <item x="801"/>
        <item x="50"/>
        <item x="283"/>
        <item x="781"/>
        <item x="311"/>
        <item x="84"/>
        <item x="147"/>
        <item x="47"/>
        <item x="552"/>
        <item x="641"/>
        <item x="358"/>
        <item x="193"/>
        <item x="800"/>
        <item x="290"/>
        <item x="752"/>
        <item x="178"/>
        <item x="493"/>
        <item x="580"/>
        <item x="342"/>
        <item x="512"/>
        <item x="137"/>
        <item x="129"/>
        <item x="763"/>
        <item x="503"/>
        <item x="443"/>
        <item x="161"/>
        <item x="343"/>
        <item x="780"/>
        <item x="583"/>
        <item x="62"/>
        <item x="254"/>
        <item x="160"/>
        <item x="676"/>
        <item x="321"/>
        <item x="303"/>
        <item x="455"/>
        <item x="13"/>
        <item x="787"/>
        <item x="681"/>
        <item x="194"/>
        <item x="670"/>
        <item x="76"/>
        <item x="770"/>
        <item x="435"/>
        <item x="102"/>
        <item x="740"/>
        <item x="479"/>
        <item x="284"/>
        <item x="423"/>
        <item x="375"/>
        <item x="628"/>
        <item x="332"/>
        <item x="754"/>
        <item x="99"/>
        <item x="410"/>
        <item x="789"/>
        <item x="100"/>
        <item x="334"/>
        <item x="226"/>
        <item x="330"/>
        <item x="265"/>
        <item x="237"/>
        <item x="791"/>
        <item x="53"/>
        <item x="541"/>
        <item x="593"/>
        <item x="133"/>
        <item x="304"/>
        <item x="570"/>
        <item x="305"/>
        <item x="439"/>
        <item x="741"/>
        <item x="537"/>
        <item x="258"/>
        <item x="403"/>
        <item x="327"/>
        <item x="378"/>
        <item x="737"/>
        <item x="736"/>
        <item x="308"/>
        <item x="659"/>
        <item x="146"/>
        <item x="328"/>
        <item x="151"/>
        <item x="134"/>
        <item x="181"/>
        <item x="758"/>
        <item x="682"/>
        <item x="65"/>
        <item x="353"/>
        <item x="369"/>
        <item x="242"/>
        <item x="774"/>
        <item x="115"/>
        <item x="669"/>
        <item x="297"/>
        <item x="790"/>
        <item x="198"/>
        <item x="792"/>
        <item x="381"/>
        <item x="779"/>
        <item x="438"/>
        <item x="21"/>
        <item x="765"/>
        <item x="466"/>
        <item x="130"/>
        <item x="388"/>
        <item x="166"/>
        <item x="322"/>
        <item x="663"/>
        <item x="424"/>
        <item x="177"/>
        <item x="650"/>
        <item x="344"/>
        <item x="169"/>
        <item x="409"/>
        <item x="571"/>
        <item x="244"/>
        <item x="538"/>
        <item x="33"/>
        <item x="440"/>
        <item x="281"/>
        <item x="372"/>
        <item x="584"/>
        <item x="509"/>
        <item x="573"/>
        <item x="452"/>
        <item x="778"/>
        <item x="211"/>
        <item x="513"/>
        <item x="793"/>
        <item x="90"/>
        <item x="449"/>
        <item x="497"/>
        <item x="105"/>
        <item x="802"/>
        <item x="31"/>
        <item x="268"/>
        <item x="354"/>
        <item x="22"/>
        <item x="326"/>
        <item x="276"/>
        <item x="14"/>
        <item x="208"/>
        <item x="296"/>
        <item x="393"/>
        <item x="561"/>
        <item x="144"/>
        <item x="429"/>
        <item x="243"/>
        <item x="514"/>
        <item x="114"/>
        <item x="366"/>
        <item x="788"/>
        <item x="261"/>
        <item x="666"/>
        <item x="444"/>
        <item x="430"/>
        <item x="32"/>
        <item x="518"/>
        <item x="108"/>
        <item x="171"/>
        <item x="794"/>
        <item x="252"/>
        <item x="579"/>
        <item x="385"/>
        <item x="637"/>
        <item x="162"/>
        <item x="764"/>
        <item x="799"/>
        <item x="101"/>
        <item x="139"/>
        <item x="220"/>
        <item x="465"/>
        <item x="278"/>
        <item x="421"/>
        <item x="316"/>
        <item x="474"/>
        <item x="798"/>
        <item x="98"/>
        <item x="795"/>
        <item x="483"/>
        <item x="107"/>
        <item x="30"/>
        <item x="585"/>
        <item x="558"/>
        <item x="223"/>
        <item x="434"/>
        <item x="422"/>
        <item x="683"/>
        <item x="143"/>
        <item x="264"/>
        <item x="698"/>
        <item x="777"/>
        <item x="298"/>
        <item x="485"/>
        <item x="277"/>
        <item x="665"/>
        <item x="138"/>
        <item x="201"/>
        <item x="72"/>
        <item x="301"/>
        <item x="320"/>
        <item x="697"/>
        <item x="456"/>
        <item x="253"/>
        <item x="392"/>
        <item x="796"/>
        <item x="572"/>
        <item x="199"/>
        <item x="46"/>
        <item x="113"/>
        <item x="594"/>
        <item x="451"/>
        <item x="534"/>
        <item x="117"/>
        <item x="279"/>
        <item x="331"/>
        <item x="684"/>
        <item x="797"/>
        <item x="373"/>
        <item x="248"/>
        <item x="37"/>
        <item x="20"/>
        <item x="379"/>
        <item x="269"/>
        <item x="664"/>
        <item x="686"/>
        <item x="118"/>
        <item x="71"/>
        <item x="675"/>
        <item x="325"/>
        <item x="77"/>
        <item x="688"/>
        <item x="109"/>
        <item x="210"/>
        <item x="45"/>
        <item x="310"/>
        <item x="273"/>
        <item x="699"/>
        <item x="508"/>
        <item x="687"/>
        <item x="150"/>
        <item x="689"/>
        <item x="685"/>
        <item x="145"/>
        <item x="374"/>
        <item x="696"/>
        <item x="365"/>
        <item x="251"/>
        <item x="263"/>
        <item x="110"/>
        <item x="387"/>
        <item x="106"/>
        <item x="249"/>
        <item x="69"/>
        <item x="70"/>
        <item x="149"/>
        <item x="690"/>
        <item x="450"/>
        <item x="299"/>
        <item x="16"/>
        <item x="673"/>
        <item x="445"/>
        <item x="540"/>
        <item x="272"/>
        <item x="386"/>
        <item x="691"/>
        <item x="187"/>
        <item x="111"/>
        <item x="776"/>
        <item x="317"/>
        <item x="356"/>
        <item x="519"/>
        <item x="364"/>
        <item x="15"/>
        <item x="692"/>
        <item x="250"/>
        <item x="170"/>
        <item x="112"/>
        <item x="80"/>
        <item x="695"/>
        <item x="609"/>
        <item x="209"/>
        <item x="608"/>
        <item x="457"/>
        <item x="280"/>
        <item x="51"/>
        <item x="222"/>
        <item x="227"/>
        <item x="323"/>
        <item x="233"/>
        <item x="595"/>
        <item x="693"/>
        <item x="629"/>
        <item x="79"/>
        <item x="380"/>
        <item x="694"/>
        <item x="700"/>
        <item x="319"/>
        <item x="78"/>
        <item x="152"/>
        <item x="234"/>
        <item x="232"/>
        <item x="183"/>
        <item x="153"/>
        <item x="597"/>
        <item x="599"/>
        <item x="598"/>
        <item x="607"/>
        <item x="355"/>
        <item x="600"/>
        <item x="484"/>
        <item x="596"/>
        <item x="274"/>
        <item x="119"/>
        <item x="560"/>
        <item x="601"/>
        <item x="602"/>
        <item x="52"/>
        <item x="154"/>
        <item x="270"/>
        <item x="520"/>
        <item x="318"/>
        <item x="606"/>
        <item x="603"/>
        <item x="182"/>
        <item x="82"/>
        <item x="701"/>
        <item x="271"/>
        <item x="231"/>
        <item x="604"/>
        <item x="605"/>
        <item x="674"/>
        <item x="324"/>
        <item x="188"/>
        <item x="309"/>
        <item x="300"/>
        <item x="559"/>
        <item x="523"/>
        <item x="521"/>
        <item x="702"/>
        <item x="458"/>
        <item x="230"/>
        <item x="524"/>
        <item x="522"/>
        <item x="228"/>
        <item x="525"/>
        <item x="221"/>
        <item x="703"/>
        <item x="526"/>
        <item x="775"/>
        <item x="527"/>
        <item x="10"/>
        <item x="262"/>
        <item x="81"/>
        <item x="704"/>
        <item x="229"/>
        <item x="189"/>
        <item x="705"/>
        <item x="706"/>
        <item x="275"/>
        <item x="190"/>
        <item x="200"/>
        <item x="717"/>
        <item x="716"/>
        <item x="619"/>
        <item x="618"/>
        <item x="715"/>
        <item x="617"/>
        <item x="714"/>
        <item x="533"/>
        <item x="713"/>
        <item x="616"/>
        <item x="712"/>
        <item x="462"/>
        <item x="532"/>
        <item x="461"/>
        <item x="460"/>
        <item x="707"/>
        <item x="530"/>
        <item x="531"/>
        <item x="529"/>
        <item x="615"/>
        <item x="614"/>
        <item x="613"/>
        <item x="710"/>
        <item x="711"/>
        <item x="612"/>
        <item x="709"/>
        <item x="611"/>
        <item x="708"/>
        <item x="528"/>
        <item x="610"/>
        <item x="459"/>
        <item t="default"/>
      </items>
    </pivotField>
    <pivotField numFmtId="2" showAll="0"/>
    <pivotField numFmtId="164" showAll="0"/>
    <pivotField numFmtId="164" showAll="0"/>
    <pivotField numFmtId="164" showAll="0"/>
    <pivotField dataField="1" numFmtId="164" showAll="0"/>
  </pivotFields>
  <rowFields count="1">
    <field x="19"/>
  </rowFields>
  <rowItems count="80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t="grand">
      <x/>
    </i>
  </rowItems>
  <colItems count="1">
    <i/>
  </colItems>
  <dataFields count="1">
    <dataField name="Average of Total Energy Cost" fld="24" subtotal="average" baseField="19" baseItem="0" numFmtId="164"/>
  </dataFields>
  <formats count="44">
    <format dxfId="67">
      <pivotArea type="all" dataOnly="0" outline="0" fieldPosition="0"/>
    </format>
    <format dxfId="66">
      <pivotArea outline="0" collapsedLevelsAreSubtotals="1" fieldPosition="0"/>
    </format>
    <format dxfId="65">
      <pivotArea field="19" type="button" dataOnly="0" labelOnly="1" outline="0" axis="axisRow" fieldPosition="0"/>
    </format>
    <format dxfId="64">
      <pivotArea dataOnly="0" labelOnly="1" fieldPosition="0">
        <references count="1">
          <reference field="19"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63">
      <pivotArea dataOnly="0" labelOnly="1" fieldPosition="0">
        <references count="1">
          <reference field="19"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62">
      <pivotArea dataOnly="0" labelOnly="1" fieldPosition="0">
        <references count="1">
          <reference field="19"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61">
      <pivotArea dataOnly="0" labelOnly="1" fieldPosition="0">
        <references count="1">
          <reference field="19"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60">
      <pivotArea dataOnly="0" labelOnly="1" fieldPosition="0">
        <references count="1">
          <reference field="19"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59">
      <pivotArea dataOnly="0" labelOnly="1" fieldPosition="0">
        <references count="1">
          <reference field="19"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58">
      <pivotArea dataOnly="0" labelOnly="1" fieldPosition="0">
        <references count="1">
          <reference field="19"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57">
      <pivotArea dataOnly="0" labelOnly="1" fieldPosition="0">
        <references count="1">
          <reference field="19"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56">
      <pivotArea dataOnly="0" labelOnly="1" fieldPosition="0">
        <references count="1">
          <reference field="19"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55">
      <pivotArea dataOnly="0" labelOnly="1" fieldPosition="0">
        <references count="1">
          <reference field="19"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54">
      <pivotArea dataOnly="0" labelOnly="1" fieldPosition="0">
        <references count="1">
          <reference field="19"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53">
      <pivotArea dataOnly="0" labelOnly="1" fieldPosition="0">
        <references count="1">
          <reference field="19"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52">
      <pivotArea dataOnly="0" labelOnly="1" fieldPosition="0">
        <references count="1">
          <reference field="19"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51">
      <pivotArea dataOnly="0" labelOnly="1" fieldPosition="0">
        <references count="1">
          <reference field="19"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50">
      <pivotArea dataOnly="0" labelOnly="1" fieldPosition="0">
        <references count="1">
          <reference field="19"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49">
      <pivotArea dataOnly="0" labelOnly="1" fieldPosition="0">
        <references count="1">
          <reference field="19"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48">
      <pivotArea dataOnly="0" labelOnly="1" fieldPosition="0">
        <references count="1">
          <reference field="19" count="3">
            <x v="800"/>
            <x v="801"/>
            <x v="802"/>
          </reference>
        </references>
      </pivotArea>
    </format>
    <format dxfId="47">
      <pivotArea dataOnly="0" labelOnly="1" grandRow="1" outline="0" fieldPosition="0"/>
    </format>
    <format dxfId="46">
      <pivotArea dataOnly="0" labelOnly="1" outline="0" axis="axisValues" fieldPosition="0"/>
    </format>
    <format dxfId="45">
      <pivotArea type="all" dataOnly="0" outline="0" fieldPosition="0"/>
    </format>
    <format dxfId="44">
      <pivotArea outline="0" collapsedLevelsAreSubtotals="1" fieldPosition="0"/>
    </format>
    <format dxfId="43">
      <pivotArea field="19" type="button" dataOnly="0" labelOnly="1" outline="0" axis="axisRow" fieldPosition="0"/>
    </format>
    <format dxfId="42">
      <pivotArea dataOnly="0" labelOnly="1" fieldPosition="0">
        <references count="1">
          <reference field="19"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41">
      <pivotArea dataOnly="0" labelOnly="1" fieldPosition="0">
        <references count="1">
          <reference field="19"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40">
      <pivotArea dataOnly="0" labelOnly="1" fieldPosition="0">
        <references count="1">
          <reference field="19"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39">
      <pivotArea dataOnly="0" labelOnly="1" fieldPosition="0">
        <references count="1">
          <reference field="19"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38">
      <pivotArea dataOnly="0" labelOnly="1" fieldPosition="0">
        <references count="1">
          <reference field="19"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37">
      <pivotArea dataOnly="0" labelOnly="1" fieldPosition="0">
        <references count="1">
          <reference field="19"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36">
      <pivotArea dataOnly="0" labelOnly="1" fieldPosition="0">
        <references count="1">
          <reference field="19"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35">
      <pivotArea dataOnly="0" labelOnly="1" fieldPosition="0">
        <references count="1">
          <reference field="19"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34">
      <pivotArea dataOnly="0" labelOnly="1" fieldPosition="0">
        <references count="1">
          <reference field="19"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33">
      <pivotArea dataOnly="0" labelOnly="1" fieldPosition="0">
        <references count="1">
          <reference field="19"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32">
      <pivotArea dataOnly="0" labelOnly="1" fieldPosition="0">
        <references count="1">
          <reference field="19"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31">
      <pivotArea dataOnly="0" labelOnly="1" fieldPosition="0">
        <references count="1">
          <reference field="19"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30">
      <pivotArea dataOnly="0" labelOnly="1" fieldPosition="0">
        <references count="1">
          <reference field="19"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29">
      <pivotArea dataOnly="0" labelOnly="1" fieldPosition="0">
        <references count="1">
          <reference field="19"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28">
      <pivotArea dataOnly="0" labelOnly="1" fieldPosition="0">
        <references count="1">
          <reference field="19"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27">
      <pivotArea dataOnly="0" labelOnly="1" fieldPosition="0">
        <references count="1">
          <reference field="19"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26">
      <pivotArea dataOnly="0" labelOnly="1" fieldPosition="0">
        <references count="1">
          <reference field="19" count="3">
            <x v="800"/>
            <x v="801"/>
            <x v="802"/>
          </reference>
        </references>
      </pivotArea>
    </format>
    <format dxfId="25">
      <pivotArea dataOnly="0" labelOnly="1" grandRow="1" outline="0" fieldPosition="0"/>
    </format>
    <format dxfId="2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AC3AE5-1D36-4B7A-B4BF-EA833F31949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5:C16" firstHeaderRow="1" firstDataRow="1" firstDataCol="1"/>
  <pivotFields count="25">
    <pivotField showAll="0"/>
    <pivotField showAll="0">
      <items count="8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t="default"/>
      </items>
    </pivotField>
    <pivotField numFmtId="165" showAll="0"/>
    <pivotField numFmtId="165" showAll="0"/>
    <pivotField showAll="0">
      <items count="2">
        <item x="0"/>
        <item t="default"/>
      </items>
    </pivotField>
    <pivotField showAll="0">
      <items count="5">
        <item x="1"/>
        <item x="3"/>
        <item x="2"/>
        <item x="0"/>
        <item t="default"/>
      </items>
    </pivotField>
    <pivotField axis="axisRow" showAll="0" measureFilter="1" sortType="ascending">
      <items count="35">
        <item x="22"/>
        <item x="26"/>
        <item x="13"/>
        <item x="10"/>
        <item x="12"/>
        <item x="1"/>
        <item x="20"/>
        <item x="5"/>
        <item x="16"/>
        <item x="19"/>
        <item x="32"/>
        <item x="15"/>
        <item x="25"/>
        <item x="4"/>
        <item x="9"/>
        <item x="18"/>
        <item x="11"/>
        <item x="28"/>
        <item x="33"/>
        <item x="24"/>
        <item x="14"/>
        <item x="17"/>
        <item x="3"/>
        <item x="8"/>
        <item x="31"/>
        <item x="23"/>
        <item x="30"/>
        <item x="2"/>
        <item x="6"/>
        <item x="29"/>
        <item x="7"/>
        <item x="27"/>
        <item x="21"/>
        <item x="0"/>
        <item t="default"/>
      </items>
      <autoSortScope>
        <pivotArea dataOnly="0" outline="0" fieldPosition="0">
          <references count="1">
            <reference field="4294967294" count="1" selected="0">
              <x v="0"/>
            </reference>
          </references>
        </pivotArea>
      </autoSortScope>
    </pivotField>
    <pivotField numFmtId="49" showAll="0"/>
    <pivotField numFmtId="2" showAll="0"/>
    <pivotField numFmtId="2" showAll="0"/>
    <pivotField showAll="0"/>
    <pivotField numFmtId="2" showAll="0"/>
    <pivotField numFmtId="2" showAll="0"/>
    <pivotField numFmtId="2" showAll="0"/>
    <pivotField numFmtId="2" showAll="0"/>
    <pivotField numFmtId="2" showAll="0"/>
    <pivotField numFmtId="10" showAll="0"/>
    <pivotField numFmtId="10" showAll="0"/>
    <pivotField numFmtId="164" showAll="0"/>
    <pivotField numFmtId="2" showAll="0"/>
    <pivotField numFmtId="2" showAll="0"/>
    <pivotField numFmtId="164" showAll="0"/>
    <pivotField numFmtId="164" showAll="0"/>
    <pivotField numFmtId="164" showAll="0"/>
    <pivotField dataField="1" numFmtId="164" showAll="0"/>
  </pivotFields>
  <rowFields count="1">
    <field x="6"/>
  </rowFields>
  <rowItems count="11">
    <i>
      <x v="7"/>
    </i>
    <i>
      <x v="30"/>
    </i>
    <i>
      <x v="5"/>
    </i>
    <i>
      <x v="9"/>
    </i>
    <i>
      <x v="11"/>
    </i>
    <i>
      <x v="8"/>
    </i>
    <i>
      <x v="2"/>
    </i>
    <i>
      <x v="22"/>
    </i>
    <i>
      <x v="20"/>
    </i>
    <i>
      <x/>
    </i>
    <i t="grand">
      <x/>
    </i>
  </rowItems>
  <colItems count="1">
    <i/>
  </colItems>
  <dataFields count="1">
    <dataField name="Sum of Total Energy Cost" fld="24" baseField="6" baseItem="0">
      <extLst>
        <ext xmlns:x14="http://schemas.microsoft.com/office/spreadsheetml/2009/9/main" uri="{E15A36E0-9728-4e99-A89B-3F7291B0FE68}">
          <x14:dataField pivotShowAs="rankAscending"/>
        </ext>
      </extLst>
    </dataField>
  </dataFields>
  <formats count="12">
    <format dxfId="23">
      <pivotArea type="all" dataOnly="0" outline="0" fieldPosition="0"/>
    </format>
    <format dxfId="22">
      <pivotArea outline="0" collapsedLevelsAreSubtotals="1" fieldPosition="0"/>
    </format>
    <format dxfId="21">
      <pivotArea field="6" type="button" dataOnly="0" labelOnly="1" outline="0" axis="axisRow" fieldPosition="0"/>
    </format>
    <format dxfId="20">
      <pivotArea dataOnly="0" labelOnly="1" fieldPosition="0">
        <references count="1">
          <reference field="6" count="10">
            <x v="0"/>
            <x v="2"/>
            <x v="5"/>
            <x v="7"/>
            <x v="8"/>
            <x v="9"/>
            <x v="11"/>
            <x v="20"/>
            <x v="22"/>
            <x v="30"/>
          </reference>
        </references>
      </pivotArea>
    </format>
    <format dxfId="19">
      <pivotArea dataOnly="0" labelOnly="1" grandRow="1" outline="0" fieldPosition="0"/>
    </format>
    <format dxfId="18">
      <pivotArea dataOnly="0" labelOnly="1" outline="0" axis="axisValues" fieldPosition="0"/>
    </format>
    <format dxfId="17">
      <pivotArea type="all" dataOnly="0" outline="0" fieldPosition="0"/>
    </format>
    <format dxfId="16">
      <pivotArea outline="0" collapsedLevelsAreSubtotals="1" fieldPosition="0"/>
    </format>
    <format dxfId="15">
      <pivotArea field="6" type="button" dataOnly="0" labelOnly="1" outline="0" axis="axisRow" fieldPosition="0"/>
    </format>
    <format dxfId="14">
      <pivotArea dataOnly="0" labelOnly="1" fieldPosition="0">
        <references count="1">
          <reference field="6" count="10">
            <x v="0"/>
            <x v="2"/>
            <x v="5"/>
            <x v="7"/>
            <x v="8"/>
            <x v="9"/>
            <x v="11"/>
            <x v="20"/>
            <x v="22"/>
            <x v="30"/>
          </reference>
        </references>
      </pivotArea>
    </format>
    <format dxfId="13">
      <pivotArea dataOnly="0" labelOnly="1" grandRow="1" outline="0" fieldPosition="0"/>
    </format>
    <format dxfId="12">
      <pivotArea dataOnly="0" labelOnly="1" outline="0" axis="axisValues" fieldPosition="0"/>
    </format>
  </formats>
  <pivotTableStyleInfo name="PivotStyleLight16" showRowHeaders="1" showColHeaders="1" showRowStripes="0" showColStripes="0" showLastColumn="1"/>
  <filters count="1">
    <filter fld="6"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7A11D48-F72D-4CFC-BB42-210E15DA6C9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State">
  <location ref="B4:C9" firstHeaderRow="1" firstDataRow="1" firstDataCol="1"/>
  <pivotFields count="25">
    <pivotField showAll="0"/>
    <pivotField showAll="0"/>
    <pivotField numFmtId="165" showAll="0"/>
    <pivotField numFmtId="165" showAll="0"/>
    <pivotField showAll="0"/>
    <pivotField axis="axisRow" showAll="0">
      <items count="5">
        <item x="1"/>
        <item x="3"/>
        <item x="2"/>
        <item x="0"/>
        <item t="default"/>
      </items>
    </pivotField>
    <pivotField showAll="0"/>
    <pivotField numFmtId="49" showAll="0"/>
    <pivotField numFmtId="2" showAll="0"/>
    <pivotField numFmtId="2" showAll="0"/>
    <pivotField showAll="0"/>
    <pivotField numFmtId="2" showAll="0"/>
    <pivotField numFmtId="2" showAll="0"/>
    <pivotField numFmtId="2" showAll="0"/>
    <pivotField numFmtId="2" showAll="0"/>
    <pivotField numFmtId="2" showAll="0"/>
    <pivotField numFmtId="10" showAll="0"/>
    <pivotField numFmtId="10" showAll="0"/>
    <pivotField numFmtId="164" showAll="0"/>
    <pivotField numFmtId="2" showAll="0"/>
    <pivotField numFmtId="2" showAll="0"/>
    <pivotField numFmtId="164" showAll="0"/>
    <pivotField numFmtId="164" showAll="0"/>
    <pivotField dataField="1" numFmtId="164" showAll="0"/>
    <pivotField numFmtId="164" showAll="0"/>
  </pivotFields>
  <rowFields count="1">
    <field x="5"/>
  </rowFields>
  <rowItems count="5">
    <i>
      <x/>
    </i>
    <i>
      <x v="1"/>
    </i>
    <i>
      <x v="2"/>
    </i>
    <i>
      <x v="3"/>
    </i>
    <i t="grand">
      <x/>
    </i>
  </rowItems>
  <colItems count="1">
    <i/>
  </colItems>
  <dataFields count="1">
    <dataField name="Average of Transmission Cost" fld="23" subtotal="average" baseField="5" baseItem="0" numFmtId="164"/>
  </dataFields>
  <formats count="12">
    <format dxfId="11">
      <pivotArea type="all" dataOnly="0" outline="0" fieldPosition="0"/>
    </format>
    <format dxfId="10">
      <pivotArea outline="0" collapsedLevelsAreSubtotals="1" fieldPosition="0"/>
    </format>
    <format dxfId="9">
      <pivotArea field="5" type="button" dataOnly="0" labelOnly="1" outline="0" axis="axisRow" fieldPosition="0"/>
    </format>
    <format dxfId="8">
      <pivotArea dataOnly="0" labelOnly="1" fieldPosition="0">
        <references count="1">
          <reference field="5" count="0"/>
        </references>
      </pivotArea>
    </format>
    <format dxfId="7">
      <pivotArea dataOnly="0" labelOnly="1" grandRow="1" outline="0"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field="5" type="button" dataOnly="0" labelOnly="1" outline="0" axis="axisRow" fieldPosition="0"/>
    </format>
    <format dxfId="2">
      <pivotArea dataOnly="0" labelOnly="1" fieldPosition="0">
        <references count="1">
          <reference field="5" count="0"/>
        </references>
      </pivotArea>
    </format>
    <format dxfId="1">
      <pivotArea dataOnly="0" labelOnly="1" grandRow="1" outline="0"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32A09F-DC51-40DA-BE6A-5E3B50D3E01E}" name="Table1" displayName="Table1" ref="A1:Y861" totalsRowShown="0" headerRowDxfId="146" headerRowBorderDxfId="145" tableBorderDxfId="144" totalsRowBorderDxfId="143">
  <autoFilter ref="A1:Y861" xr:uid="{CA32A09F-DC51-40DA-BE6A-5E3B50D3E01E}"/>
  <sortState xmlns:xlrd2="http://schemas.microsoft.com/office/spreadsheetml/2017/richdata2" ref="A2:Y861">
    <sortCondition ref="B1:B861"/>
  </sortState>
  <tableColumns count="25">
    <tableColumn id="1" xr3:uid="{FE931EE6-4EFE-49A2-B4BE-7BDCBFABA04F}" name="S.No" dataDxfId="142"/>
    <tableColumn id="2" xr3:uid="{8BB90537-D197-458A-8BAF-3716538C970B}" name="Site ID" dataDxfId="141"/>
    <tableColumn id="3" xr3:uid="{CFE3F23A-6F6E-4A76-858F-DDD27C2435EE}" name="Latitude" dataDxfId="140"/>
    <tableColumn id="4" xr3:uid="{0738F353-58C5-44AE-A1EF-4BE9E5D35BFD}" name="Longitude" dataDxfId="139"/>
    <tableColumn id="5" xr3:uid="{D7DD6C51-E80D-4087-A2C0-48498D1230D4}" name="Country" dataDxfId="138"/>
    <tableColumn id="6" xr3:uid="{47DA6F06-F7D5-4681-ADD5-E3530E4EC170}" name="State" dataDxfId="137"/>
    <tableColumn id="7" xr3:uid="{A9807CFB-A23C-416A-A4DF-70C3F65AC6B4}" name="County" dataDxfId="136"/>
    <tableColumn id="8" xr3:uid="{E9174C2A-A541-48D9-85D9-6AFA41932EC9}" name="Time Zone" dataDxfId="135"/>
    <tableColumn id="9" xr3:uid="{19D1AC74-24B0-40F1-BB74-9DDB9B8D1E63}" name="Elevation (Mtrs)" dataDxfId="134" dataCellStyle="Comma"/>
    <tableColumn id="10" xr3:uid="{DDD57632-9FEE-4624-9CBD-49991054C230}" name="Solar _x000a_Resource" dataDxfId="133" dataCellStyle="Comma"/>
    <tableColumn id="27" xr3:uid="{64338685-B74D-4637-B6AD-B76E0E3E8A4F}" name="Resource Category" dataDxfId="132" dataCellStyle="Comma">
      <calculatedColumnFormula>IF(Table1[[#This Row],[Solar 
Resource]]&lt;3,"Low", IF(Table1[[#This Row],[Solar 
Resource]]&lt;4, "Moderate","High"))</calculatedColumnFormula>
    </tableColumn>
    <tableColumn id="11" xr3:uid="{888583AF-DACD-4DAC-BCA0-03E389B35627}" name="Regional Capacity _x000a_Multiplier" dataDxfId="131" dataCellStyle="Comma"/>
    <tableColumn id="12" xr3:uid="{1A263D24-BD3D-45E6-9756-BA30F44CBB3E}" name="Developable Area _x000a_(Sq.Km)" dataDxfId="130" dataCellStyle="Comma"/>
    <tableColumn id="13" xr3:uid="{7232B7EF-FFC8-4B8C-9EA6-C7E41B4180D4}" name="Installed Capacity _x000a_(AC -MW)" dataDxfId="129" dataCellStyle="Comma"/>
    <tableColumn id="14" xr3:uid="{0B724BC5-068C-49D2-B06C-782FFE84BEA6}" name="Installed Capacity _x000a_(DC -MW)" dataDxfId="128" dataCellStyle="Comma"/>
    <tableColumn id="25" xr3:uid="{1AB6A284-FE62-4EAD-9CEF-33AEA152B75C}" name="AC/ DC Ratio" dataDxfId="127" dataCellStyle="Comma">
      <calculatedColumnFormula>Table1[[#This Row],[Installed Capacity 
(AC -MW)]]/Table1[[#This Row],[Installed Capacity 
(DC -MW)]]</calculatedColumnFormula>
    </tableColumn>
    <tableColumn id="15" xr3:uid="{206ED9F0-CDDD-4DF8-86CD-608F8BCBBFF1}" name="Capacity Factor _x000a_(AC %)" dataDxfId="126" dataCellStyle="Comma"/>
    <tableColumn id="16" xr3:uid="{2684791B-8FE0-4B24-9E3B-E10E3DF1F064}" name="Capacity Factor _x000a_(DC %)" dataDxfId="125" dataCellStyle="Comma"/>
    <tableColumn id="17" xr3:uid="{D2732518-6593-4A0B-B7FC-12CEBA172663}" name="Generation Cost _x000a_LCOE (USD/MWh)" dataDxfId="124"/>
    <tableColumn id="18" xr3:uid="{447DCBEB-6909-4F67-B011-83D9942393E1}" name="Distance to _x000a_Grid (Km)" dataDxfId="123" dataCellStyle="Comma"/>
    <tableColumn id="19" xr3:uid="{CAAA6725-A357-4F60-A7FC-29FA4F347599}" name="Grid Reinforcement _x000a_Distance (Km)" dataDxfId="122" dataCellStyle="Comma"/>
    <tableColumn id="20" xr3:uid="{22F90C95-B0D0-4FB2-AF3C-2CE334A89181}" name="Grid Upgrade Cost _x000a_(USD/MW)" dataDxfId="121"/>
    <tableColumn id="21" xr3:uid="{CC574271-E89D-4972-8FDC-763843330314}" name="Total Transmission Cost _x000a_(USD/MW)" dataDxfId="120"/>
    <tableColumn id="22" xr3:uid="{69F87952-7602-406E-A784-DD3AE8C2B660}" name="Transmission Cost_x000a_LCOT (USD/MWh)" dataDxfId="119"/>
    <tableColumn id="23" xr3:uid="{44453966-5DC2-4994-B361-370EF7430314}" name="Total Energy Cost_x000a_(LCOE + LCOT)" dataDxfId="118">
      <calculatedColumnFormula>+Table1[[#This Row],[Generation Cost 
LCOE (USD/MWh)]]+Table1[[#This Row],[Transmission Cost
LCOT (USD/MWh)]]</calculatedColumnFormula>
    </tableColumn>
  </tableColumns>
  <tableStyleInfo name="TableStyleLight1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363B1-CC9D-4A79-B7C3-1B9FD683F237}">
  <dimension ref="A1:Y861"/>
  <sheetViews>
    <sheetView workbookViewId="0">
      <selection activeCell="H6" sqref="H6"/>
    </sheetView>
  </sheetViews>
  <sheetFormatPr defaultRowHeight="14.4" x14ac:dyDescent="0.3"/>
  <cols>
    <col min="1" max="1" width="7.21875" style="1" bestFit="1" customWidth="1"/>
    <col min="2" max="2" width="8.5546875" style="1" bestFit="1" customWidth="1"/>
    <col min="3" max="3" width="12.44140625" style="5" customWidth="1"/>
    <col min="4" max="4" width="13.88671875" style="5" customWidth="1"/>
    <col min="5" max="5" width="13.77734375" style="3" customWidth="1"/>
    <col min="6" max="6" width="12.88671875" style="3" customWidth="1"/>
    <col min="7" max="7" width="11.6640625" style="3" bestFit="1" customWidth="1"/>
    <col min="8" max="8" width="12" style="3" bestFit="1" customWidth="1"/>
    <col min="9" max="9" width="16.77734375" style="6" bestFit="1" customWidth="1"/>
    <col min="10" max="10" width="13.44140625" style="6" customWidth="1"/>
    <col min="11" max="11" width="13.109375" style="6" customWidth="1"/>
    <col min="12" max="12" width="18.44140625" style="6" customWidth="1"/>
    <col min="13" max="13" width="20.77734375" style="6" bestFit="1" customWidth="1"/>
    <col min="14" max="14" width="16.88671875" style="6" customWidth="1"/>
    <col min="15" max="16" width="17" style="6" customWidth="1"/>
    <col min="17" max="17" width="18.77734375" style="4" customWidth="1"/>
    <col min="18" max="18" width="18.88671875" style="4" customWidth="1"/>
    <col min="19" max="19" width="18.5546875" style="2" bestFit="1" customWidth="1"/>
    <col min="20" max="20" width="14.21875" style="6" customWidth="1"/>
    <col min="21" max="21" width="19.77734375" style="6" bestFit="1" customWidth="1"/>
    <col min="22" max="22" width="18.5546875" style="2" bestFit="1" customWidth="1"/>
    <col min="23" max="23" width="21" style="2" customWidth="1"/>
    <col min="24" max="24" width="18.5546875" style="2" bestFit="1" customWidth="1"/>
    <col min="25" max="25" width="24.77734375" style="2" customWidth="1"/>
  </cols>
  <sheetData>
    <row r="1" spans="1:25" s="1" customFormat="1" ht="28.8" x14ac:dyDescent="0.3">
      <c r="A1" s="52" t="s">
        <v>41</v>
      </c>
      <c r="B1" s="53" t="s">
        <v>43</v>
      </c>
      <c r="C1" s="54" t="s">
        <v>44</v>
      </c>
      <c r="D1" s="54" t="s">
        <v>45</v>
      </c>
      <c r="E1" s="55" t="s">
        <v>46</v>
      </c>
      <c r="F1" s="55" t="s">
        <v>0</v>
      </c>
      <c r="G1" s="55" t="s">
        <v>6</v>
      </c>
      <c r="H1" s="55" t="s">
        <v>47</v>
      </c>
      <c r="I1" s="56" t="s">
        <v>48</v>
      </c>
      <c r="J1" s="57" t="s">
        <v>61</v>
      </c>
      <c r="K1" s="57" t="s">
        <v>64</v>
      </c>
      <c r="L1" s="57" t="s">
        <v>60</v>
      </c>
      <c r="M1" s="57" t="s">
        <v>55</v>
      </c>
      <c r="N1" s="57" t="s">
        <v>56</v>
      </c>
      <c r="O1" s="57" t="s">
        <v>57</v>
      </c>
      <c r="P1" s="57" t="s">
        <v>63</v>
      </c>
      <c r="Q1" s="58" t="s">
        <v>58</v>
      </c>
      <c r="R1" s="58" t="s">
        <v>59</v>
      </c>
      <c r="S1" s="59" t="s">
        <v>49</v>
      </c>
      <c r="T1" s="57" t="s">
        <v>62</v>
      </c>
      <c r="U1" s="57" t="s">
        <v>50</v>
      </c>
      <c r="V1" s="59" t="s">
        <v>51</v>
      </c>
      <c r="W1" s="59" t="s">
        <v>52</v>
      </c>
      <c r="X1" s="59" t="s">
        <v>53</v>
      </c>
      <c r="Y1" s="60" t="s">
        <v>54</v>
      </c>
    </row>
    <row r="2" spans="1:25" x14ac:dyDescent="0.3">
      <c r="A2" s="7">
        <v>1</v>
      </c>
      <c r="B2" s="8">
        <v>416</v>
      </c>
      <c r="C2" s="9">
        <v>48.994427000000002</v>
      </c>
      <c r="D2" s="9">
        <v>-122.73455</v>
      </c>
      <c r="E2" s="10" t="s">
        <v>42</v>
      </c>
      <c r="F2" s="10" t="s">
        <v>4</v>
      </c>
      <c r="G2" s="10" t="s">
        <v>40</v>
      </c>
      <c r="H2" s="10">
        <v>-8</v>
      </c>
      <c r="I2" s="11">
        <v>23.2</v>
      </c>
      <c r="J2" s="11">
        <v>3.2631747999999998</v>
      </c>
      <c r="K2" s="11" t="str">
        <f>IF(Table1[[#This Row],[Solar 
Resource]]&lt;3,"Low", IF(Table1[[#This Row],[Solar 
Resource]]&lt;4, "Moderate","High"))</f>
        <v>Moderate</v>
      </c>
      <c r="L2" s="11">
        <v>1.0187165</v>
      </c>
      <c r="M2" s="11">
        <v>7.9333018620000004</v>
      </c>
      <c r="N2" s="11">
        <v>254.5761172</v>
      </c>
      <c r="O2" s="11">
        <v>341.13198</v>
      </c>
      <c r="P2" s="11">
        <f>Table1[[#This Row],[Installed Capacity 
(AC -MW)]]/Table1[[#This Row],[Installed Capacity 
(DC -MW)]]</f>
        <v>0.74626869401103935</v>
      </c>
      <c r="Q2" s="12">
        <v>0.18772335000000001</v>
      </c>
      <c r="R2" s="12">
        <v>0.14009205999999999</v>
      </c>
      <c r="S2" s="13">
        <v>52.399515530000002</v>
      </c>
      <c r="T2" s="11">
        <v>5.7727922060000001</v>
      </c>
      <c r="U2" s="11">
        <v>206.93962970000001</v>
      </c>
      <c r="V2" s="13">
        <v>711147.16330000001</v>
      </c>
      <c r="W2" s="13">
        <v>740416.25</v>
      </c>
      <c r="X2" s="13">
        <v>36.42521</v>
      </c>
      <c r="Y2" s="14">
        <f>+Table1[[#This Row],[Generation Cost 
LCOE (USD/MWh)]]+Table1[[#This Row],[Transmission Cost
LCOT (USD/MWh)]]</f>
        <v>88.824725529999995</v>
      </c>
    </row>
    <row r="3" spans="1:25" x14ac:dyDescent="0.3">
      <c r="A3" s="7">
        <v>2</v>
      </c>
      <c r="B3" s="8">
        <v>796</v>
      </c>
      <c r="C3" s="9">
        <v>48.900374999999997</v>
      </c>
      <c r="D3" s="9">
        <v>-122.68828600000001</v>
      </c>
      <c r="E3" s="10" t="s">
        <v>42</v>
      </c>
      <c r="F3" s="10" t="s">
        <v>4</v>
      </c>
      <c r="G3" s="10" t="s">
        <v>40</v>
      </c>
      <c r="H3" s="10">
        <v>-8</v>
      </c>
      <c r="I3" s="11">
        <v>39.705882350000003</v>
      </c>
      <c r="J3" s="11">
        <v>3.3171778000000001</v>
      </c>
      <c r="K3" s="11" t="str">
        <f>IF(Table1[[#This Row],[Solar 
Resource]]&lt;3,"Low", IF(Table1[[#This Row],[Solar 
Resource]]&lt;4, "Moderate","High"))</f>
        <v>Moderate</v>
      </c>
      <c r="L3" s="11">
        <v>1.0188096</v>
      </c>
      <c r="M3" s="11">
        <v>21.39866147</v>
      </c>
      <c r="N3" s="11">
        <v>686.67341769999996</v>
      </c>
      <c r="O3" s="11">
        <v>920.14244340000005</v>
      </c>
      <c r="P3" s="11">
        <f>Table1[[#This Row],[Installed Capacity 
(AC -MW)]]/Table1[[#This Row],[Installed Capacity 
(DC -MW)]]</f>
        <v>0.74626860506802262</v>
      </c>
      <c r="Q3" s="12">
        <v>0.19130403000000001</v>
      </c>
      <c r="R3" s="12">
        <v>0.14276420000000001</v>
      </c>
      <c r="S3" s="13">
        <v>51.422456169999997</v>
      </c>
      <c r="T3" s="11">
        <v>1.288233765</v>
      </c>
      <c r="U3" s="11">
        <v>204.6768375</v>
      </c>
      <c r="V3" s="13">
        <v>702294.37849999999</v>
      </c>
      <c r="W3" s="13">
        <v>727350.1</v>
      </c>
      <c r="X3" s="13">
        <v>35.112667000000002</v>
      </c>
      <c r="Y3" s="14">
        <f>+Table1[[#This Row],[Generation Cost 
LCOE (USD/MWh)]]+Table1[[#This Row],[Transmission Cost
LCOT (USD/MWh)]]</f>
        <v>86.535123169999991</v>
      </c>
    </row>
    <row r="4" spans="1:25" x14ac:dyDescent="0.3">
      <c r="A4" s="7">
        <v>3</v>
      </c>
      <c r="B4" s="8">
        <v>797</v>
      </c>
      <c r="C4" s="9">
        <v>48.927494000000003</v>
      </c>
      <c r="D4" s="9">
        <v>-122.52849999999999</v>
      </c>
      <c r="E4" s="10" t="s">
        <v>42</v>
      </c>
      <c r="F4" s="10" t="s">
        <v>4</v>
      </c>
      <c r="G4" s="10" t="s">
        <v>40</v>
      </c>
      <c r="H4" s="10">
        <v>-8</v>
      </c>
      <c r="I4" s="11">
        <v>28.055555559999998</v>
      </c>
      <c r="J4" s="11">
        <v>3.2327954999999999</v>
      </c>
      <c r="K4" s="11" t="str">
        <f>IF(Table1[[#This Row],[Solar 
Resource]]&lt;3,"Low", IF(Table1[[#This Row],[Solar 
Resource]]&lt;4, "Moderate","High"))</f>
        <v>Moderate</v>
      </c>
      <c r="L4" s="11">
        <v>1.0162028000000001</v>
      </c>
      <c r="M4" s="11">
        <v>14.64204529</v>
      </c>
      <c r="N4" s="11">
        <v>469.85664459999998</v>
      </c>
      <c r="O4" s="11">
        <v>629.60794739999994</v>
      </c>
      <c r="P4" s="11">
        <f>Table1[[#This Row],[Installed Capacity 
(AC -MW)]]/Table1[[#This Row],[Installed Capacity 
(DC -MW)]]</f>
        <v>0.74626860499505832</v>
      </c>
      <c r="Q4" s="12">
        <v>0.18551946</v>
      </c>
      <c r="R4" s="12">
        <v>0.13844734</v>
      </c>
      <c r="S4" s="13">
        <v>52.918499359999998</v>
      </c>
      <c r="T4" s="11">
        <v>1.213675324</v>
      </c>
      <c r="U4" s="11">
        <v>203.65860380000001</v>
      </c>
      <c r="V4" s="13">
        <v>695817.72990000003</v>
      </c>
      <c r="W4" s="13">
        <v>739177.8</v>
      </c>
      <c r="X4" s="13">
        <v>36.796275999999999</v>
      </c>
      <c r="Y4" s="14">
        <f>+Table1[[#This Row],[Generation Cost 
LCOE (USD/MWh)]]+Table1[[#This Row],[Transmission Cost
LCOT (USD/MWh)]]</f>
        <v>89.714775360000004</v>
      </c>
    </row>
    <row r="5" spans="1:25" x14ac:dyDescent="0.3">
      <c r="A5" s="7">
        <v>4</v>
      </c>
      <c r="B5" s="8">
        <v>798</v>
      </c>
      <c r="C5" s="9">
        <v>48.954459999999997</v>
      </c>
      <c r="D5" s="9">
        <v>-122.36857000000001</v>
      </c>
      <c r="E5" s="10" t="s">
        <v>42</v>
      </c>
      <c r="F5" s="10" t="s">
        <v>4</v>
      </c>
      <c r="G5" s="10" t="s">
        <v>40</v>
      </c>
      <c r="H5" s="10">
        <v>-8</v>
      </c>
      <c r="I5" s="11">
        <v>32</v>
      </c>
      <c r="J5" s="11">
        <v>3.1593312999999998</v>
      </c>
      <c r="K5" s="11" t="str">
        <f>IF(Table1[[#This Row],[Solar 
Resource]]&lt;3,"Low", IF(Table1[[#This Row],[Solar 
Resource]]&lt;4, "Moderate","High"))</f>
        <v>Moderate</v>
      </c>
      <c r="L5" s="11">
        <v>1.0157673</v>
      </c>
      <c r="M5" s="11">
        <v>15.599789210000001</v>
      </c>
      <c r="N5" s="11">
        <v>500.59027559999998</v>
      </c>
      <c r="O5" s="11">
        <v>670.79093599999999</v>
      </c>
      <c r="P5" s="11">
        <f>Table1[[#This Row],[Installed Capacity 
(AC -MW)]]/Table1[[#This Row],[Installed Capacity 
(DC -MW)]]</f>
        <v>0.74626869376780014</v>
      </c>
      <c r="Q5" s="12">
        <v>0.18066468999999999</v>
      </c>
      <c r="R5" s="12">
        <v>0.13482441000000001</v>
      </c>
      <c r="S5" s="13">
        <v>54.32209495</v>
      </c>
      <c r="T5" s="11">
        <v>1.3036753240000001</v>
      </c>
      <c r="U5" s="11">
        <v>219.27072709999999</v>
      </c>
      <c r="V5" s="13">
        <v>739817.25899999996</v>
      </c>
      <c r="W5" s="13">
        <v>787049.8</v>
      </c>
      <c r="X5" s="13">
        <v>40.23216</v>
      </c>
      <c r="Y5" s="14">
        <f>+Table1[[#This Row],[Generation Cost 
LCOE (USD/MWh)]]+Table1[[#This Row],[Transmission Cost
LCOT (USD/MWh)]]</f>
        <v>94.554254950000001</v>
      </c>
    </row>
    <row r="6" spans="1:25" x14ac:dyDescent="0.3">
      <c r="A6" s="7">
        <v>5</v>
      </c>
      <c r="B6" s="8">
        <v>799</v>
      </c>
      <c r="C6" s="9">
        <v>48.981265999999998</v>
      </c>
      <c r="D6" s="9">
        <v>-122.20847999999999</v>
      </c>
      <c r="E6" s="10" t="s">
        <v>42</v>
      </c>
      <c r="F6" s="10" t="s">
        <v>4</v>
      </c>
      <c r="G6" s="10" t="s">
        <v>40</v>
      </c>
      <c r="H6" s="10">
        <v>-8</v>
      </c>
      <c r="I6" s="11">
        <v>277.81818179999999</v>
      </c>
      <c r="J6" s="11">
        <v>3.0674891</v>
      </c>
      <c r="K6" s="11" t="str">
        <f>IF(Table1[[#This Row],[Solar 
Resource]]&lt;3,"Low", IF(Table1[[#This Row],[Solar 
Resource]]&lt;4, "Moderate","High"))</f>
        <v>Moderate</v>
      </c>
      <c r="L6" s="11">
        <v>1.0153416</v>
      </c>
      <c r="M6" s="11">
        <v>13.46284863</v>
      </c>
      <c r="N6" s="11">
        <v>432.01670319999999</v>
      </c>
      <c r="O6" s="11">
        <v>578.90249119999999</v>
      </c>
      <c r="P6" s="11">
        <f>Table1[[#This Row],[Installed Capacity 
(AC -MW)]]/Table1[[#This Row],[Installed Capacity 
(DC -MW)]]</f>
        <v>0.74626851631693236</v>
      </c>
      <c r="Q6" s="12">
        <v>0.17470738</v>
      </c>
      <c r="R6" s="12">
        <v>0.13037863</v>
      </c>
      <c r="S6" s="13">
        <v>56.155791460000003</v>
      </c>
      <c r="T6" s="11">
        <v>1.44</v>
      </c>
      <c r="U6" s="11">
        <v>233.74373360000001</v>
      </c>
      <c r="V6" s="13">
        <v>775850.31030000001</v>
      </c>
      <c r="W6" s="13">
        <v>820063.1</v>
      </c>
      <c r="X6" s="13">
        <v>43.349136000000001</v>
      </c>
      <c r="Y6" s="14">
        <f>+Table1[[#This Row],[Generation Cost 
LCOE (USD/MWh)]]+Table1[[#This Row],[Transmission Cost
LCOT (USD/MWh)]]</f>
        <v>99.504927460000005</v>
      </c>
    </row>
    <row r="7" spans="1:25" x14ac:dyDescent="0.3">
      <c r="A7" s="7">
        <v>6</v>
      </c>
      <c r="B7" s="8">
        <v>1176</v>
      </c>
      <c r="C7" s="9">
        <v>48.806323999999996</v>
      </c>
      <c r="D7" s="9">
        <v>-122.64218</v>
      </c>
      <c r="E7" s="10" t="s">
        <v>42</v>
      </c>
      <c r="F7" s="10" t="s">
        <v>4</v>
      </c>
      <c r="G7" s="10" t="s">
        <v>40</v>
      </c>
      <c r="H7" s="10">
        <v>-8</v>
      </c>
      <c r="I7" s="11">
        <v>34.454545449999998</v>
      </c>
      <c r="J7" s="11">
        <v>3.3250651000000002</v>
      </c>
      <c r="K7" s="11" t="str">
        <f>IF(Table1[[#This Row],[Solar 
Resource]]&lt;3,"Low", IF(Table1[[#This Row],[Solar 
Resource]]&lt;4, "Moderate","High"))</f>
        <v>Moderate</v>
      </c>
      <c r="L7" s="11">
        <v>1.0189771999999999</v>
      </c>
      <c r="M7" s="11">
        <v>18.44928853</v>
      </c>
      <c r="N7" s="11">
        <v>592.02936690000001</v>
      </c>
      <c r="O7" s="11">
        <v>793.31940659999998</v>
      </c>
      <c r="P7" s="11">
        <f>Table1[[#This Row],[Installed Capacity 
(AC -MW)]]/Table1[[#This Row],[Installed Capacity 
(DC -MW)]]</f>
        <v>0.7462686050216687</v>
      </c>
      <c r="Q7" s="12">
        <v>0.19148709999999999</v>
      </c>
      <c r="R7" s="12">
        <v>0.14290079999999999</v>
      </c>
      <c r="S7" s="13">
        <v>51.379993380000002</v>
      </c>
      <c r="T7" s="11">
        <v>2.9982337650000002</v>
      </c>
      <c r="U7" s="11">
        <v>187.34082459999999</v>
      </c>
      <c r="V7" s="13">
        <v>656295.37690000003</v>
      </c>
      <c r="W7" s="13">
        <v>689508.44</v>
      </c>
      <c r="X7" s="13">
        <v>33.254044</v>
      </c>
      <c r="Y7" s="14">
        <f>+Table1[[#This Row],[Generation Cost 
LCOE (USD/MWh)]]+Table1[[#This Row],[Transmission Cost
LCOT (USD/MWh)]]</f>
        <v>84.634037379999995</v>
      </c>
    </row>
    <row r="8" spans="1:25" x14ac:dyDescent="0.3">
      <c r="A8" s="7">
        <v>7</v>
      </c>
      <c r="B8" s="8">
        <v>1177</v>
      </c>
      <c r="C8" s="9">
        <v>48.833393000000001</v>
      </c>
      <c r="D8" s="9">
        <v>-122.48265000000001</v>
      </c>
      <c r="E8" s="10" t="s">
        <v>42</v>
      </c>
      <c r="F8" s="10" t="s">
        <v>4</v>
      </c>
      <c r="G8" s="10" t="s">
        <v>40</v>
      </c>
      <c r="H8" s="10">
        <v>-8</v>
      </c>
      <c r="I8" s="11">
        <v>45.473684210000002</v>
      </c>
      <c r="J8" s="11">
        <v>3.2710149999999998</v>
      </c>
      <c r="K8" s="11" t="str">
        <f>IF(Table1[[#This Row],[Solar 
Resource]]&lt;3,"Low", IF(Table1[[#This Row],[Solar 
Resource]]&lt;4, "Moderate","High"))</f>
        <v>Moderate</v>
      </c>
      <c r="L8" s="11">
        <v>1.0165848</v>
      </c>
      <c r="M8" s="11">
        <v>24.48103381</v>
      </c>
      <c r="N8" s="11">
        <v>785.58545240000001</v>
      </c>
      <c r="O8" s="11">
        <v>1052.684454</v>
      </c>
      <c r="P8" s="11">
        <f>Table1[[#This Row],[Installed Capacity 
(AC -MW)]]/Table1[[#This Row],[Installed Capacity 
(DC -MW)]]</f>
        <v>0.74626869373336446</v>
      </c>
      <c r="Q8" s="12">
        <v>0.18753618</v>
      </c>
      <c r="R8" s="12">
        <v>0.13995237999999999</v>
      </c>
      <c r="S8" s="13">
        <v>52.364977449999998</v>
      </c>
      <c r="T8" s="11">
        <v>0.21727922099999999</v>
      </c>
      <c r="U8" s="11">
        <v>178.7961233</v>
      </c>
      <c r="V8" s="13">
        <v>631027.03870000003</v>
      </c>
      <c r="W8" s="13">
        <v>667587.06000000006</v>
      </c>
      <c r="X8" s="13">
        <v>32.875114000000004</v>
      </c>
      <c r="Y8" s="14">
        <f>+Table1[[#This Row],[Generation Cost 
LCOE (USD/MWh)]]+Table1[[#This Row],[Transmission Cost
LCOT (USD/MWh)]]</f>
        <v>85.240091449999994</v>
      </c>
    </row>
    <row r="9" spans="1:25" x14ac:dyDescent="0.3">
      <c r="A9" s="7">
        <v>8</v>
      </c>
      <c r="B9" s="8">
        <v>1178</v>
      </c>
      <c r="C9" s="9">
        <v>48.860309999999998</v>
      </c>
      <c r="D9" s="9">
        <v>-122.32295000000001</v>
      </c>
      <c r="E9" s="10" t="s">
        <v>42</v>
      </c>
      <c r="F9" s="10" t="s">
        <v>4</v>
      </c>
      <c r="G9" s="10" t="s">
        <v>40</v>
      </c>
      <c r="H9" s="10">
        <v>-8</v>
      </c>
      <c r="I9" s="11">
        <v>120.47368419999999</v>
      </c>
      <c r="J9" s="11">
        <v>3.1393764000000002</v>
      </c>
      <c r="K9" s="11" t="str">
        <f>IF(Table1[[#This Row],[Solar 
Resource]]&lt;3,"Low", IF(Table1[[#This Row],[Solar 
Resource]]&lt;4, "Moderate","High"))</f>
        <v>Moderate</v>
      </c>
      <c r="L9" s="11">
        <v>1.0161762999999999</v>
      </c>
      <c r="M9" s="11">
        <v>23.710883200000001</v>
      </c>
      <c r="N9" s="11">
        <v>760.87175339999999</v>
      </c>
      <c r="O9" s="11">
        <v>1019.567978</v>
      </c>
      <c r="P9" s="11">
        <f>Table1[[#This Row],[Installed Capacity 
(AC -MW)]]/Table1[[#This Row],[Installed Capacity 
(DC -MW)]]</f>
        <v>0.74626878228613802</v>
      </c>
      <c r="Q9" s="12">
        <v>0.17926739</v>
      </c>
      <c r="R9" s="12">
        <v>0.13378163000000001</v>
      </c>
      <c r="S9" s="13">
        <v>54.762945209999998</v>
      </c>
      <c r="T9" s="11">
        <v>3.1383051919999998</v>
      </c>
      <c r="U9" s="11">
        <v>185.1062661</v>
      </c>
      <c r="V9" s="13">
        <v>661113.83660000004</v>
      </c>
      <c r="W9" s="13">
        <v>699723.5</v>
      </c>
      <c r="X9" s="13">
        <v>36.047035000000001</v>
      </c>
      <c r="Y9" s="14">
        <f>+Table1[[#This Row],[Generation Cost 
LCOE (USD/MWh)]]+Table1[[#This Row],[Transmission Cost
LCOT (USD/MWh)]]</f>
        <v>90.809980209999992</v>
      </c>
    </row>
    <row r="10" spans="1:25" x14ac:dyDescent="0.3">
      <c r="A10" s="7">
        <v>9</v>
      </c>
      <c r="B10" s="8">
        <v>1179</v>
      </c>
      <c r="C10" s="9">
        <v>48.887065999999997</v>
      </c>
      <c r="D10" s="9">
        <v>-122.16312000000001</v>
      </c>
      <c r="E10" s="10" t="s">
        <v>42</v>
      </c>
      <c r="F10" s="10" t="s">
        <v>4</v>
      </c>
      <c r="G10" s="10" t="s">
        <v>40</v>
      </c>
      <c r="H10" s="10">
        <v>-8</v>
      </c>
      <c r="I10" s="11">
        <v>378.7692308</v>
      </c>
      <c r="J10" s="11">
        <v>3.0421472000000001</v>
      </c>
      <c r="K10" s="11" t="str">
        <f>IF(Table1[[#This Row],[Solar 
Resource]]&lt;3,"Low", IF(Table1[[#This Row],[Solar 
Resource]]&lt;4, "Moderate","High"))</f>
        <v>Moderate</v>
      </c>
      <c r="L10" s="11">
        <v>1.0157349</v>
      </c>
      <c r="M10" s="11">
        <v>9.1363135250000003</v>
      </c>
      <c r="N10" s="11">
        <v>293.1802247</v>
      </c>
      <c r="O10" s="11">
        <v>392.86148159999999</v>
      </c>
      <c r="P10" s="11">
        <f>Table1[[#This Row],[Installed Capacity 
(AC -MW)]]/Table1[[#This Row],[Installed Capacity 
(DC -MW)]]</f>
        <v>0.74626869375427207</v>
      </c>
      <c r="Q10" s="12">
        <v>0.17408624</v>
      </c>
      <c r="R10" s="12">
        <v>0.12991510000000001</v>
      </c>
      <c r="S10" s="13">
        <v>56.373401520000002</v>
      </c>
      <c r="T10" s="11">
        <v>4.7801428530000001</v>
      </c>
      <c r="U10" s="11">
        <v>245.92571409999999</v>
      </c>
      <c r="V10" s="13">
        <v>829809.56030000001</v>
      </c>
      <c r="W10" s="13">
        <v>910795.8</v>
      </c>
      <c r="X10" s="13">
        <v>48.317115999999999</v>
      </c>
      <c r="Y10" s="14">
        <f>+Table1[[#This Row],[Generation Cost 
LCOE (USD/MWh)]]+Table1[[#This Row],[Transmission Cost
LCOT (USD/MWh)]]</f>
        <v>104.69051752</v>
      </c>
    </row>
    <row r="11" spans="1:25" x14ac:dyDescent="0.3">
      <c r="A11" s="7">
        <v>10</v>
      </c>
      <c r="B11" s="8">
        <v>1180</v>
      </c>
      <c r="C11" s="9">
        <v>48.913665999999999</v>
      </c>
      <c r="D11" s="9">
        <v>-122.00313</v>
      </c>
      <c r="E11" s="10" t="s">
        <v>42</v>
      </c>
      <c r="F11" s="10" t="s">
        <v>4</v>
      </c>
      <c r="G11" s="10" t="s">
        <v>40</v>
      </c>
      <c r="H11" s="10">
        <v>-8</v>
      </c>
      <c r="I11" s="11">
        <v>606.4</v>
      </c>
      <c r="J11" s="11">
        <v>3.0298123000000001</v>
      </c>
      <c r="K11" s="11" t="str">
        <f>IF(Table1[[#This Row],[Solar 
Resource]]&lt;3,"Low", IF(Table1[[#This Row],[Solar 
Resource]]&lt;4, "Moderate","High"))</f>
        <v>Moderate</v>
      </c>
      <c r="L11" s="11">
        <v>1.0153867999999999</v>
      </c>
      <c r="M11" s="11">
        <v>2.77927196</v>
      </c>
      <c r="N11" s="11">
        <v>89.18558659</v>
      </c>
      <c r="O11" s="11">
        <v>119.5086943</v>
      </c>
      <c r="P11" s="11">
        <f>Table1[[#This Row],[Installed Capacity 
(AC -MW)]]/Table1[[#This Row],[Installed Capacity 
(DC -MW)]]</f>
        <v>0.74626860507838377</v>
      </c>
      <c r="Q11" s="12">
        <v>0.17149173000000001</v>
      </c>
      <c r="R11" s="12">
        <v>0.12797890000000001</v>
      </c>
      <c r="S11" s="13">
        <v>57.210780980000003</v>
      </c>
      <c r="T11" s="11">
        <v>11.18668181</v>
      </c>
      <c r="U11" s="11">
        <v>245.65571410000001</v>
      </c>
      <c r="V11" s="13">
        <v>828430.60950000002</v>
      </c>
      <c r="W11" s="13">
        <v>946710</v>
      </c>
      <c r="X11" s="13">
        <v>50.982154999999999</v>
      </c>
      <c r="Y11" s="14">
        <f>+Table1[[#This Row],[Generation Cost 
LCOE (USD/MWh)]]+Table1[[#This Row],[Transmission Cost
LCOT (USD/MWh)]]</f>
        <v>108.19293598</v>
      </c>
    </row>
    <row r="12" spans="1:25" x14ac:dyDescent="0.3">
      <c r="A12" s="7">
        <v>11</v>
      </c>
      <c r="B12" s="8">
        <v>1543</v>
      </c>
      <c r="C12" s="9">
        <v>48.34684</v>
      </c>
      <c r="D12" s="9">
        <v>-124.6527</v>
      </c>
      <c r="E12" s="10" t="s">
        <v>42</v>
      </c>
      <c r="F12" s="10" t="s">
        <v>4</v>
      </c>
      <c r="G12" s="10" t="s">
        <v>12</v>
      </c>
      <c r="H12" s="10">
        <v>-8</v>
      </c>
      <c r="I12" s="11">
        <v>174.7</v>
      </c>
      <c r="J12" s="11">
        <v>3.0531263000000002</v>
      </c>
      <c r="K12" s="11" t="str">
        <f>IF(Table1[[#This Row],[Solar 
Resource]]&lt;3,"Low", IF(Table1[[#This Row],[Solar 
Resource]]&lt;4, "Moderate","High"))</f>
        <v>Moderate</v>
      </c>
      <c r="L12" s="11">
        <v>1.021026</v>
      </c>
      <c r="M12" s="11">
        <v>7.0693560790000003</v>
      </c>
      <c r="N12" s="11">
        <v>226.85245549999999</v>
      </c>
      <c r="O12" s="11">
        <v>303.98231140000001</v>
      </c>
      <c r="P12" s="11">
        <f>Table1[[#This Row],[Installed Capacity 
(AC -MW)]]/Table1[[#This Row],[Installed Capacity 
(DC -MW)]]</f>
        <v>0.74626860508831561</v>
      </c>
      <c r="Q12" s="12">
        <v>0.17594834000000001</v>
      </c>
      <c r="R12" s="12">
        <v>0.13130473000000001</v>
      </c>
      <c r="S12" s="13">
        <v>56.00652281</v>
      </c>
      <c r="T12" s="11">
        <v>60.615603849999999</v>
      </c>
      <c r="U12" s="11">
        <v>388.43109709999999</v>
      </c>
      <c r="V12" s="13">
        <v>1474336.7749999999</v>
      </c>
      <c r="W12" s="13">
        <v>1811140.6</v>
      </c>
      <c r="X12" s="13">
        <v>95.062989999999999</v>
      </c>
      <c r="Y12" s="14">
        <f>+Table1[[#This Row],[Generation Cost 
LCOE (USD/MWh)]]+Table1[[#This Row],[Transmission Cost
LCOT (USD/MWh)]]</f>
        <v>151.06951280999999</v>
      </c>
    </row>
    <row r="13" spans="1:25" x14ac:dyDescent="0.3">
      <c r="A13" s="7">
        <v>12</v>
      </c>
      <c r="B13" s="8">
        <v>1557</v>
      </c>
      <c r="C13" s="9">
        <v>48.739296000000003</v>
      </c>
      <c r="D13" s="9">
        <v>-122.43693500000001</v>
      </c>
      <c r="E13" s="10" t="s">
        <v>42</v>
      </c>
      <c r="F13" s="10" t="s">
        <v>4</v>
      </c>
      <c r="G13" s="10" t="s">
        <v>40</v>
      </c>
      <c r="H13" s="10">
        <v>-8</v>
      </c>
      <c r="I13" s="11">
        <v>149.85714290000001</v>
      </c>
      <c r="J13" s="11">
        <v>3.2164359999999999</v>
      </c>
      <c r="K13" s="11" t="str">
        <f>IF(Table1[[#This Row],[Solar 
Resource]]&lt;3,"Low", IF(Table1[[#This Row],[Solar 
Resource]]&lt;4, "Moderate","High"))</f>
        <v>Moderate</v>
      </c>
      <c r="L13" s="11">
        <v>1.0169492</v>
      </c>
      <c r="M13" s="11">
        <v>10.401695289999999</v>
      </c>
      <c r="N13" s="11">
        <v>333.78580060000002</v>
      </c>
      <c r="O13" s="11">
        <v>447.27289739999998</v>
      </c>
      <c r="P13" s="11">
        <f>Table1[[#This Row],[Installed Capacity 
(AC -MW)]]/Table1[[#This Row],[Installed Capacity 
(DC -MW)]]</f>
        <v>0.74626878252695139</v>
      </c>
      <c r="Q13" s="12">
        <v>0.1852704</v>
      </c>
      <c r="R13" s="12">
        <v>0.13826150000000001</v>
      </c>
      <c r="S13" s="13">
        <v>53.020396179999999</v>
      </c>
      <c r="T13" s="11">
        <v>0.52455844100000004</v>
      </c>
      <c r="U13" s="11">
        <v>165.93937</v>
      </c>
      <c r="V13" s="13">
        <v>632969.7476</v>
      </c>
      <c r="W13" s="13">
        <v>657105.4</v>
      </c>
      <c r="X13" s="13">
        <v>32.75468</v>
      </c>
      <c r="Y13" s="14">
        <f>+Table1[[#This Row],[Generation Cost 
LCOE (USD/MWh)]]+Table1[[#This Row],[Transmission Cost
LCOT (USD/MWh)]]</f>
        <v>85.775076179999999</v>
      </c>
    </row>
    <row r="14" spans="1:25" x14ac:dyDescent="0.3">
      <c r="A14" s="7">
        <v>13</v>
      </c>
      <c r="B14" s="8">
        <v>1558</v>
      </c>
      <c r="C14" s="9">
        <v>48.766162999999999</v>
      </c>
      <c r="D14" s="9">
        <v>-122.2775</v>
      </c>
      <c r="E14" s="10" t="s">
        <v>42</v>
      </c>
      <c r="F14" s="10" t="s">
        <v>4</v>
      </c>
      <c r="G14" s="10" t="s">
        <v>40</v>
      </c>
      <c r="H14" s="10">
        <v>-8</v>
      </c>
      <c r="I14" s="11">
        <v>300.41176469999999</v>
      </c>
      <c r="J14" s="11">
        <v>3.1041460000000001</v>
      </c>
      <c r="K14" s="11" t="str">
        <f>IF(Table1[[#This Row],[Solar 
Resource]]&lt;3,"Low", IF(Table1[[#This Row],[Solar 
Resource]]&lt;4, "Moderate","High"))</f>
        <v>Moderate</v>
      </c>
      <c r="L14" s="11">
        <v>1.0166001</v>
      </c>
      <c r="M14" s="11">
        <v>12.17818784</v>
      </c>
      <c r="N14" s="11">
        <v>390.79261430000003</v>
      </c>
      <c r="O14" s="11">
        <v>523.6620772</v>
      </c>
      <c r="P14" s="11">
        <f>Table1[[#This Row],[Installed Capacity 
(AC -MW)]]/Table1[[#This Row],[Installed Capacity 
(DC -MW)]]</f>
        <v>0.74626869371475657</v>
      </c>
      <c r="Q14" s="12">
        <v>0.17776454999999999</v>
      </c>
      <c r="R14" s="12">
        <v>0.1326601</v>
      </c>
      <c r="S14" s="13">
        <v>55.244121489999998</v>
      </c>
      <c r="T14" s="11">
        <v>7.5456558390000001</v>
      </c>
      <c r="U14" s="11">
        <v>177.36781809999999</v>
      </c>
      <c r="V14" s="13">
        <v>634526.52480000001</v>
      </c>
      <c r="W14" s="13">
        <v>730549.94</v>
      </c>
      <c r="X14" s="13">
        <v>37.953265999999999</v>
      </c>
      <c r="Y14" s="14">
        <f>+Table1[[#This Row],[Generation Cost 
LCOE (USD/MWh)]]+Table1[[#This Row],[Transmission Cost
LCOT (USD/MWh)]]</f>
        <v>93.197387489999997</v>
      </c>
    </row>
    <row r="15" spans="1:25" x14ac:dyDescent="0.3">
      <c r="A15" s="7">
        <v>14</v>
      </c>
      <c r="B15" s="8">
        <v>1559</v>
      </c>
      <c r="C15" s="9">
        <v>48.792870000000001</v>
      </c>
      <c r="D15" s="9">
        <v>-122.11790499999999</v>
      </c>
      <c r="E15" s="10" t="s">
        <v>42</v>
      </c>
      <c r="F15" s="10" t="s">
        <v>4</v>
      </c>
      <c r="G15" s="10" t="s">
        <v>40</v>
      </c>
      <c r="H15" s="10">
        <v>-8</v>
      </c>
      <c r="I15" s="11">
        <v>395.06666669999998</v>
      </c>
      <c r="J15" s="11">
        <v>3.0398858</v>
      </c>
      <c r="K15" s="11" t="str">
        <f>IF(Table1[[#This Row],[Solar 
Resource]]&lt;3,"Low", IF(Table1[[#This Row],[Solar 
Resource]]&lt;4, "Moderate","High"))</f>
        <v>Moderate</v>
      </c>
      <c r="L15" s="11">
        <v>1.0161785999999999</v>
      </c>
      <c r="M15" s="11">
        <v>11.75439529</v>
      </c>
      <c r="N15" s="11">
        <v>377.19325550000002</v>
      </c>
      <c r="O15" s="11">
        <v>505.43899740000001</v>
      </c>
      <c r="P15" s="11">
        <f>Table1[[#This Row],[Installed Capacity 
(AC -MW)]]/Table1[[#This Row],[Installed Capacity 
(DC -MW)]]</f>
        <v>0.74626860499545622</v>
      </c>
      <c r="Q15" s="12">
        <v>0.17347014999999999</v>
      </c>
      <c r="R15" s="12">
        <v>0.12945533000000001</v>
      </c>
      <c r="S15" s="13">
        <v>56.593162020000001</v>
      </c>
      <c r="T15" s="11">
        <v>15.582337649999999</v>
      </c>
      <c r="U15" s="11">
        <v>185.1062661</v>
      </c>
      <c r="V15" s="13">
        <v>661113.83660000004</v>
      </c>
      <c r="W15" s="13">
        <v>769917.1</v>
      </c>
      <c r="X15" s="13">
        <v>40.98865</v>
      </c>
      <c r="Y15" s="14">
        <f>+Table1[[#This Row],[Generation Cost 
LCOE (USD/MWh)]]+Table1[[#This Row],[Transmission Cost
LCOT (USD/MWh)]]</f>
        <v>97.581812020000001</v>
      </c>
    </row>
    <row r="16" spans="1:25" x14ac:dyDescent="0.3">
      <c r="A16" s="7">
        <v>15</v>
      </c>
      <c r="B16" s="8">
        <v>1560</v>
      </c>
      <c r="C16" s="9">
        <v>48.819420000000001</v>
      </c>
      <c r="D16" s="9">
        <v>-121.95815</v>
      </c>
      <c r="E16" s="10" t="s">
        <v>42</v>
      </c>
      <c r="F16" s="10" t="s">
        <v>4</v>
      </c>
      <c r="G16" s="10" t="s">
        <v>40</v>
      </c>
      <c r="H16" s="10">
        <v>-8</v>
      </c>
      <c r="I16" s="11">
        <v>1070.2</v>
      </c>
      <c r="J16" s="11">
        <v>3.0986549999999999</v>
      </c>
      <c r="K16" s="11" t="str">
        <f>IF(Table1[[#This Row],[Solar 
Resource]]&lt;3,"Low", IF(Table1[[#This Row],[Solar 
Resource]]&lt;4, "Moderate","High"))</f>
        <v>Moderate</v>
      </c>
      <c r="L16" s="11">
        <v>1.0156014</v>
      </c>
      <c r="M16" s="11">
        <v>0.17657999399999999</v>
      </c>
      <c r="N16" s="11">
        <v>5.6663725439999997</v>
      </c>
      <c r="O16" s="11">
        <v>7.5929397339999998</v>
      </c>
      <c r="P16" s="11">
        <f>Table1[[#This Row],[Installed Capacity 
(AC -MW)]]/Table1[[#This Row],[Installed Capacity 
(DC -MW)]]</f>
        <v>0.74626860511309834</v>
      </c>
      <c r="Q16" s="12">
        <v>0.17903160000000001</v>
      </c>
      <c r="R16" s="12">
        <v>0.13360567000000001</v>
      </c>
      <c r="S16" s="13">
        <v>72.21615654</v>
      </c>
      <c r="T16" s="11">
        <v>21.380714269999999</v>
      </c>
      <c r="U16" s="11">
        <v>245.92571409999999</v>
      </c>
      <c r="V16" s="13">
        <v>829809.56030000001</v>
      </c>
      <c r="W16" s="13">
        <v>1038321.25</v>
      </c>
      <c r="X16" s="13">
        <v>53.560726000000003</v>
      </c>
      <c r="Y16" s="14">
        <f>+Table1[[#This Row],[Generation Cost 
LCOE (USD/MWh)]]+Table1[[#This Row],[Transmission Cost
LCOT (USD/MWh)]]</f>
        <v>125.77688254</v>
      </c>
    </row>
    <row r="17" spans="1:25" x14ac:dyDescent="0.3">
      <c r="A17" s="7">
        <v>16</v>
      </c>
      <c r="B17" s="8">
        <v>1923</v>
      </c>
      <c r="C17" s="9">
        <v>48.253456</v>
      </c>
      <c r="D17" s="9">
        <v>-124.603775</v>
      </c>
      <c r="E17" s="10" t="s">
        <v>42</v>
      </c>
      <c r="F17" s="10" t="s">
        <v>4</v>
      </c>
      <c r="G17" s="10" t="s">
        <v>12</v>
      </c>
      <c r="H17" s="10">
        <v>-8</v>
      </c>
      <c r="I17" s="11">
        <v>190.06666670000001</v>
      </c>
      <c r="J17" s="11">
        <v>2.9862305999999998</v>
      </c>
      <c r="K17" s="11" t="str">
        <f>IF(Table1[[#This Row],[Solar 
Resource]]&lt;3,"Low", IF(Table1[[#This Row],[Solar 
Resource]]&lt;4, "Moderate","High"))</f>
        <v>Low</v>
      </c>
      <c r="L17" s="11">
        <v>1.0210224000000001</v>
      </c>
      <c r="M17" s="11">
        <v>25.923887839999999</v>
      </c>
      <c r="N17" s="11">
        <v>831.88589560000003</v>
      </c>
      <c r="O17" s="11">
        <v>1114.727177</v>
      </c>
      <c r="P17" s="11">
        <f>Table1[[#This Row],[Installed Capacity 
(AC -MW)]]/Table1[[#This Row],[Installed Capacity 
(DC -MW)]]</f>
        <v>0.74626860523738714</v>
      </c>
      <c r="Q17" s="12">
        <v>0.17180656</v>
      </c>
      <c r="R17" s="12">
        <v>0.12821384999999999</v>
      </c>
      <c r="S17" s="13">
        <v>57.356525439999999</v>
      </c>
      <c r="T17" s="11">
        <v>35.947467500000002</v>
      </c>
      <c r="U17" s="11">
        <v>388.43109709999999</v>
      </c>
      <c r="V17" s="13">
        <v>1474336.7749999999</v>
      </c>
      <c r="W17" s="13">
        <v>1754492</v>
      </c>
      <c r="X17" s="13">
        <v>94.309629999999999</v>
      </c>
      <c r="Y17" s="14">
        <f>+Table1[[#This Row],[Generation Cost 
LCOE (USD/MWh)]]+Table1[[#This Row],[Transmission Cost
LCOT (USD/MWh)]]</f>
        <v>151.66615544000001</v>
      </c>
    </row>
    <row r="18" spans="1:25" x14ac:dyDescent="0.3">
      <c r="A18" s="7">
        <v>17</v>
      </c>
      <c r="B18" s="8">
        <v>1924</v>
      </c>
      <c r="C18" s="9">
        <v>48.282443999999998</v>
      </c>
      <c r="D18" s="9">
        <v>-124.44678</v>
      </c>
      <c r="E18" s="10" t="s">
        <v>42</v>
      </c>
      <c r="F18" s="10" t="s">
        <v>4</v>
      </c>
      <c r="G18" s="10" t="s">
        <v>12</v>
      </c>
      <c r="H18" s="10">
        <v>-8</v>
      </c>
      <c r="I18" s="11">
        <v>201.92857140000001</v>
      </c>
      <c r="J18" s="11">
        <v>3.0754535000000001</v>
      </c>
      <c r="K18" s="11" t="str">
        <f>IF(Table1[[#This Row],[Solar 
Resource]]&lt;3,"Low", IF(Table1[[#This Row],[Solar 
Resource]]&lt;4, "Moderate","High"))</f>
        <v>Moderate</v>
      </c>
      <c r="L18" s="11">
        <v>1.0208545</v>
      </c>
      <c r="M18" s="11">
        <v>9.3340348019999997</v>
      </c>
      <c r="N18" s="11">
        <v>299.52501230000001</v>
      </c>
      <c r="O18" s="11">
        <v>401.3634965</v>
      </c>
      <c r="P18" s="11">
        <f>Table1[[#This Row],[Installed Capacity 
(AC -MW)]]/Table1[[#This Row],[Installed Capacity 
(DC -MW)]]</f>
        <v>0.74626869386962302</v>
      </c>
      <c r="Q18" s="12">
        <v>0.17783252999999999</v>
      </c>
      <c r="R18" s="12">
        <v>0.13271084</v>
      </c>
      <c r="S18" s="13">
        <v>55.405744060000004</v>
      </c>
      <c r="T18" s="11">
        <v>33.230928550000002</v>
      </c>
      <c r="U18" s="11">
        <v>388.43109709999999</v>
      </c>
      <c r="V18" s="13">
        <v>1474336.7749999999</v>
      </c>
      <c r="W18" s="13">
        <v>1732423.8</v>
      </c>
      <c r="X18" s="13">
        <v>89.967839999999995</v>
      </c>
      <c r="Y18" s="14">
        <f>+Table1[[#This Row],[Generation Cost 
LCOE (USD/MWh)]]+Table1[[#This Row],[Transmission Cost
LCOT (USD/MWh)]]</f>
        <v>145.37358405999998</v>
      </c>
    </row>
    <row r="19" spans="1:25" x14ac:dyDescent="0.3">
      <c r="A19" s="7">
        <v>18</v>
      </c>
      <c r="B19" s="8">
        <v>1937</v>
      </c>
      <c r="C19" s="9">
        <v>48.645203000000002</v>
      </c>
      <c r="D19" s="9">
        <v>-122.39136999999999</v>
      </c>
      <c r="E19" s="10" t="s">
        <v>42</v>
      </c>
      <c r="F19" s="10" t="s">
        <v>4</v>
      </c>
      <c r="G19" s="10" t="s">
        <v>40</v>
      </c>
      <c r="H19" s="10">
        <v>-8</v>
      </c>
      <c r="I19" s="11">
        <v>235.64285709999999</v>
      </c>
      <c r="J19" s="11">
        <v>3.1365492000000001</v>
      </c>
      <c r="K19" s="11" t="str">
        <f>IF(Table1[[#This Row],[Solar 
Resource]]&lt;3,"Low", IF(Table1[[#This Row],[Solar 
Resource]]&lt;4, "Moderate","High"))</f>
        <v>Moderate</v>
      </c>
      <c r="L19" s="11">
        <v>1.017479</v>
      </c>
      <c r="M19" s="11">
        <v>12.324149999999999</v>
      </c>
      <c r="N19" s="11">
        <v>395.47642789999998</v>
      </c>
      <c r="O19" s="11">
        <v>529.93844999999999</v>
      </c>
      <c r="P19" s="11">
        <f>Table1[[#This Row],[Installed Capacity 
(AC -MW)]]/Table1[[#This Row],[Installed Capacity 
(DC -MW)]]</f>
        <v>0.7462686051559384</v>
      </c>
      <c r="Q19" s="12">
        <v>0.1809962</v>
      </c>
      <c r="R19" s="12">
        <v>0.13507178</v>
      </c>
      <c r="S19" s="13">
        <v>54.2948314</v>
      </c>
      <c r="T19" s="11">
        <v>0.56183766199999996</v>
      </c>
      <c r="U19" s="11">
        <v>152.350922</v>
      </c>
      <c r="V19" s="13">
        <v>560524.66029999999</v>
      </c>
      <c r="W19" s="13">
        <v>602696.80000000005</v>
      </c>
      <c r="X19" s="13">
        <v>30.752037000000001</v>
      </c>
      <c r="Y19" s="14">
        <f>+Table1[[#This Row],[Generation Cost 
LCOE (USD/MWh)]]+Table1[[#This Row],[Transmission Cost
LCOT (USD/MWh)]]</f>
        <v>85.046868399999994</v>
      </c>
    </row>
    <row r="20" spans="1:25" x14ac:dyDescent="0.3">
      <c r="A20" s="7">
        <v>19</v>
      </c>
      <c r="B20" s="8">
        <v>1938</v>
      </c>
      <c r="C20" s="9">
        <v>48.672020000000003</v>
      </c>
      <c r="D20" s="9">
        <v>-122.232185</v>
      </c>
      <c r="E20" s="10" t="s">
        <v>42</v>
      </c>
      <c r="F20" s="10" t="s">
        <v>4</v>
      </c>
      <c r="G20" s="10" t="s">
        <v>40</v>
      </c>
      <c r="H20" s="10">
        <v>-8</v>
      </c>
      <c r="I20" s="11">
        <v>338.17647060000002</v>
      </c>
      <c r="J20" s="11">
        <v>3.0518155</v>
      </c>
      <c r="K20" s="11" t="str">
        <f>IF(Table1[[#This Row],[Solar 
Resource]]&lt;3,"Low", IF(Table1[[#This Row],[Solar 
Resource]]&lt;4, "Moderate","High"))</f>
        <v>Moderate</v>
      </c>
      <c r="L20" s="11">
        <v>1.0171176</v>
      </c>
      <c r="M20" s="11">
        <v>9.6176158810000008</v>
      </c>
      <c r="N20" s="11">
        <v>308.62496590000001</v>
      </c>
      <c r="O20" s="11">
        <v>413.55748290000002</v>
      </c>
      <c r="P20" s="11">
        <f>Table1[[#This Row],[Installed Capacity 
(AC -MW)]]/Table1[[#This Row],[Installed Capacity 
(DC -MW)]]</f>
        <v>0.74626860511825599</v>
      </c>
      <c r="Q20" s="12">
        <v>0.17457344999999999</v>
      </c>
      <c r="R20" s="12">
        <v>0.13027869</v>
      </c>
      <c r="S20" s="13">
        <v>56.276592659999999</v>
      </c>
      <c r="T20" s="11">
        <v>0.66727922100000003</v>
      </c>
      <c r="U20" s="11">
        <v>150.77614929999999</v>
      </c>
      <c r="V20" s="13">
        <v>533760.16130000004</v>
      </c>
      <c r="W20" s="13">
        <v>585332.6</v>
      </c>
      <c r="X20" s="13">
        <v>30.964848</v>
      </c>
      <c r="Y20" s="14">
        <f>+Table1[[#This Row],[Generation Cost 
LCOE (USD/MWh)]]+Table1[[#This Row],[Transmission Cost
LCOT (USD/MWh)]]</f>
        <v>87.241440659999995</v>
      </c>
    </row>
    <row r="21" spans="1:25" x14ac:dyDescent="0.3">
      <c r="A21" s="7">
        <v>20</v>
      </c>
      <c r="B21" s="8">
        <v>1939</v>
      </c>
      <c r="C21" s="9">
        <v>48.698677000000004</v>
      </c>
      <c r="D21" s="9">
        <v>-122.07284</v>
      </c>
      <c r="E21" s="10" t="s">
        <v>42</v>
      </c>
      <c r="F21" s="10" t="s">
        <v>4</v>
      </c>
      <c r="G21" s="10" t="s">
        <v>40</v>
      </c>
      <c r="H21" s="10">
        <v>-8</v>
      </c>
      <c r="I21" s="11">
        <v>567</v>
      </c>
      <c r="J21" s="11">
        <v>3.0592337000000001</v>
      </c>
      <c r="K21" s="11" t="str">
        <f>IF(Table1[[#This Row],[Solar 
Resource]]&lt;3,"Low", IF(Table1[[#This Row],[Solar 
Resource]]&lt;4, "Moderate","High"))</f>
        <v>Moderate</v>
      </c>
      <c r="L21" s="11">
        <v>1.0165781</v>
      </c>
      <c r="M21" s="11">
        <v>5.0202182369999999</v>
      </c>
      <c r="N21" s="11">
        <v>161.09652510000001</v>
      </c>
      <c r="O21" s="11">
        <v>215.86938420000001</v>
      </c>
      <c r="P21" s="11">
        <f>Table1[[#This Row],[Installed Capacity 
(AC -MW)]]/Table1[[#This Row],[Installed Capacity 
(DC -MW)]]</f>
        <v>0.74626851647821579</v>
      </c>
      <c r="Q21" s="12">
        <v>0.17454147</v>
      </c>
      <c r="R21" s="12">
        <v>0.13025485000000001</v>
      </c>
      <c r="S21" s="13">
        <v>56.263270489999996</v>
      </c>
      <c r="T21" s="11">
        <v>12.69484415</v>
      </c>
      <c r="U21" s="11">
        <v>150.77614929999999</v>
      </c>
      <c r="V21" s="13">
        <v>533563.52150000003</v>
      </c>
      <c r="W21" s="13">
        <v>673616.1</v>
      </c>
      <c r="X21" s="13">
        <v>35.641685000000003</v>
      </c>
      <c r="Y21" s="14">
        <f>+Table1[[#This Row],[Generation Cost 
LCOE (USD/MWh)]]+Table1[[#This Row],[Transmission Cost
LCOT (USD/MWh)]]</f>
        <v>91.904955489999992</v>
      </c>
    </row>
    <row r="22" spans="1:25" x14ac:dyDescent="0.3">
      <c r="A22" s="7">
        <v>21</v>
      </c>
      <c r="B22" s="8">
        <v>2303</v>
      </c>
      <c r="C22" s="9">
        <v>48.160080000000001</v>
      </c>
      <c r="D22" s="9">
        <v>-124.55502</v>
      </c>
      <c r="E22" s="10" t="s">
        <v>42</v>
      </c>
      <c r="F22" s="10" t="s">
        <v>4</v>
      </c>
      <c r="G22" s="10" t="s">
        <v>12</v>
      </c>
      <c r="H22" s="10">
        <v>-8</v>
      </c>
      <c r="I22" s="11">
        <v>140.05263160000001</v>
      </c>
      <c r="J22" s="11">
        <v>2.9803557000000001</v>
      </c>
      <c r="K22" s="11" t="str">
        <f>IF(Table1[[#This Row],[Solar 
Resource]]&lt;3,"Low", IF(Table1[[#This Row],[Solar 
Resource]]&lt;4, "Moderate","High"))</f>
        <v>Low</v>
      </c>
      <c r="L22" s="11">
        <v>1.0210115</v>
      </c>
      <c r="M22" s="11">
        <v>42.848999999999997</v>
      </c>
      <c r="N22" s="11">
        <v>1375.0051289999999</v>
      </c>
      <c r="O22" s="11">
        <v>1842.5070000000001</v>
      </c>
      <c r="P22" s="11">
        <f>Table1[[#This Row],[Installed Capacity 
(AC -MW)]]/Table1[[#This Row],[Installed Capacity 
(DC -MW)]]</f>
        <v>0.74626860522103844</v>
      </c>
      <c r="Q22" s="12">
        <v>0.17125149000000001</v>
      </c>
      <c r="R22" s="12">
        <v>0.12779962</v>
      </c>
      <c r="S22" s="13">
        <v>57.541951509999997</v>
      </c>
      <c r="T22" s="11">
        <v>27.659973999999998</v>
      </c>
      <c r="U22" s="11">
        <v>388.43109709999999</v>
      </c>
      <c r="V22" s="13">
        <v>1474336.7749999999</v>
      </c>
      <c r="W22" s="13">
        <v>1670630.1</v>
      </c>
      <c r="X22" s="13">
        <v>90.092849999999999</v>
      </c>
      <c r="Y22" s="14">
        <f>+Table1[[#This Row],[Generation Cost 
LCOE (USD/MWh)]]+Table1[[#This Row],[Transmission Cost
LCOT (USD/MWh)]]</f>
        <v>147.63480150999999</v>
      </c>
    </row>
    <row r="23" spans="1:25" x14ac:dyDescent="0.3">
      <c r="A23" s="7">
        <v>22</v>
      </c>
      <c r="B23" s="8">
        <v>2304</v>
      </c>
      <c r="C23" s="9">
        <v>48.189014</v>
      </c>
      <c r="D23" s="9">
        <v>-124.39825399999999</v>
      </c>
      <c r="E23" s="10" t="s">
        <v>42</v>
      </c>
      <c r="F23" s="10" t="s">
        <v>4</v>
      </c>
      <c r="G23" s="10" t="s">
        <v>12</v>
      </c>
      <c r="H23" s="10">
        <v>-8</v>
      </c>
      <c r="I23" s="11">
        <v>237.65</v>
      </c>
      <c r="J23" s="11">
        <v>3.0010552000000001</v>
      </c>
      <c r="K23" s="11" t="str">
        <f>IF(Table1[[#This Row],[Solar 
Resource]]&lt;3,"Low", IF(Table1[[#This Row],[Solar 
Resource]]&lt;4, "Moderate","High"))</f>
        <v>Moderate</v>
      </c>
      <c r="L23" s="11">
        <v>1.0208508999999999</v>
      </c>
      <c r="M23" s="11">
        <v>16.534530400000001</v>
      </c>
      <c r="N23" s="11">
        <v>530.58564019999994</v>
      </c>
      <c r="O23" s="11">
        <v>710.98480700000005</v>
      </c>
      <c r="P23" s="11">
        <f>Table1[[#This Row],[Installed Capacity 
(AC -MW)]]/Table1[[#This Row],[Installed Capacity 
(DC -MW)]]</f>
        <v>0.74626860514615734</v>
      </c>
      <c r="Q23" s="12">
        <v>0.1726268</v>
      </c>
      <c r="R23" s="12">
        <v>0.12882598000000001</v>
      </c>
      <c r="S23" s="13">
        <v>57.076400169999999</v>
      </c>
      <c r="T23" s="11">
        <v>19.026824659999999</v>
      </c>
      <c r="U23" s="11">
        <v>388.43109709999999</v>
      </c>
      <c r="V23" s="13">
        <v>1474336.7749999999</v>
      </c>
      <c r="W23" s="13">
        <v>1627823</v>
      </c>
      <c r="X23" s="13">
        <v>87.085009999999997</v>
      </c>
      <c r="Y23" s="14">
        <f>+Table1[[#This Row],[Generation Cost 
LCOE (USD/MWh)]]+Table1[[#This Row],[Transmission Cost
LCOT (USD/MWh)]]</f>
        <v>144.16141017000001</v>
      </c>
    </row>
    <row r="24" spans="1:25" x14ac:dyDescent="0.3">
      <c r="A24" s="7">
        <v>23</v>
      </c>
      <c r="B24" s="8">
        <v>2305</v>
      </c>
      <c r="C24" s="9">
        <v>48.217796</v>
      </c>
      <c r="D24" s="9">
        <v>-124.24133</v>
      </c>
      <c r="E24" s="10" t="s">
        <v>42</v>
      </c>
      <c r="F24" s="10" t="s">
        <v>4</v>
      </c>
      <c r="G24" s="10" t="s">
        <v>12</v>
      </c>
      <c r="H24" s="10">
        <v>-8</v>
      </c>
      <c r="I24" s="11">
        <v>157.93333329999999</v>
      </c>
      <c r="J24" s="11">
        <v>3.1618225999999998</v>
      </c>
      <c r="K24" s="11" t="str">
        <f>IF(Table1[[#This Row],[Solar 
Resource]]&lt;3,"Low", IF(Table1[[#This Row],[Solar 
Resource]]&lt;4, "Moderate","High"))</f>
        <v>Moderate</v>
      </c>
      <c r="L24" s="11">
        <v>1.0206993</v>
      </c>
      <c r="M24" s="11">
        <v>21.5967041</v>
      </c>
      <c r="N24" s="11">
        <v>693.02851650000002</v>
      </c>
      <c r="O24" s="11">
        <v>928.65827639999998</v>
      </c>
      <c r="P24" s="11">
        <f>Table1[[#This Row],[Installed Capacity 
(AC -MW)]]/Table1[[#This Row],[Installed Capacity 
(DC -MW)]]</f>
        <v>0.74626860505305248</v>
      </c>
      <c r="Q24" s="12">
        <v>0.18179776</v>
      </c>
      <c r="R24" s="12">
        <v>0.13566998</v>
      </c>
      <c r="S24" s="13">
        <v>54.190759550000003</v>
      </c>
      <c r="T24" s="11">
        <v>21.085129859999999</v>
      </c>
      <c r="U24" s="11">
        <v>388.43109709999999</v>
      </c>
      <c r="V24" s="13">
        <v>1474336.7749999999</v>
      </c>
      <c r="W24" s="13">
        <v>1638896.2</v>
      </c>
      <c r="X24" s="13">
        <v>83.254429999999999</v>
      </c>
      <c r="Y24" s="14">
        <f>+Table1[[#This Row],[Generation Cost 
LCOE (USD/MWh)]]+Table1[[#This Row],[Transmission Cost
LCOT (USD/MWh)]]</f>
        <v>137.44518955000001</v>
      </c>
    </row>
    <row r="25" spans="1:25" x14ac:dyDescent="0.3">
      <c r="A25" s="7">
        <v>24</v>
      </c>
      <c r="B25" s="8">
        <v>2315</v>
      </c>
      <c r="C25" s="9">
        <v>48.497115999999998</v>
      </c>
      <c r="D25" s="9">
        <v>-122.66342</v>
      </c>
      <c r="E25" s="10" t="s">
        <v>42</v>
      </c>
      <c r="F25" s="10" t="s">
        <v>4</v>
      </c>
      <c r="G25" s="10" t="s">
        <v>34</v>
      </c>
      <c r="H25" s="10">
        <v>-8</v>
      </c>
      <c r="I25" s="11">
        <v>68.666666669999998</v>
      </c>
      <c r="J25" s="11">
        <v>3.3443632000000001</v>
      </c>
      <c r="K25" s="11" t="str">
        <f>IF(Table1[[#This Row],[Solar 
Resource]]&lt;3,"Low", IF(Table1[[#This Row],[Solar 
Resource]]&lt;4, "Moderate","High"))</f>
        <v>Moderate</v>
      </c>
      <c r="L25" s="11">
        <v>1.0198786</v>
      </c>
      <c r="M25" s="11">
        <v>2.2113</v>
      </c>
      <c r="N25" s="11">
        <v>70.959621960000007</v>
      </c>
      <c r="O25" s="11">
        <v>95.085899999999995</v>
      </c>
      <c r="P25" s="11">
        <f>Table1[[#This Row],[Installed Capacity 
(AC -MW)]]/Table1[[#This Row],[Installed Capacity 
(DC -MW)]]</f>
        <v>0.74626860512441917</v>
      </c>
      <c r="Q25" s="12">
        <v>0.19320203</v>
      </c>
      <c r="R25" s="12">
        <v>0.14418064</v>
      </c>
      <c r="S25" s="13">
        <v>50.959548920000003</v>
      </c>
      <c r="T25" s="11">
        <v>2.4363961029999999</v>
      </c>
      <c r="U25" s="11">
        <v>171.70951289999999</v>
      </c>
      <c r="V25" s="13">
        <v>674067.96869999997</v>
      </c>
      <c r="W25" s="13">
        <v>702843.44</v>
      </c>
      <c r="X25" s="13">
        <v>33.596286999999997</v>
      </c>
      <c r="Y25" s="14">
        <f>+Table1[[#This Row],[Generation Cost 
LCOE (USD/MWh)]]+Table1[[#This Row],[Transmission Cost
LCOT (USD/MWh)]]</f>
        <v>84.555835919999993</v>
      </c>
    </row>
    <row r="26" spans="1:25" x14ac:dyDescent="0.3">
      <c r="A26" s="7">
        <v>25</v>
      </c>
      <c r="B26" s="8">
        <v>2316</v>
      </c>
      <c r="C26" s="9">
        <v>48.524189999999997</v>
      </c>
      <c r="D26" s="9">
        <v>-122.50477600000001</v>
      </c>
      <c r="E26" s="10" t="s">
        <v>42</v>
      </c>
      <c r="F26" s="10" t="s">
        <v>4</v>
      </c>
      <c r="G26" s="10" t="s">
        <v>34</v>
      </c>
      <c r="H26" s="10">
        <v>-8</v>
      </c>
      <c r="I26" s="11">
        <v>24.5</v>
      </c>
      <c r="J26" s="11">
        <v>3.2461190000000002</v>
      </c>
      <c r="K26" s="11" t="str">
        <f>IF(Table1[[#This Row],[Solar 
Resource]]&lt;3,"Low", IF(Table1[[#This Row],[Solar 
Resource]]&lt;4, "Moderate","High"))</f>
        <v>Moderate</v>
      </c>
      <c r="L26" s="11">
        <v>1.0195904</v>
      </c>
      <c r="M26" s="11">
        <v>7.7567219600000001</v>
      </c>
      <c r="N26" s="11">
        <v>248.90971730000001</v>
      </c>
      <c r="O26" s="11">
        <v>333.5390443</v>
      </c>
      <c r="P26" s="11">
        <f>Table1[[#This Row],[Installed Capacity 
(AC -MW)]]/Table1[[#This Row],[Installed Capacity 
(DC -MW)]]</f>
        <v>0.74626860499162262</v>
      </c>
      <c r="Q26" s="12">
        <v>0.18563123000000001</v>
      </c>
      <c r="R26" s="12">
        <v>0.13853077999999999</v>
      </c>
      <c r="S26" s="13">
        <v>53.026029080000001</v>
      </c>
      <c r="T26" s="11">
        <v>9.5746298680000006</v>
      </c>
      <c r="U26" s="11">
        <v>152.5889415</v>
      </c>
      <c r="V26" s="13">
        <v>524547.05200000003</v>
      </c>
      <c r="W26" s="13">
        <v>556253.93999999994</v>
      </c>
      <c r="X26" s="13">
        <v>27.673649000000001</v>
      </c>
      <c r="Y26" s="14">
        <f>+Table1[[#This Row],[Generation Cost 
LCOE (USD/MWh)]]+Table1[[#This Row],[Transmission Cost
LCOT (USD/MWh)]]</f>
        <v>80.699678079999998</v>
      </c>
    </row>
    <row r="27" spans="1:25" x14ac:dyDescent="0.3">
      <c r="A27" s="7">
        <v>26</v>
      </c>
      <c r="B27" s="8">
        <v>2317</v>
      </c>
      <c r="C27" s="9">
        <v>48.551113000000001</v>
      </c>
      <c r="D27" s="9">
        <v>-122.34598</v>
      </c>
      <c r="E27" s="10" t="s">
        <v>42</v>
      </c>
      <c r="F27" s="10" t="s">
        <v>4</v>
      </c>
      <c r="G27" s="10" t="s">
        <v>34</v>
      </c>
      <c r="H27" s="10">
        <v>-8</v>
      </c>
      <c r="I27" s="11">
        <v>68.111111109999996</v>
      </c>
      <c r="J27" s="11">
        <v>3.105356</v>
      </c>
      <c r="K27" s="11" t="str">
        <f>IF(Table1[[#This Row],[Solar 
Resource]]&lt;3,"Low", IF(Table1[[#This Row],[Solar 
Resource]]&lt;4, "Moderate","High"))</f>
        <v>Moderate</v>
      </c>
      <c r="L27" s="11">
        <v>1.0179244999999999</v>
      </c>
      <c r="M27" s="11">
        <v>29.690061549999999</v>
      </c>
      <c r="N27" s="11">
        <v>952.74082829999998</v>
      </c>
      <c r="O27" s="11">
        <v>1276.6726470000001</v>
      </c>
      <c r="P27" s="11">
        <f>Table1[[#This Row],[Installed Capacity 
(AC -MW)]]/Table1[[#This Row],[Installed Capacity 
(DC -MW)]]</f>
        <v>0.74626869349696334</v>
      </c>
      <c r="Q27" s="12">
        <v>0.17730872</v>
      </c>
      <c r="R27" s="12">
        <v>0.13231994</v>
      </c>
      <c r="S27" s="13">
        <v>55.443200969999999</v>
      </c>
      <c r="T27" s="11">
        <v>1.828233765</v>
      </c>
      <c r="U27" s="11">
        <v>142.7315194</v>
      </c>
      <c r="V27" s="13">
        <v>510523.28769999999</v>
      </c>
      <c r="W27" s="13">
        <v>560804.80000000005</v>
      </c>
      <c r="X27" s="13">
        <v>29.209631000000002</v>
      </c>
      <c r="Y27" s="14">
        <f>+Table1[[#This Row],[Generation Cost 
LCOE (USD/MWh)]]+Table1[[#This Row],[Transmission Cost
LCOT (USD/MWh)]]</f>
        <v>84.652831969999994</v>
      </c>
    </row>
    <row r="28" spans="1:25" x14ac:dyDescent="0.3">
      <c r="A28" s="7">
        <v>27</v>
      </c>
      <c r="B28" s="8">
        <v>2318</v>
      </c>
      <c r="C28" s="9">
        <v>48.57788</v>
      </c>
      <c r="D28" s="9">
        <v>-122.18702999999999</v>
      </c>
      <c r="E28" s="10" t="s">
        <v>42</v>
      </c>
      <c r="F28" s="10" t="s">
        <v>4</v>
      </c>
      <c r="G28" s="10" t="s">
        <v>34</v>
      </c>
      <c r="H28" s="10">
        <v>-8</v>
      </c>
      <c r="I28" s="11">
        <v>289.18181820000001</v>
      </c>
      <c r="J28" s="11">
        <v>3.0360775000000002</v>
      </c>
      <c r="K28" s="11" t="str">
        <f>IF(Table1[[#This Row],[Solar 
Resource]]&lt;3,"Low", IF(Table1[[#This Row],[Solar 
Resource]]&lt;4, "Moderate","High"))</f>
        <v>Moderate</v>
      </c>
      <c r="L28" s="11">
        <v>1.0175924999999999</v>
      </c>
      <c r="M28" s="11">
        <v>13.80393853</v>
      </c>
      <c r="N28" s="11">
        <v>442.96222840000001</v>
      </c>
      <c r="O28" s="11">
        <v>593.56935659999999</v>
      </c>
      <c r="P28" s="11">
        <f>Table1[[#This Row],[Installed Capacity 
(AC -MW)]]/Table1[[#This Row],[Installed Capacity 
(DC -MW)]]</f>
        <v>0.74626869375015181</v>
      </c>
      <c r="Q28" s="12">
        <v>0.17292083999999999</v>
      </c>
      <c r="R28" s="12">
        <v>0.1290454</v>
      </c>
      <c r="S28" s="13">
        <v>56.835414270000001</v>
      </c>
      <c r="T28" s="11">
        <v>2.4209545440000002</v>
      </c>
      <c r="U28" s="11">
        <v>138.4913765</v>
      </c>
      <c r="V28" s="13">
        <v>489297.20020000002</v>
      </c>
      <c r="W28" s="13">
        <v>560422</v>
      </c>
      <c r="X28" s="13">
        <v>29.930384</v>
      </c>
      <c r="Y28" s="14">
        <f>+Table1[[#This Row],[Generation Cost 
LCOE (USD/MWh)]]+Table1[[#This Row],[Transmission Cost
LCOT (USD/MWh)]]</f>
        <v>86.765798270000005</v>
      </c>
    </row>
    <row r="29" spans="1:25" x14ac:dyDescent="0.3">
      <c r="A29" s="7">
        <v>28</v>
      </c>
      <c r="B29" s="8">
        <v>2319</v>
      </c>
      <c r="C29" s="9">
        <v>48.604489999999998</v>
      </c>
      <c r="D29" s="9">
        <v>-122.02791999999999</v>
      </c>
      <c r="E29" s="10" t="s">
        <v>42</v>
      </c>
      <c r="F29" s="10" t="s">
        <v>4</v>
      </c>
      <c r="G29" s="10" t="s">
        <v>34</v>
      </c>
      <c r="H29" s="10">
        <v>-8</v>
      </c>
      <c r="I29" s="11">
        <v>552.4</v>
      </c>
      <c r="J29" s="11">
        <v>3.0352328000000002</v>
      </c>
      <c r="K29" s="11" t="str">
        <f>IF(Table1[[#This Row],[Solar 
Resource]]&lt;3,"Low", IF(Table1[[#This Row],[Solar 
Resource]]&lt;4, "Moderate","High"))</f>
        <v>Moderate</v>
      </c>
      <c r="L29" s="11">
        <v>1.0170676000000001</v>
      </c>
      <c r="M29" s="11">
        <v>4.2042243160000003</v>
      </c>
      <c r="N29" s="11">
        <v>134.9116665</v>
      </c>
      <c r="O29" s="11">
        <v>180.78164559999999</v>
      </c>
      <c r="P29" s="11">
        <f>Table1[[#This Row],[Installed Capacity 
(AC -MW)]]/Table1[[#This Row],[Installed Capacity 
(DC -MW)]]</f>
        <v>0.74626860515755811</v>
      </c>
      <c r="Q29" s="12">
        <v>0.17230645</v>
      </c>
      <c r="R29" s="12">
        <v>0.1285869</v>
      </c>
      <c r="S29" s="13">
        <v>57.014782539999999</v>
      </c>
      <c r="T29" s="11">
        <v>10.214772719999999</v>
      </c>
      <c r="U29" s="11">
        <v>145.01240250000001</v>
      </c>
      <c r="V29" s="13">
        <v>517618.67499999999</v>
      </c>
      <c r="W29" s="13">
        <v>652105.43999999994</v>
      </c>
      <c r="X29" s="13">
        <v>34.951087999999999</v>
      </c>
      <c r="Y29" s="14">
        <f>+Table1[[#This Row],[Generation Cost 
LCOE (USD/MWh)]]+Table1[[#This Row],[Transmission Cost
LCOT (USD/MWh)]]</f>
        <v>91.965870539999997</v>
      </c>
    </row>
    <row r="30" spans="1:25" x14ac:dyDescent="0.3">
      <c r="A30" s="7">
        <v>29</v>
      </c>
      <c r="B30" s="8">
        <v>2320</v>
      </c>
      <c r="C30" s="9">
        <v>48.630935999999998</v>
      </c>
      <c r="D30" s="9">
        <v>-121.868675</v>
      </c>
      <c r="E30" s="10" t="s">
        <v>42</v>
      </c>
      <c r="F30" s="10" t="s">
        <v>4</v>
      </c>
      <c r="G30" s="10" t="s">
        <v>34</v>
      </c>
      <c r="H30" s="10">
        <v>-8</v>
      </c>
      <c r="I30" s="11">
        <v>812.57142859999999</v>
      </c>
      <c r="J30" s="11">
        <v>3.0519915000000002</v>
      </c>
      <c r="K30" s="11" t="str">
        <f>IF(Table1[[#This Row],[Solar 
Resource]]&lt;3,"Low", IF(Table1[[#This Row],[Solar 
Resource]]&lt;4, "Moderate","High"))</f>
        <v>Moderate</v>
      </c>
      <c r="L30" s="11">
        <v>1.0166234999999999</v>
      </c>
      <c r="M30" s="11">
        <v>0.66128393299999999</v>
      </c>
      <c r="N30" s="11">
        <v>21.22030638</v>
      </c>
      <c r="O30" s="11">
        <v>28.43520913</v>
      </c>
      <c r="P30" s="11">
        <f>Table1[[#This Row],[Installed Capacity 
(AC -MW)]]/Table1[[#This Row],[Installed Capacity 
(DC -MW)]]</f>
        <v>0.74626869396265272</v>
      </c>
      <c r="Q30" s="12">
        <v>0.17451727</v>
      </c>
      <c r="R30" s="12">
        <v>0.13023680000000001</v>
      </c>
      <c r="S30" s="13">
        <v>63.997304509999999</v>
      </c>
      <c r="T30" s="11">
        <v>11.095584410000001</v>
      </c>
      <c r="U30" s="11">
        <v>159.92261679999999</v>
      </c>
      <c r="V30" s="13">
        <v>583194.54040000006</v>
      </c>
      <c r="W30" s="13">
        <v>734549.44</v>
      </c>
      <c r="X30" s="13">
        <v>38.871113000000001</v>
      </c>
      <c r="Y30" s="14">
        <f>+Table1[[#This Row],[Generation Cost 
LCOE (USD/MWh)]]+Table1[[#This Row],[Transmission Cost
LCOT (USD/MWh)]]</f>
        <v>102.86841751</v>
      </c>
    </row>
    <row r="31" spans="1:25" x14ac:dyDescent="0.3">
      <c r="A31" s="7">
        <v>30</v>
      </c>
      <c r="B31" s="8">
        <v>2321</v>
      </c>
      <c r="C31" s="9">
        <v>48.657234000000003</v>
      </c>
      <c r="D31" s="9">
        <v>-121.70927399999999</v>
      </c>
      <c r="E31" s="10" t="s">
        <v>42</v>
      </c>
      <c r="F31" s="10" t="s">
        <v>4</v>
      </c>
      <c r="G31" s="10" t="s">
        <v>34</v>
      </c>
      <c r="H31" s="10">
        <v>-8</v>
      </c>
      <c r="I31" s="11">
        <v>300.5</v>
      </c>
      <c r="J31" s="11">
        <v>2.9946342000000001</v>
      </c>
      <c r="K31" s="11" t="str">
        <f>IF(Table1[[#This Row],[Solar 
Resource]]&lt;3,"Low", IF(Table1[[#This Row],[Solar 
Resource]]&lt;4, "Moderate","High"))</f>
        <v>Low</v>
      </c>
      <c r="L31" s="11">
        <v>1.0157849000000001</v>
      </c>
      <c r="M31" s="11">
        <v>3.2698079409999998</v>
      </c>
      <c r="N31" s="11">
        <v>104.9266655</v>
      </c>
      <c r="O31" s="11">
        <v>140.60174140000001</v>
      </c>
      <c r="P31" s="11">
        <f>Table1[[#This Row],[Installed Capacity 
(AC -MW)]]/Table1[[#This Row],[Installed Capacity 
(DC -MW)]]</f>
        <v>0.7462686056034864</v>
      </c>
      <c r="Q31" s="12">
        <v>0.16821083000000001</v>
      </c>
      <c r="R31" s="12">
        <v>0.12553048</v>
      </c>
      <c r="S31" s="13">
        <v>58.344736220000001</v>
      </c>
      <c r="T31" s="11">
        <v>1.722792206</v>
      </c>
      <c r="U31" s="11">
        <v>180.47414280000001</v>
      </c>
      <c r="V31" s="13">
        <v>712645.43149999995</v>
      </c>
      <c r="W31" s="13">
        <v>756984.4</v>
      </c>
      <c r="X31" s="13">
        <v>41.560177000000003</v>
      </c>
      <c r="Y31" s="14">
        <f>+Table1[[#This Row],[Generation Cost 
LCOE (USD/MWh)]]+Table1[[#This Row],[Transmission Cost
LCOT (USD/MWh)]]</f>
        <v>99.904913219999997</v>
      </c>
    </row>
    <row r="32" spans="1:25" x14ac:dyDescent="0.3">
      <c r="A32" s="7">
        <v>31</v>
      </c>
      <c r="B32" s="8">
        <v>2333</v>
      </c>
      <c r="C32" s="9">
        <v>48.960425999999998</v>
      </c>
      <c r="D32" s="9">
        <v>-119.78502</v>
      </c>
      <c r="E32" s="10" t="s">
        <v>42</v>
      </c>
      <c r="F32" s="10" t="s">
        <v>4</v>
      </c>
      <c r="G32" s="10" t="s">
        <v>29</v>
      </c>
      <c r="H32" s="10">
        <v>-8</v>
      </c>
      <c r="I32" s="11">
        <v>1357.25</v>
      </c>
      <c r="J32" s="11">
        <v>3.6759187999999998</v>
      </c>
      <c r="K32" s="11" t="str">
        <f>IF(Table1[[#This Row],[Solar 
Resource]]&lt;3,"Low", IF(Table1[[#This Row],[Solar 
Resource]]&lt;4, "Moderate","High"))</f>
        <v>Moderate</v>
      </c>
      <c r="L32" s="11">
        <v>1.0008729999999999</v>
      </c>
      <c r="M32" s="11">
        <v>0.62758796500000003</v>
      </c>
      <c r="N32" s="11">
        <v>20.139017800000001</v>
      </c>
      <c r="O32" s="11">
        <v>26.986282509999999</v>
      </c>
      <c r="P32" s="11">
        <f>Table1[[#This Row],[Installed Capacity 
(AC -MW)]]/Table1[[#This Row],[Installed Capacity 
(DC -MW)]]</f>
        <v>0.74626869382758876</v>
      </c>
      <c r="Q32" s="12">
        <v>0.22137200000000001</v>
      </c>
      <c r="R32" s="12">
        <v>0.16520296000000001</v>
      </c>
      <c r="S32" s="13">
        <v>50.100152979999997</v>
      </c>
      <c r="T32" s="11">
        <v>24.341668810000002</v>
      </c>
      <c r="U32" s="11">
        <v>245.4081946</v>
      </c>
      <c r="V32" s="13">
        <v>727406.07559999998</v>
      </c>
      <c r="W32" s="13">
        <v>926063.8</v>
      </c>
      <c r="X32" s="13">
        <v>38.633377000000003</v>
      </c>
      <c r="Y32" s="14">
        <f>+Table1[[#This Row],[Generation Cost 
LCOE (USD/MWh)]]+Table1[[#This Row],[Transmission Cost
LCOT (USD/MWh)]]</f>
        <v>88.73352998</v>
      </c>
    </row>
    <row r="33" spans="1:25" x14ac:dyDescent="0.3">
      <c r="A33" s="7">
        <v>32</v>
      </c>
      <c r="B33" s="8">
        <v>2334</v>
      </c>
      <c r="C33" s="9">
        <v>48.984656999999999</v>
      </c>
      <c r="D33" s="9">
        <v>-119.62372999999999</v>
      </c>
      <c r="E33" s="10" t="s">
        <v>42</v>
      </c>
      <c r="F33" s="10" t="s">
        <v>4</v>
      </c>
      <c r="G33" s="10" t="s">
        <v>29</v>
      </c>
      <c r="H33" s="10">
        <v>-8</v>
      </c>
      <c r="I33" s="11">
        <v>792.125</v>
      </c>
      <c r="J33" s="11">
        <v>3.6681499999999998</v>
      </c>
      <c r="K33" s="11" t="str">
        <f>IF(Table1[[#This Row],[Solar 
Resource]]&lt;3,"Low", IF(Table1[[#This Row],[Solar 
Resource]]&lt;4, "Moderate","High"))</f>
        <v>Moderate</v>
      </c>
      <c r="L33" s="11">
        <v>0.99943539999999997</v>
      </c>
      <c r="M33" s="11">
        <v>3.293783871</v>
      </c>
      <c r="N33" s="11">
        <v>105.6960423</v>
      </c>
      <c r="O33" s="11">
        <v>141.63270650000001</v>
      </c>
      <c r="P33" s="11">
        <f>Table1[[#This Row],[Installed Capacity 
(AC -MW)]]/Table1[[#This Row],[Installed Capacity 
(DC -MW)]]</f>
        <v>0.74626860498496506</v>
      </c>
      <c r="Q33" s="12">
        <v>0.21574225</v>
      </c>
      <c r="R33" s="12">
        <v>0.16100168000000001</v>
      </c>
      <c r="S33" s="13">
        <v>44.911543160000001</v>
      </c>
      <c r="T33" s="11">
        <v>21.009474019999999</v>
      </c>
      <c r="U33" s="11">
        <v>255.309292</v>
      </c>
      <c r="V33" s="13">
        <v>765854.18169999996</v>
      </c>
      <c r="W33" s="13">
        <v>853872.1</v>
      </c>
      <c r="X33" s="13">
        <v>36.551229999999997</v>
      </c>
      <c r="Y33" s="14">
        <f>+Table1[[#This Row],[Generation Cost 
LCOE (USD/MWh)]]+Table1[[#This Row],[Transmission Cost
LCOT (USD/MWh)]]</f>
        <v>81.462773159999998</v>
      </c>
    </row>
    <row r="34" spans="1:25" x14ac:dyDescent="0.3">
      <c r="A34" s="7">
        <v>33</v>
      </c>
      <c r="B34" s="8">
        <v>2682</v>
      </c>
      <c r="C34" s="9">
        <v>48.037666000000002</v>
      </c>
      <c r="D34" s="9">
        <v>-124.662796</v>
      </c>
      <c r="E34" s="10" t="s">
        <v>42</v>
      </c>
      <c r="F34" s="10" t="s">
        <v>4</v>
      </c>
      <c r="G34" s="10" t="s">
        <v>12</v>
      </c>
      <c r="H34" s="10">
        <v>-8</v>
      </c>
      <c r="I34" s="11">
        <v>84.222222220000006</v>
      </c>
      <c r="J34" s="11">
        <v>3.0579755</v>
      </c>
      <c r="K34" s="11" t="str">
        <f>IF(Table1[[#This Row],[Solar 
Resource]]&lt;3,"Low", IF(Table1[[#This Row],[Solar 
Resource]]&lt;4, "Moderate","High"))</f>
        <v>Moderate</v>
      </c>
      <c r="L34" s="11">
        <v>1.0211664</v>
      </c>
      <c r="M34" s="11">
        <v>15.878268240000001</v>
      </c>
      <c r="N34" s="11">
        <v>509.5264828</v>
      </c>
      <c r="O34" s="11">
        <v>682.76553420000005</v>
      </c>
      <c r="P34" s="11">
        <f>Table1[[#This Row],[Installed Capacity 
(AC -MW)]]/Table1[[#This Row],[Installed Capacity 
(DC -MW)]]</f>
        <v>0.74626860507394366</v>
      </c>
      <c r="Q34" s="12">
        <v>0.17562720000000001</v>
      </c>
      <c r="R34" s="12">
        <v>0.13106509</v>
      </c>
      <c r="S34" s="13">
        <v>56.11503905</v>
      </c>
      <c r="T34" s="11">
        <v>22.346227249999998</v>
      </c>
      <c r="U34" s="11">
        <v>406.9088764</v>
      </c>
      <c r="V34" s="13">
        <v>1528753.13</v>
      </c>
      <c r="W34" s="13">
        <v>1747086.1</v>
      </c>
      <c r="X34" s="13">
        <v>91.868570000000005</v>
      </c>
      <c r="Y34" s="14">
        <f>+Table1[[#This Row],[Generation Cost 
LCOE (USD/MWh)]]+Table1[[#This Row],[Transmission Cost
LCOT (USD/MWh)]]</f>
        <v>147.98360905000001</v>
      </c>
    </row>
    <row r="35" spans="1:25" x14ac:dyDescent="0.3">
      <c r="A35" s="7">
        <v>34</v>
      </c>
      <c r="B35" s="8">
        <v>2683</v>
      </c>
      <c r="C35" s="9">
        <v>48.066699999999997</v>
      </c>
      <c r="D35" s="9">
        <v>-124.506424</v>
      </c>
      <c r="E35" s="10" t="s">
        <v>42</v>
      </c>
      <c r="F35" s="10" t="s">
        <v>4</v>
      </c>
      <c r="G35" s="10" t="s">
        <v>12</v>
      </c>
      <c r="H35" s="10">
        <v>-8</v>
      </c>
      <c r="I35" s="11">
        <v>134.47368420000001</v>
      </c>
      <c r="J35" s="11">
        <v>2.9963690999999999</v>
      </c>
      <c r="K35" s="11" t="str">
        <f>IF(Table1[[#This Row],[Solar 
Resource]]&lt;3,"Low", IF(Table1[[#This Row],[Solar 
Resource]]&lt;4, "Moderate","High"))</f>
        <v>Low</v>
      </c>
      <c r="L35" s="11">
        <v>1.0209949</v>
      </c>
      <c r="M35" s="11">
        <v>51.32063101</v>
      </c>
      <c r="N35" s="11">
        <v>1646.8557599999999</v>
      </c>
      <c r="O35" s="11">
        <v>2206.7871329999998</v>
      </c>
      <c r="P35" s="11">
        <f>Table1[[#This Row],[Installed Capacity 
(AC -MW)]]/Table1[[#This Row],[Installed Capacity 
(DC -MW)]]</f>
        <v>0.74626851651123893</v>
      </c>
      <c r="Q35" s="12">
        <v>0.17103146</v>
      </c>
      <c r="R35" s="12">
        <v>0.12763542</v>
      </c>
      <c r="S35" s="13">
        <v>57.615239090000003</v>
      </c>
      <c r="T35" s="11">
        <v>19.939616869999998</v>
      </c>
      <c r="U35" s="11">
        <v>388.43109709999999</v>
      </c>
      <c r="V35" s="13">
        <v>1474336.7749999999</v>
      </c>
      <c r="W35" s="13">
        <v>1625996.9</v>
      </c>
      <c r="X35" s="13">
        <v>87.798699999999997</v>
      </c>
      <c r="Y35" s="14">
        <f>+Table1[[#This Row],[Generation Cost 
LCOE (USD/MWh)]]+Table1[[#This Row],[Transmission Cost
LCOT (USD/MWh)]]</f>
        <v>145.41393908999999</v>
      </c>
    </row>
    <row r="36" spans="1:25" x14ac:dyDescent="0.3">
      <c r="A36" s="7">
        <v>35</v>
      </c>
      <c r="B36" s="8">
        <v>2684</v>
      </c>
      <c r="C36" s="9">
        <v>48.095585</v>
      </c>
      <c r="D36" s="9">
        <v>-124.34990000000001</v>
      </c>
      <c r="E36" s="10" t="s">
        <v>42</v>
      </c>
      <c r="F36" s="10" t="s">
        <v>4</v>
      </c>
      <c r="G36" s="10" t="s">
        <v>12</v>
      </c>
      <c r="H36" s="10">
        <v>-8</v>
      </c>
      <c r="I36" s="11">
        <v>261.73333330000003</v>
      </c>
      <c r="J36" s="11">
        <v>2.9914304999999999</v>
      </c>
      <c r="K36" s="11" t="str">
        <f>IF(Table1[[#This Row],[Solar 
Resource]]&lt;3,"Low", IF(Table1[[#This Row],[Solar 
Resource]]&lt;4, "Moderate","High"))</f>
        <v>Low</v>
      </c>
      <c r="L36" s="11">
        <v>1.0208390000000001</v>
      </c>
      <c r="M36" s="11">
        <v>24.889031760000002</v>
      </c>
      <c r="N36" s="11">
        <v>798.67782969999996</v>
      </c>
      <c r="O36" s="11">
        <v>1070.2283660000001</v>
      </c>
      <c r="P36" s="11">
        <f>Table1[[#This Row],[Installed Capacity 
(AC -MW)]]/Table1[[#This Row],[Installed Capacity 
(DC -MW)]]</f>
        <v>0.74626860497547298</v>
      </c>
      <c r="Q36" s="12">
        <v>0.17135653000000001</v>
      </c>
      <c r="R36" s="12">
        <v>0.12787800999999999</v>
      </c>
      <c r="S36" s="13">
        <v>57.498993249999998</v>
      </c>
      <c r="T36" s="11">
        <v>7.6793311629999996</v>
      </c>
      <c r="U36" s="11">
        <v>388.43109709999999</v>
      </c>
      <c r="V36" s="13">
        <v>1474336.7749999999</v>
      </c>
      <c r="W36" s="13">
        <v>1571335</v>
      </c>
      <c r="X36" s="13">
        <v>84.686170000000004</v>
      </c>
      <c r="Y36" s="14">
        <f>+Table1[[#This Row],[Generation Cost 
LCOE (USD/MWh)]]+Table1[[#This Row],[Transmission Cost
LCOT (USD/MWh)]]</f>
        <v>142.18516325000002</v>
      </c>
    </row>
    <row r="37" spans="1:25" x14ac:dyDescent="0.3">
      <c r="A37" s="7">
        <v>36</v>
      </c>
      <c r="B37" s="8">
        <v>2685</v>
      </c>
      <c r="C37" s="9">
        <v>48.124310000000001</v>
      </c>
      <c r="D37" s="9">
        <v>-124.19320999999999</v>
      </c>
      <c r="E37" s="10" t="s">
        <v>42</v>
      </c>
      <c r="F37" s="10" t="s">
        <v>4</v>
      </c>
      <c r="G37" s="10" t="s">
        <v>12</v>
      </c>
      <c r="H37" s="10">
        <v>-8</v>
      </c>
      <c r="I37" s="11">
        <v>296.41176469999999</v>
      </c>
      <c r="J37" s="11">
        <v>3.1369712000000001</v>
      </c>
      <c r="K37" s="11" t="str">
        <f>IF(Table1[[#This Row],[Solar 
Resource]]&lt;3,"Low", IF(Table1[[#This Row],[Solar 
Resource]]&lt;4, "Moderate","High"))</f>
        <v>Moderate</v>
      </c>
      <c r="L37" s="11">
        <v>1.020715</v>
      </c>
      <c r="M37" s="11">
        <v>12.28413647</v>
      </c>
      <c r="N37" s="11">
        <v>394.192365</v>
      </c>
      <c r="O37" s="11">
        <v>528.21786840000004</v>
      </c>
      <c r="P37" s="11">
        <f>Table1[[#This Row],[Installed Capacity 
(AC -MW)]]/Table1[[#This Row],[Installed Capacity 
(DC -MW)]]</f>
        <v>0.74626851642491687</v>
      </c>
      <c r="Q37" s="12">
        <v>0.18068194000000001</v>
      </c>
      <c r="R37" s="12">
        <v>0.13483727000000001</v>
      </c>
      <c r="S37" s="13">
        <v>54.526094020000002</v>
      </c>
      <c r="T37" s="11">
        <v>10.243006490000001</v>
      </c>
      <c r="U37" s="11">
        <v>388.43109709999999</v>
      </c>
      <c r="V37" s="13">
        <v>1474336.7749999999</v>
      </c>
      <c r="W37" s="13">
        <v>1582428.6</v>
      </c>
      <c r="X37" s="13">
        <v>80.882355000000004</v>
      </c>
      <c r="Y37" s="14">
        <f>+Table1[[#This Row],[Generation Cost 
LCOE (USD/MWh)]]+Table1[[#This Row],[Transmission Cost
LCOT (USD/MWh)]]</f>
        <v>135.40844902000001</v>
      </c>
    </row>
    <row r="38" spans="1:25" x14ac:dyDescent="0.3">
      <c r="A38" s="7">
        <v>37</v>
      </c>
      <c r="B38" s="8">
        <v>2686</v>
      </c>
      <c r="C38" s="9">
        <v>48.152884999999998</v>
      </c>
      <c r="D38" s="9">
        <v>-124.03636</v>
      </c>
      <c r="E38" s="10" t="s">
        <v>42</v>
      </c>
      <c r="F38" s="10" t="s">
        <v>4</v>
      </c>
      <c r="G38" s="10" t="s">
        <v>12</v>
      </c>
      <c r="H38" s="10">
        <v>-8</v>
      </c>
      <c r="I38" s="11">
        <v>207</v>
      </c>
      <c r="J38" s="11">
        <v>3.2196872000000001</v>
      </c>
      <c r="K38" s="11" t="str">
        <f>IF(Table1[[#This Row],[Solar 
Resource]]&lt;3,"Low", IF(Table1[[#This Row],[Solar 
Resource]]&lt;4, "Moderate","High"))</f>
        <v>Moderate</v>
      </c>
      <c r="L38" s="11">
        <v>1.0206077</v>
      </c>
      <c r="M38" s="11">
        <v>22.07622568</v>
      </c>
      <c r="N38" s="11">
        <v>708.41614830000003</v>
      </c>
      <c r="O38" s="11">
        <v>949.27770439999995</v>
      </c>
      <c r="P38" s="11">
        <f>Table1[[#This Row],[Installed Capacity 
(AC -MW)]]/Table1[[#This Row],[Installed Capacity 
(DC -MW)]]</f>
        <v>0.74626860508407411</v>
      </c>
      <c r="Q38" s="12">
        <v>0.18493569000000001</v>
      </c>
      <c r="R38" s="12">
        <v>0.13801171000000001</v>
      </c>
      <c r="S38" s="13">
        <v>53.267496749999999</v>
      </c>
      <c r="T38" s="11">
        <v>5.8138181769999999</v>
      </c>
      <c r="U38" s="11">
        <v>363.80883089999998</v>
      </c>
      <c r="V38" s="13">
        <v>1320693.43</v>
      </c>
      <c r="W38" s="13">
        <v>1430411.1</v>
      </c>
      <c r="X38" s="13">
        <v>71.430639999999997</v>
      </c>
      <c r="Y38" s="14">
        <f>+Table1[[#This Row],[Generation Cost 
LCOE (USD/MWh)]]+Table1[[#This Row],[Transmission Cost
LCOT (USD/MWh)]]</f>
        <v>124.69813675</v>
      </c>
    </row>
    <row r="39" spans="1:25" x14ac:dyDescent="0.3">
      <c r="A39" s="7">
        <v>38</v>
      </c>
      <c r="B39" s="8">
        <v>2695</v>
      </c>
      <c r="C39" s="9">
        <v>48.403122000000003</v>
      </c>
      <c r="D39" s="9">
        <v>-122.61767999999999</v>
      </c>
      <c r="E39" s="10" t="s">
        <v>42</v>
      </c>
      <c r="F39" s="10" t="s">
        <v>4</v>
      </c>
      <c r="G39" s="10" t="s">
        <v>34</v>
      </c>
      <c r="H39" s="10">
        <v>-8</v>
      </c>
      <c r="I39" s="11">
        <v>56</v>
      </c>
      <c r="J39" s="11">
        <v>3.3267085999999999</v>
      </c>
      <c r="K39" s="11" t="str">
        <f>IF(Table1[[#This Row],[Solar 
Resource]]&lt;3,"Low", IF(Table1[[#This Row],[Solar 
Resource]]&lt;4, "Moderate","High"))</f>
        <v>Moderate</v>
      </c>
      <c r="L39" s="11">
        <v>1.0200260000000001</v>
      </c>
      <c r="M39" s="11">
        <v>10.56061725</v>
      </c>
      <c r="N39" s="11">
        <v>338.88549569999998</v>
      </c>
      <c r="O39" s="11">
        <v>454.10654169999998</v>
      </c>
      <c r="P39" s="11">
        <f>Table1[[#This Row],[Installed Capacity 
(AC -MW)]]/Table1[[#This Row],[Installed Capacity 
(DC -MW)]]</f>
        <v>0.74626869375486915</v>
      </c>
      <c r="Q39" s="12">
        <v>0.19145656</v>
      </c>
      <c r="R39" s="12">
        <v>0.14287804000000001</v>
      </c>
      <c r="S39" s="13">
        <v>51.430034790000001</v>
      </c>
      <c r="T39" s="11">
        <v>27.494318159999999</v>
      </c>
      <c r="U39" s="11">
        <v>180.8634739</v>
      </c>
      <c r="V39" s="13">
        <v>711755.853</v>
      </c>
      <c r="W39" s="13">
        <v>760091.9</v>
      </c>
      <c r="X39" s="13">
        <v>36.664031999999999</v>
      </c>
      <c r="Y39" s="14">
        <f>+Table1[[#This Row],[Generation Cost 
LCOE (USD/MWh)]]+Table1[[#This Row],[Transmission Cost
LCOT (USD/MWh)]]</f>
        <v>88.094066789999999</v>
      </c>
    </row>
    <row r="40" spans="1:25" x14ac:dyDescent="0.3">
      <c r="A40" s="7">
        <v>39</v>
      </c>
      <c r="B40" s="8">
        <v>2696</v>
      </c>
      <c r="C40" s="9">
        <v>48.430149999999998</v>
      </c>
      <c r="D40" s="9">
        <v>-122.45928000000001</v>
      </c>
      <c r="E40" s="10" t="s">
        <v>42</v>
      </c>
      <c r="F40" s="10" t="s">
        <v>4</v>
      </c>
      <c r="G40" s="10" t="s">
        <v>34</v>
      </c>
      <c r="H40" s="10">
        <v>-8</v>
      </c>
      <c r="I40" s="11">
        <v>19.5</v>
      </c>
      <c r="J40" s="11">
        <v>3.2584474000000001</v>
      </c>
      <c r="K40" s="11" t="str">
        <f>IF(Table1[[#This Row],[Solar 
Resource]]&lt;3,"Low", IF(Table1[[#This Row],[Solar 
Resource]]&lt;4, "Moderate","High"))</f>
        <v>Moderate</v>
      </c>
      <c r="L40" s="11">
        <v>1.0198077999999999</v>
      </c>
      <c r="M40" s="11">
        <v>22.682266259999999</v>
      </c>
      <c r="N40" s="11">
        <v>727.86371770000005</v>
      </c>
      <c r="O40" s="11">
        <v>975.33744920000004</v>
      </c>
      <c r="P40" s="11">
        <f>Table1[[#This Row],[Installed Capacity 
(AC -MW)]]/Table1[[#This Row],[Installed Capacity 
(DC -MW)]]</f>
        <v>0.74626860508331239</v>
      </c>
      <c r="Q40" s="12">
        <v>0.18603852000000001</v>
      </c>
      <c r="R40" s="12">
        <v>0.13883471</v>
      </c>
      <c r="S40" s="13">
        <v>52.918876740000002</v>
      </c>
      <c r="T40" s="11">
        <v>1.3782337650000001</v>
      </c>
      <c r="U40" s="11">
        <v>146.6180584</v>
      </c>
      <c r="V40" s="13">
        <v>566451.80240000004</v>
      </c>
      <c r="W40" s="13">
        <v>590061.80000000005</v>
      </c>
      <c r="X40" s="13">
        <v>29.291325000000001</v>
      </c>
      <c r="Y40" s="14">
        <f>+Table1[[#This Row],[Generation Cost 
LCOE (USD/MWh)]]+Table1[[#This Row],[Transmission Cost
LCOT (USD/MWh)]]</f>
        <v>82.210201740000002</v>
      </c>
    </row>
    <row r="41" spans="1:25" x14ac:dyDescent="0.3">
      <c r="A41" s="7">
        <v>40</v>
      </c>
      <c r="B41" s="8">
        <v>2697</v>
      </c>
      <c r="C41" s="9">
        <v>48.457023999999997</v>
      </c>
      <c r="D41" s="9">
        <v>-122.30072</v>
      </c>
      <c r="E41" s="10" t="s">
        <v>42</v>
      </c>
      <c r="F41" s="10" t="s">
        <v>4</v>
      </c>
      <c r="G41" s="10" t="s">
        <v>34</v>
      </c>
      <c r="H41" s="10">
        <v>-8</v>
      </c>
      <c r="I41" s="11">
        <v>38</v>
      </c>
      <c r="J41" s="11">
        <v>3.1245908999999998</v>
      </c>
      <c r="K41" s="11" t="str">
        <f>IF(Table1[[#This Row],[Solar 
Resource]]&lt;3,"Low", IF(Table1[[#This Row],[Solar 
Resource]]&lt;4, "Moderate","High"))</f>
        <v>Moderate</v>
      </c>
      <c r="L41" s="11">
        <v>1.0184025999999999</v>
      </c>
      <c r="M41" s="11">
        <v>13.386140879999999</v>
      </c>
      <c r="N41" s="11">
        <v>429.55523740000001</v>
      </c>
      <c r="O41" s="11">
        <v>575.60405790000004</v>
      </c>
      <c r="P41" s="11">
        <f>Table1[[#This Row],[Installed Capacity 
(AC -MW)]]/Table1[[#This Row],[Installed Capacity 
(DC -MW)]]</f>
        <v>0.74626860513660043</v>
      </c>
      <c r="Q41" s="12">
        <v>0.17770948</v>
      </c>
      <c r="R41" s="12">
        <v>0.13261902</v>
      </c>
      <c r="S41" s="13">
        <v>55.33871473</v>
      </c>
      <c r="T41" s="11">
        <v>2.5327922059999999</v>
      </c>
      <c r="U41" s="11">
        <v>134.1160064</v>
      </c>
      <c r="V41" s="13">
        <v>531877.13699999999</v>
      </c>
      <c r="W41" s="13">
        <v>567366.56000000006</v>
      </c>
      <c r="X41" s="13">
        <v>29.484756000000001</v>
      </c>
      <c r="Y41" s="14">
        <f>+Table1[[#This Row],[Generation Cost 
LCOE (USD/MWh)]]+Table1[[#This Row],[Transmission Cost
LCOT (USD/MWh)]]</f>
        <v>84.823470729999997</v>
      </c>
    </row>
    <row r="42" spans="1:25" x14ac:dyDescent="0.3">
      <c r="A42" s="7">
        <v>41</v>
      </c>
      <c r="B42" s="8">
        <v>2698</v>
      </c>
      <c r="C42" s="9">
        <v>48.483739999999997</v>
      </c>
      <c r="D42" s="9">
        <v>-122.14202</v>
      </c>
      <c r="E42" s="10" t="s">
        <v>42</v>
      </c>
      <c r="F42" s="10" t="s">
        <v>4</v>
      </c>
      <c r="G42" s="10" t="s">
        <v>34</v>
      </c>
      <c r="H42" s="10">
        <v>-8</v>
      </c>
      <c r="I42" s="11">
        <v>222.58823530000001</v>
      </c>
      <c r="J42" s="11">
        <v>3.0517530000000002</v>
      </c>
      <c r="K42" s="11" t="str">
        <f>IF(Table1[[#This Row],[Solar 
Resource]]&lt;3,"Low", IF(Table1[[#This Row],[Solar 
Resource]]&lt;4, "Moderate","High"))</f>
        <v>Moderate</v>
      </c>
      <c r="L42" s="11">
        <v>1.0179061</v>
      </c>
      <c r="M42" s="11">
        <v>10.777049010000001</v>
      </c>
      <c r="N42" s="11">
        <v>345.83069440000003</v>
      </c>
      <c r="O42" s="11">
        <v>463.41310750000002</v>
      </c>
      <c r="P42" s="11">
        <f>Table1[[#This Row],[Installed Capacity 
(AC -MW)]]/Table1[[#This Row],[Installed Capacity 
(DC -MW)]]</f>
        <v>0.74626869374859017</v>
      </c>
      <c r="Q42" s="12">
        <v>0.17234334000000001</v>
      </c>
      <c r="R42" s="12">
        <v>0.12861444</v>
      </c>
      <c r="S42" s="13">
        <v>57.039758509999999</v>
      </c>
      <c r="T42" s="11">
        <v>5.5810973979999998</v>
      </c>
      <c r="U42" s="11">
        <v>128.8075584</v>
      </c>
      <c r="V42" s="13">
        <v>461053.1643</v>
      </c>
      <c r="W42" s="13">
        <v>515674.78</v>
      </c>
      <c r="X42" s="13">
        <v>27.632857999999999</v>
      </c>
      <c r="Y42" s="14">
        <f>+Table1[[#This Row],[Generation Cost 
LCOE (USD/MWh)]]+Table1[[#This Row],[Transmission Cost
LCOT (USD/MWh)]]</f>
        <v>84.672616509999997</v>
      </c>
    </row>
    <row r="43" spans="1:25" x14ac:dyDescent="0.3">
      <c r="A43" s="7">
        <v>42</v>
      </c>
      <c r="B43" s="8">
        <v>2699</v>
      </c>
      <c r="C43" s="9">
        <v>48.510300000000001</v>
      </c>
      <c r="D43" s="9">
        <v>-121.98317</v>
      </c>
      <c r="E43" s="10" t="s">
        <v>42</v>
      </c>
      <c r="F43" s="10" t="s">
        <v>4</v>
      </c>
      <c r="G43" s="10" t="s">
        <v>34</v>
      </c>
      <c r="H43" s="10">
        <v>-8</v>
      </c>
      <c r="I43" s="11">
        <v>225.81818179999999</v>
      </c>
      <c r="J43" s="11">
        <v>3.0567004999999998</v>
      </c>
      <c r="K43" s="11" t="str">
        <f>IF(Table1[[#This Row],[Solar 
Resource]]&lt;3,"Low", IF(Table1[[#This Row],[Solar 
Resource]]&lt;4, "Moderate","High"))</f>
        <v>Moderate</v>
      </c>
      <c r="L43" s="11">
        <v>1.0174209000000001</v>
      </c>
      <c r="M43" s="11">
        <v>17.2773</v>
      </c>
      <c r="N43" s="11">
        <v>554.42084839999995</v>
      </c>
      <c r="O43" s="11">
        <v>742.9239</v>
      </c>
      <c r="P43" s="11">
        <f>Table1[[#This Row],[Installed Capacity 
(AC -MW)]]/Table1[[#This Row],[Installed Capacity 
(DC -MW)]]</f>
        <v>0.74626869373834914</v>
      </c>
      <c r="Q43" s="12">
        <v>0.17165654999999999</v>
      </c>
      <c r="R43" s="12">
        <v>0.12810189999999999</v>
      </c>
      <c r="S43" s="13">
        <v>57.246370159999998</v>
      </c>
      <c r="T43" s="11">
        <v>3.0046298679999999</v>
      </c>
      <c r="U43" s="11">
        <v>145.53696099999999</v>
      </c>
      <c r="V43" s="13">
        <v>519084.75870000001</v>
      </c>
      <c r="W43" s="13">
        <v>572974.75</v>
      </c>
      <c r="X43" s="13">
        <v>30.826163999999999</v>
      </c>
      <c r="Y43" s="14">
        <f>+Table1[[#This Row],[Generation Cost 
LCOE (USD/MWh)]]+Table1[[#This Row],[Transmission Cost
LCOT (USD/MWh)]]</f>
        <v>88.072534160000004</v>
      </c>
    </row>
    <row r="44" spans="1:25" x14ac:dyDescent="0.3">
      <c r="A44" s="7">
        <v>43</v>
      </c>
      <c r="B44" s="8">
        <v>2700</v>
      </c>
      <c r="C44" s="9">
        <v>48.536704999999998</v>
      </c>
      <c r="D44" s="9">
        <v>-121.82416000000001</v>
      </c>
      <c r="E44" s="10" t="s">
        <v>42</v>
      </c>
      <c r="F44" s="10" t="s">
        <v>4</v>
      </c>
      <c r="G44" s="10" t="s">
        <v>34</v>
      </c>
      <c r="H44" s="10">
        <v>-8</v>
      </c>
      <c r="I44" s="11">
        <v>305.8</v>
      </c>
      <c r="J44" s="11">
        <v>3.0715165</v>
      </c>
      <c r="K44" s="11" t="str">
        <f>IF(Table1[[#This Row],[Solar 
Resource]]&lt;3,"Low", IF(Table1[[#This Row],[Solar 
Resource]]&lt;4, "Moderate","High"))</f>
        <v>Moderate</v>
      </c>
      <c r="L44" s="11">
        <v>1.0167839999999999</v>
      </c>
      <c r="M44" s="11">
        <v>13.547168920000001</v>
      </c>
      <c r="N44" s="11">
        <v>434.72255469999999</v>
      </c>
      <c r="O44" s="11">
        <v>582.52826359999995</v>
      </c>
      <c r="P44" s="11">
        <f>Table1[[#This Row],[Installed Capacity 
(AC -MW)]]/Table1[[#This Row],[Installed Capacity 
(DC -MW)]]</f>
        <v>0.74626860508610016</v>
      </c>
      <c r="Q44" s="12">
        <v>0.17280342000000001</v>
      </c>
      <c r="R44" s="12">
        <v>0.12895777999999999</v>
      </c>
      <c r="S44" s="13">
        <v>56.838269850000003</v>
      </c>
      <c r="T44" s="11">
        <v>1.3782337650000001</v>
      </c>
      <c r="U44" s="11">
        <v>159.6526168</v>
      </c>
      <c r="V44" s="13">
        <v>582054.0294</v>
      </c>
      <c r="W44" s="13">
        <v>637358</v>
      </c>
      <c r="X44" s="13">
        <v>34.062424</v>
      </c>
      <c r="Y44" s="14">
        <f>+Table1[[#This Row],[Generation Cost 
LCOE (USD/MWh)]]+Table1[[#This Row],[Transmission Cost
LCOT (USD/MWh)]]</f>
        <v>90.90069385000001</v>
      </c>
    </row>
    <row r="45" spans="1:25" x14ac:dyDescent="0.3">
      <c r="A45" s="7">
        <v>44</v>
      </c>
      <c r="B45" s="8">
        <v>2701</v>
      </c>
      <c r="C45" s="9">
        <v>48.562950000000001</v>
      </c>
      <c r="D45" s="9">
        <v>-121.66501</v>
      </c>
      <c r="E45" s="10" t="s">
        <v>42</v>
      </c>
      <c r="F45" s="10" t="s">
        <v>4</v>
      </c>
      <c r="G45" s="10" t="s">
        <v>34</v>
      </c>
      <c r="H45" s="10">
        <v>-8</v>
      </c>
      <c r="I45" s="11">
        <v>274.75</v>
      </c>
      <c r="J45" s="11">
        <v>3.0848544000000002</v>
      </c>
      <c r="K45" s="11" t="str">
        <f>IF(Table1[[#This Row],[Solar 
Resource]]&lt;3,"Low", IF(Table1[[#This Row],[Solar 
Resource]]&lt;4, "Moderate","High"))</f>
        <v>Moderate</v>
      </c>
      <c r="L45" s="11">
        <v>1.0161127999999999</v>
      </c>
      <c r="M45" s="11">
        <v>2.5767719599999999</v>
      </c>
      <c r="N45" s="11">
        <v>82.687462539999999</v>
      </c>
      <c r="O45" s="11">
        <v>110.80119430000001</v>
      </c>
      <c r="P45" s="11">
        <f>Table1[[#This Row],[Installed Capacity 
(AC -MW)]]/Table1[[#This Row],[Installed Capacity 
(DC -MW)]]</f>
        <v>0.74626869378428706</v>
      </c>
      <c r="Q45" s="12">
        <v>0.17330168000000001</v>
      </c>
      <c r="R45" s="12">
        <v>0.12932959999999999</v>
      </c>
      <c r="S45" s="13">
        <v>56.645280419999999</v>
      </c>
      <c r="T45" s="11">
        <v>4.2710259710000003</v>
      </c>
      <c r="U45" s="11">
        <v>170.13474020000001</v>
      </c>
      <c r="V45" s="13">
        <v>645538.3504</v>
      </c>
      <c r="W45" s="13">
        <v>740474.94</v>
      </c>
      <c r="X45" s="13">
        <v>39.459539999999997</v>
      </c>
      <c r="Y45" s="14">
        <f>+Table1[[#This Row],[Generation Cost 
LCOE (USD/MWh)]]+Table1[[#This Row],[Transmission Cost
LCOT (USD/MWh)]]</f>
        <v>96.104820419999996</v>
      </c>
    </row>
    <row r="46" spans="1:25" x14ac:dyDescent="0.3">
      <c r="A46" s="7">
        <v>45</v>
      </c>
      <c r="B46" s="8">
        <v>2702</v>
      </c>
      <c r="C46" s="9">
        <v>48.589039999999997</v>
      </c>
      <c r="D46" s="9">
        <v>-121.50570999999999</v>
      </c>
      <c r="E46" s="10" t="s">
        <v>42</v>
      </c>
      <c r="F46" s="10" t="s">
        <v>4</v>
      </c>
      <c r="G46" s="10" t="s">
        <v>34</v>
      </c>
      <c r="H46" s="10">
        <v>-8</v>
      </c>
      <c r="I46" s="11">
        <v>1124</v>
      </c>
      <c r="J46" s="11">
        <v>3.0760000000000001</v>
      </c>
      <c r="K46" s="11" t="str">
        <f>IF(Table1[[#This Row],[Solar 
Resource]]&lt;3,"Low", IF(Table1[[#This Row],[Solar 
Resource]]&lt;4, "Moderate","High"))</f>
        <v>Moderate</v>
      </c>
      <c r="L46" s="11">
        <v>1.0153329</v>
      </c>
      <c r="M46" s="11">
        <v>1.6199999999999999E-2</v>
      </c>
      <c r="N46" s="11">
        <v>0.51985071000000005</v>
      </c>
      <c r="O46" s="11">
        <v>0.6966</v>
      </c>
      <c r="P46" s="11">
        <f>Table1[[#This Row],[Installed Capacity 
(AC -MW)]]/Table1[[#This Row],[Installed Capacity 
(DC -MW)]]</f>
        <v>0.74626860465116285</v>
      </c>
      <c r="Q46" s="12">
        <v>0.17833668</v>
      </c>
      <c r="R46" s="12">
        <v>0.13308707</v>
      </c>
      <c r="S46" s="13">
        <v>95.580116059999995</v>
      </c>
      <c r="T46" s="11">
        <v>9.740285707</v>
      </c>
      <c r="U46" s="11">
        <v>160.7972207</v>
      </c>
      <c r="V46" s="13">
        <v>590539.29350000003</v>
      </c>
      <c r="W46" s="13">
        <v>780357</v>
      </c>
      <c r="X46" s="13">
        <v>40.410763000000003</v>
      </c>
      <c r="Y46" s="14">
        <f>+Table1[[#This Row],[Generation Cost 
LCOE (USD/MWh)]]+Table1[[#This Row],[Transmission Cost
LCOT (USD/MWh)]]</f>
        <v>135.99087906</v>
      </c>
    </row>
    <row r="47" spans="1:25" x14ac:dyDescent="0.3">
      <c r="A47" s="7">
        <v>46</v>
      </c>
      <c r="B47" s="8">
        <v>2703</v>
      </c>
      <c r="C47" s="9">
        <v>48.61497</v>
      </c>
      <c r="D47" s="9">
        <v>-121.34625</v>
      </c>
      <c r="E47" s="10" t="s">
        <v>42</v>
      </c>
      <c r="F47" s="10" t="s">
        <v>4</v>
      </c>
      <c r="G47" s="10" t="s">
        <v>34</v>
      </c>
      <c r="H47" s="10">
        <v>-8</v>
      </c>
      <c r="I47" s="11">
        <v>360</v>
      </c>
      <c r="J47" s="11">
        <v>3.0960000000000001</v>
      </c>
      <c r="K47" s="11" t="str">
        <f>IF(Table1[[#This Row],[Solar 
Resource]]&lt;3,"Low", IF(Table1[[#This Row],[Solar 
Resource]]&lt;4, "Moderate","High"))</f>
        <v>Moderate</v>
      </c>
      <c r="L47" s="11">
        <v>1.0143648000000001</v>
      </c>
      <c r="M47" s="11">
        <v>1.6199999999999999E-2</v>
      </c>
      <c r="N47" s="11">
        <v>0.51985071000000005</v>
      </c>
      <c r="O47" s="11">
        <v>0.6966</v>
      </c>
      <c r="P47" s="11">
        <f>Table1[[#This Row],[Installed Capacity 
(AC -MW)]]/Table1[[#This Row],[Installed Capacity 
(DC -MW)]]</f>
        <v>0.74626860465116285</v>
      </c>
      <c r="Q47" s="12">
        <v>0.17345079999999999</v>
      </c>
      <c r="R47" s="12">
        <v>0.12944091999999999</v>
      </c>
      <c r="S47" s="13">
        <v>98.190051449999999</v>
      </c>
      <c r="T47" s="11">
        <v>0.77911688199999996</v>
      </c>
      <c r="U47" s="11">
        <v>172.87860380000001</v>
      </c>
      <c r="V47" s="13">
        <v>639249.13399999996</v>
      </c>
      <c r="W47" s="13">
        <v>691774.5</v>
      </c>
      <c r="X47" s="13">
        <v>36.832622999999998</v>
      </c>
      <c r="Y47" s="14">
        <f>+Table1[[#This Row],[Generation Cost 
LCOE (USD/MWh)]]+Table1[[#This Row],[Transmission Cost
LCOT (USD/MWh)]]</f>
        <v>135.02267445000001</v>
      </c>
    </row>
    <row r="48" spans="1:25" x14ac:dyDescent="0.3">
      <c r="A48" s="7">
        <v>47</v>
      </c>
      <c r="B48" s="8">
        <v>2707</v>
      </c>
      <c r="C48" s="9">
        <v>48.717117000000002</v>
      </c>
      <c r="D48" s="9">
        <v>-120.706985</v>
      </c>
      <c r="E48" s="10" t="s">
        <v>42</v>
      </c>
      <c r="F48" s="10" t="s">
        <v>4</v>
      </c>
      <c r="G48" s="10" t="s">
        <v>29</v>
      </c>
      <c r="H48" s="10">
        <v>-8</v>
      </c>
      <c r="I48" s="11">
        <v>1780</v>
      </c>
      <c r="J48" s="11">
        <v>3.6019999999999999</v>
      </c>
      <c r="K48" s="11" t="str">
        <f>IF(Table1[[#This Row],[Solar 
Resource]]&lt;3,"Low", IF(Table1[[#This Row],[Solar 
Resource]]&lt;4, "Moderate","High"))</f>
        <v>Moderate</v>
      </c>
      <c r="L48" s="11">
        <v>1.0094742999999999</v>
      </c>
      <c r="M48" s="11">
        <v>8.0999999999999996E-3</v>
      </c>
      <c r="N48" s="11">
        <v>0.25992535500000002</v>
      </c>
      <c r="O48" s="11">
        <v>0.3483</v>
      </c>
      <c r="P48" s="11">
        <f>Table1[[#This Row],[Installed Capacity 
(AC -MW)]]/Table1[[#This Row],[Installed Capacity 
(DC -MW)]]</f>
        <v>0.74626860465116285</v>
      </c>
      <c r="Q48" s="12">
        <v>0.20927319999999999</v>
      </c>
      <c r="R48" s="12">
        <v>0.15617402</v>
      </c>
      <c r="S48" s="13">
        <v>87.996458129999994</v>
      </c>
      <c r="T48" s="11">
        <v>29.186227250000002</v>
      </c>
      <c r="U48" s="11">
        <v>200.67115570000001</v>
      </c>
      <c r="V48" s="13">
        <v>801012.50170000002</v>
      </c>
      <c r="W48" s="13">
        <v>1096259.2</v>
      </c>
      <c r="X48" s="13">
        <v>48.377569999999999</v>
      </c>
      <c r="Y48" s="14">
        <f>+Table1[[#This Row],[Generation Cost 
LCOE (USD/MWh)]]+Table1[[#This Row],[Transmission Cost
LCOT (USD/MWh)]]</f>
        <v>136.37402813</v>
      </c>
    </row>
    <row r="49" spans="1:25" x14ac:dyDescent="0.3">
      <c r="A49" s="7">
        <v>48</v>
      </c>
      <c r="B49" s="8">
        <v>2712</v>
      </c>
      <c r="C49" s="9">
        <v>48.841231999999998</v>
      </c>
      <c r="D49" s="9">
        <v>-119.90466000000001</v>
      </c>
      <c r="E49" s="10" t="s">
        <v>42</v>
      </c>
      <c r="F49" s="10" t="s">
        <v>4</v>
      </c>
      <c r="G49" s="10" t="s">
        <v>29</v>
      </c>
      <c r="H49" s="10">
        <v>-8</v>
      </c>
      <c r="I49" s="11">
        <v>1611.7142859999999</v>
      </c>
      <c r="J49" s="11">
        <v>3.6687112000000002</v>
      </c>
      <c r="K49" s="11" t="str">
        <f>IF(Table1[[#This Row],[Solar 
Resource]]&lt;3,"Low", IF(Table1[[#This Row],[Solar 
Resource]]&lt;4, "Moderate","High"))</f>
        <v>Moderate</v>
      </c>
      <c r="L49" s="11">
        <v>1.0018225999999999</v>
      </c>
      <c r="M49" s="11">
        <v>2.6227801479999999</v>
      </c>
      <c r="N49" s="11">
        <v>84.163824750000003</v>
      </c>
      <c r="O49" s="11">
        <v>112.7795464</v>
      </c>
      <c r="P49" s="11">
        <f>Table1[[#This Row],[Installed Capacity 
(AC -MW)]]/Table1[[#This Row],[Installed Capacity 
(DC -MW)]]</f>
        <v>0.74626851620321821</v>
      </c>
      <c r="Q49" s="12">
        <v>0.21978702</v>
      </c>
      <c r="R49" s="12">
        <v>0.16402015</v>
      </c>
      <c r="S49" s="13">
        <v>44.16801006</v>
      </c>
      <c r="T49" s="11">
        <v>26.545344140000001</v>
      </c>
      <c r="U49" s="11">
        <v>245.4081946</v>
      </c>
      <c r="V49" s="13">
        <v>727406.07559999998</v>
      </c>
      <c r="W49" s="13">
        <v>947934.06</v>
      </c>
      <c r="X49" s="13">
        <v>39.830936000000001</v>
      </c>
      <c r="Y49" s="14">
        <f>+Table1[[#This Row],[Generation Cost 
LCOE (USD/MWh)]]+Table1[[#This Row],[Transmission Cost
LCOT (USD/MWh)]]</f>
        <v>83.998946060000009</v>
      </c>
    </row>
    <row r="50" spans="1:25" x14ac:dyDescent="0.3">
      <c r="A50" s="7">
        <v>49</v>
      </c>
      <c r="B50" s="8">
        <v>2713</v>
      </c>
      <c r="C50" s="9">
        <v>48.865577999999999</v>
      </c>
      <c r="D50" s="9">
        <v>-119.743774</v>
      </c>
      <c r="E50" s="10" t="s">
        <v>42</v>
      </c>
      <c r="F50" s="10" t="s">
        <v>4</v>
      </c>
      <c r="G50" s="10" t="s">
        <v>29</v>
      </c>
      <c r="H50" s="10">
        <v>-8</v>
      </c>
      <c r="I50" s="11">
        <v>1239.6923079999999</v>
      </c>
      <c r="J50" s="11">
        <v>3.6691039999999999</v>
      </c>
      <c r="K50" s="11" t="str">
        <f>IF(Table1[[#This Row],[Solar 
Resource]]&lt;3,"Low", IF(Table1[[#This Row],[Solar 
Resource]]&lt;4, "Moderate","High"))</f>
        <v>Moderate</v>
      </c>
      <c r="L50" s="11">
        <v>1.0005869000000001</v>
      </c>
      <c r="M50" s="11">
        <v>3.8808719599999999</v>
      </c>
      <c r="N50" s="11">
        <v>124.5354497</v>
      </c>
      <c r="O50" s="11">
        <v>166.8774943</v>
      </c>
      <c r="P50" s="11">
        <f>Table1[[#This Row],[Installed Capacity 
(AC -MW)]]/Table1[[#This Row],[Installed Capacity 
(DC -MW)]]</f>
        <v>0.74626869382470107</v>
      </c>
      <c r="Q50" s="12">
        <v>0.21868562999999999</v>
      </c>
      <c r="R50" s="12">
        <v>0.16319822</v>
      </c>
      <c r="S50" s="13">
        <v>44.347292600000003</v>
      </c>
      <c r="T50" s="11">
        <v>13.916012970000001</v>
      </c>
      <c r="U50" s="11">
        <v>245.4081946</v>
      </c>
      <c r="V50" s="13">
        <v>727406.07559999998</v>
      </c>
      <c r="W50" s="13">
        <v>859420.7</v>
      </c>
      <c r="X50" s="13">
        <v>36.293593999999999</v>
      </c>
      <c r="Y50" s="14">
        <f>+Table1[[#This Row],[Generation Cost 
LCOE (USD/MWh)]]+Table1[[#This Row],[Transmission Cost
LCOT (USD/MWh)]]</f>
        <v>80.640886600000002</v>
      </c>
    </row>
    <row r="51" spans="1:25" x14ac:dyDescent="0.3">
      <c r="A51" s="7">
        <v>50</v>
      </c>
      <c r="B51" s="8">
        <v>2714</v>
      </c>
      <c r="C51" s="9">
        <v>48.889763000000002</v>
      </c>
      <c r="D51" s="9">
        <v>-119.58274</v>
      </c>
      <c r="E51" s="10" t="s">
        <v>42</v>
      </c>
      <c r="F51" s="10" t="s">
        <v>4</v>
      </c>
      <c r="G51" s="10" t="s">
        <v>29</v>
      </c>
      <c r="H51" s="10">
        <v>-8</v>
      </c>
      <c r="I51" s="11">
        <v>726.23076920000005</v>
      </c>
      <c r="J51" s="11">
        <v>3.717619</v>
      </c>
      <c r="K51" s="11" t="str">
        <f>IF(Table1[[#This Row],[Solar 
Resource]]&lt;3,"Low", IF(Table1[[#This Row],[Solar 
Resource]]&lt;4, "Moderate","High"))</f>
        <v>Moderate</v>
      </c>
      <c r="L51" s="11">
        <v>0.99867570000000006</v>
      </c>
      <c r="M51" s="11">
        <v>5.2973189209999996</v>
      </c>
      <c r="N51" s="11">
        <v>169.98858050000001</v>
      </c>
      <c r="O51" s="11">
        <v>227.7847136</v>
      </c>
      <c r="P51" s="11">
        <f>Table1[[#This Row],[Installed Capacity 
(AC -MW)]]/Table1[[#This Row],[Installed Capacity 
(DC -MW)]]</f>
        <v>0.74626860518176585</v>
      </c>
      <c r="Q51" s="12">
        <v>0.21965934000000001</v>
      </c>
      <c r="R51" s="12">
        <v>0.16392487</v>
      </c>
      <c r="S51" s="13">
        <v>44.084241669999997</v>
      </c>
      <c r="T51" s="11">
        <v>13.445727270000001</v>
      </c>
      <c r="U51" s="11">
        <v>255.309292</v>
      </c>
      <c r="V51" s="13">
        <v>765854.18169999996</v>
      </c>
      <c r="W51" s="13">
        <v>883315.06</v>
      </c>
      <c r="X51" s="13">
        <v>37.137301999999998</v>
      </c>
      <c r="Y51" s="14">
        <f>+Table1[[#This Row],[Generation Cost 
LCOE (USD/MWh)]]+Table1[[#This Row],[Transmission Cost
LCOT (USD/MWh)]]</f>
        <v>81.221543669999988</v>
      </c>
    </row>
    <row r="52" spans="1:25" x14ac:dyDescent="0.3">
      <c r="A52" s="7">
        <v>51</v>
      </c>
      <c r="B52" s="8">
        <v>2715</v>
      </c>
      <c r="C52" s="9">
        <v>48.913787999999997</v>
      </c>
      <c r="D52" s="9">
        <v>-119.42158000000001</v>
      </c>
      <c r="E52" s="10" t="s">
        <v>42</v>
      </c>
      <c r="F52" s="10" t="s">
        <v>4</v>
      </c>
      <c r="G52" s="10" t="s">
        <v>29</v>
      </c>
      <c r="H52" s="10">
        <v>-8</v>
      </c>
      <c r="I52" s="11">
        <v>557.375</v>
      </c>
      <c r="J52" s="11">
        <v>3.7073320999999999</v>
      </c>
      <c r="K52" s="11" t="str">
        <f>IF(Table1[[#This Row],[Solar 
Resource]]&lt;3,"Low", IF(Table1[[#This Row],[Solar 
Resource]]&lt;4, "Moderate","High"))</f>
        <v>Moderate</v>
      </c>
      <c r="L52" s="11">
        <v>0.99754034999999996</v>
      </c>
      <c r="M52" s="11">
        <v>7.8914245059999999</v>
      </c>
      <c r="N52" s="11">
        <v>253.2322915</v>
      </c>
      <c r="O52" s="11">
        <v>339.33125369999999</v>
      </c>
      <c r="P52" s="11">
        <f>Table1[[#This Row],[Installed Capacity 
(AC -MW)]]/Table1[[#This Row],[Installed Capacity 
(DC -MW)]]</f>
        <v>0.74626869390545625</v>
      </c>
      <c r="Q52" s="12">
        <v>0.21712629999999999</v>
      </c>
      <c r="R52" s="12">
        <v>0.16203454</v>
      </c>
      <c r="S52" s="13">
        <v>44.55859676</v>
      </c>
      <c r="T52" s="11">
        <v>3.1782337649999999</v>
      </c>
      <c r="U52" s="11">
        <v>255.309292</v>
      </c>
      <c r="V52" s="13">
        <v>765854.18169999996</v>
      </c>
      <c r="W52" s="13">
        <v>804798</v>
      </c>
      <c r="X52" s="13">
        <v>34.230939999999997</v>
      </c>
      <c r="Y52" s="14">
        <f>+Table1[[#This Row],[Generation Cost 
LCOE (USD/MWh)]]+Table1[[#This Row],[Transmission Cost
LCOT (USD/MWh)]]</f>
        <v>78.789536760000004</v>
      </c>
    </row>
    <row r="53" spans="1:25" x14ac:dyDescent="0.3">
      <c r="A53" s="7">
        <v>52</v>
      </c>
      <c r="B53" s="8">
        <v>2716</v>
      </c>
      <c r="C53" s="9">
        <v>48.937652999999997</v>
      </c>
      <c r="D53" s="9">
        <v>-119.26027000000001</v>
      </c>
      <c r="E53" s="10" t="s">
        <v>42</v>
      </c>
      <c r="F53" s="10" t="s">
        <v>4</v>
      </c>
      <c r="G53" s="10" t="s">
        <v>29</v>
      </c>
      <c r="H53" s="10">
        <v>-8</v>
      </c>
      <c r="I53" s="11">
        <v>1118.5</v>
      </c>
      <c r="J53" s="11">
        <v>3.7253699999999998</v>
      </c>
      <c r="K53" s="11" t="str">
        <f>IF(Table1[[#This Row],[Solar 
Resource]]&lt;3,"Low", IF(Table1[[#This Row],[Solar 
Resource]]&lt;4, "Moderate","High"))</f>
        <v>Moderate</v>
      </c>
      <c r="L53" s="11">
        <v>0.99617374000000003</v>
      </c>
      <c r="M53" s="11">
        <v>21.907502050000002</v>
      </c>
      <c r="N53" s="11">
        <v>703.00188279999998</v>
      </c>
      <c r="O53" s="11">
        <v>942.02258819999997</v>
      </c>
      <c r="P53" s="11">
        <f>Table1[[#This Row],[Installed Capacity 
(AC -MW)]]/Table1[[#This Row],[Installed Capacity 
(DC -MW)]]</f>
        <v>0.74626860502706571</v>
      </c>
      <c r="Q53" s="12">
        <v>0.22061612</v>
      </c>
      <c r="R53" s="12">
        <v>0.1646389</v>
      </c>
      <c r="S53" s="13">
        <v>43.806415780000002</v>
      </c>
      <c r="T53" s="11">
        <v>13.507493500000001</v>
      </c>
      <c r="U53" s="11">
        <v>255.309292</v>
      </c>
      <c r="V53" s="13">
        <v>765854.18169999996</v>
      </c>
      <c r="W53" s="13">
        <v>874382.7</v>
      </c>
      <c r="X53" s="13">
        <v>36.602330000000002</v>
      </c>
      <c r="Y53" s="14">
        <f>+Table1[[#This Row],[Generation Cost 
LCOE (USD/MWh)]]+Table1[[#This Row],[Transmission Cost
LCOT (USD/MWh)]]</f>
        <v>80.408745780000004</v>
      </c>
    </row>
    <row r="54" spans="1:25" x14ac:dyDescent="0.3">
      <c r="A54" s="7">
        <v>53</v>
      </c>
      <c r="B54" s="8">
        <v>2717</v>
      </c>
      <c r="C54" s="9">
        <v>48.961357</v>
      </c>
      <c r="D54" s="9">
        <v>-119.09882</v>
      </c>
      <c r="E54" s="10" t="s">
        <v>42</v>
      </c>
      <c r="F54" s="10" t="s">
        <v>4</v>
      </c>
      <c r="G54" s="10" t="s">
        <v>29</v>
      </c>
      <c r="H54" s="10">
        <v>-8</v>
      </c>
      <c r="I54" s="11">
        <v>1252.3076920000001</v>
      </c>
      <c r="J54" s="11">
        <v>3.6295571</v>
      </c>
      <c r="K54" s="11" t="str">
        <f>IF(Table1[[#This Row],[Solar 
Resource]]&lt;3,"Low", IF(Table1[[#This Row],[Solar 
Resource]]&lt;4, "Moderate","High"))</f>
        <v>Moderate</v>
      </c>
      <c r="L54" s="11">
        <v>0.99500469999999996</v>
      </c>
      <c r="M54" s="11">
        <v>15.930269600000001</v>
      </c>
      <c r="N54" s="11">
        <v>511.1951833</v>
      </c>
      <c r="O54" s="11">
        <v>685.00159299999996</v>
      </c>
      <c r="P54" s="11">
        <f>Table1[[#This Row],[Installed Capacity 
(AC -MW)]]/Table1[[#This Row],[Installed Capacity 
(DC -MW)]]</f>
        <v>0.74626860510089355</v>
      </c>
      <c r="Q54" s="12">
        <v>0.21428454999999999</v>
      </c>
      <c r="R54" s="12">
        <v>0.15991387000000001</v>
      </c>
      <c r="S54" s="13">
        <v>45.059103829999998</v>
      </c>
      <c r="T54" s="11">
        <v>37.686155829999997</v>
      </c>
      <c r="U54" s="11">
        <v>255.309292</v>
      </c>
      <c r="V54" s="13">
        <v>765854.18169999996</v>
      </c>
      <c r="W54" s="13">
        <v>863619.94</v>
      </c>
      <c r="X54" s="13">
        <v>37.219985999999999</v>
      </c>
      <c r="Y54" s="14">
        <f>+Table1[[#This Row],[Generation Cost 
LCOE (USD/MWh)]]+Table1[[#This Row],[Transmission Cost
LCOT (USD/MWh)]]</f>
        <v>82.279089830000004</v>
      </c>
    </row>
    <row r="55" spans="1:25" x14ac:dyDescent="0.3">
      <c r="A55" s="7">
        <v>54</v>
      </c>
      <c r="B55" s="8">
        <v>2718</v>
      </c>
      <c r="C55" s="9">
        <v>48.984893999999997</v>
      </c>
      <c r="D55" s="9">
        <v>-118.93724</v>
      </c>
      <c r="E55" s="10" t="s">
        <v>42</v>
      </c>
      <c r="F55" s="10" t="s">
        <v>4</v>
      </c>
      <c r="G55" s="10" t="s">
        <v>29</v>
      </c>
      <c r="H55" s="10">
        <v>-8</v>
      </c>
      <c r="I55" s="11">
        <v>1123.1111109999999</v>
      </c>
      <c r="J55" s="11">
        <v>3.5630229</v>
      </c>
      <c r="K55" s="11" t="str">
        <f>IF(Table1[[#This Row],[Solar 
Resource]]&lt;3,"Low", IF(Table1[[#This Row],[Solar 
Resource]]&lt;4, "Moderate","High"))</f>
        <v>Moderate</v>
      </c>
      <c r="L55" s="11">
        <v>0.99384930000000005</v>
      </c>
      <c r="M55" s="11">
        <v>2.1616469600000001</v>
      </c>
      <c r="N55" s="11">
        <v>69.366278260000001</v>
      </c>
      <c r="O55" s="11">
        <v>92.950819300000006</v>
      </c>
      <c r="P55" s="11">
        <f>Table1[[#This Row],[Installed Capacity 
(AC -MW)]]/Table1[[#This Row],[Installed Capacity 
(DC -MW)]]</f>
        <v>0.7462686050794175</v>
      </c>
      <c r="Q55" s="12">
        <v>0.20911945000000001</v>
      </c>
      <c r="R55" s="12">
        <v>0.15605930000000001</v>
      </c>
      <c r="S55" s="13">
        <v>46.15690275</v>
      </c>
      <c r="T55" s="11">
        <v>46.075344139999999</v>
      </c>
      <c r="U55" s="11">
        <v>255.309292</v>
      </c>
      <c r="V55" s="13">
        <v>765854.18169999996</v>
      </c>
      <c r="W55" s="13">
        <v>863063.94</v>
      </c>
      <c r="X55" s="13">
        <v>38.114739999999998</v>
      </c>
      <c r="Y55" s="14">
        <f>+Table1[[#This Row],[Generation Cost 
LCOE (USD/MWh)]]+Table1[[#This Row],[Transmission Cost
LCOT (USD/MWh)]]</f>
        <v>84.271642749999998</v>
      </c>
    </row>
    <row r="56" spans="1:25" x14ac:dyDescent="0.3">
      <c r="A56" s="7">
        <v>55</v>
      </c>
      <c r="B56" s="8">
        <v>3062</v>
      </c>
      <c r="C56" s="9">
        <v>47.944336</v>
      </c>
      <c r="D56" s="9">
        <v>-124.61412</v>
      </c>
      <c r="E56" s="10" t="s">
        <v>42</v>
      </c>
      <c r="F56" s="10" t="s">
        <v>4</v>
      </c>
      <c r="G56" s="10" t="s">
        <v>12</v>
      </c>
      <c r="H56" s="10">
        <v>-8</v>
      </c>
      <c r="I56" s="11">
        <v>71.133333329999999</v>
      </c>
      <c r="J56" s="11">
        <v>3.0669208000000001</v>
      </c>
      <c r="K56" s="11" t="str">
        <f>IF(Table1[[#This Row],[Solar 
Resource]]&lt;3,"Low", IF(Table1[[#This Row],[Solar 
Resource]]&lt;4, "Moderate","High"))</f>
        <v>Moderate</v>
      </c>
      <c r="L56" s="11">
        <v>1.0211695000000001</v>
      </c>
      <c r="M56" s="11">
        <v>32.164045969999997</v>
      </c>
      <c r="N56" s="11">
        <v>1032.1298850000001</v>
      </c>
      <c r="O56" s="11">
        <v>1383.053977</v>
      </c>
      <c r="P56" s="11">
        <f>Table1[[#This Row],[Installed Capacity 
(AC -MW)]]/Table1[[#This Row],[Installed Capacity 
(DC -MW)]]</f>
        <v>0.74626869389349948</v>
      </c>
      <c r="Q56" s="12">
        <v>0.17523738999999999</v>
      </c>
      <c r="R56" s="12">
        <v>0.13077416</v>
      </c>
      <c r="S56" s="13">
        <v>56.240010089999998</v>
      </c>
      <c r="T56" s="11">
        <v>16.915798689999999</v>
      </c>
      <c r="U56" s="11">
        <v>406.99887639999997</v>
      </c>
      <c r="V56" s="13">
        <v>1529207.7609999999</v>
      </c>
      <c r="W56" s="13">
        <v>1667265.4</v>
      </c>
      <c r="X56" s="13">
        <v>87.866309999999999</v>
      </c>
      <c r="Y56" s="14">
        <f>+Table1[[#This Row],[Generation Cost 
LCOE (USD/MWh)]]+Table1[[#This Row],[Transmission Cost
LCOT (USD/MWh)]]</f>
        <v>144.10632009</v>
      </c>
    </row>
    <row r="57" spans="1:25" x14ac:dyDescent="0.3">
      <c r="A57" s="7">
        <v>56</v>
      </c>
      <c r="B57" s="8">
        <v>3063</v>
      </c>
      <c r="C57" s="9">
        <v>47.973320000000001</v>
      </c>
      <c r="D57" s="9">
        <v>-124.45799</v>
      </c>
      <c r="E57" s="10" t="s">
        <v>42</v>
      </c>
      <c r="F57" s="10" t="s">
        <v>4</v>
      </c>
      <c r="G57" s="10" t="s">
        <v>12</v>
      </c>
      <c r="H57" s="10">
        <v>-8</v>
      </c>
      <c r="I57" s="11">
        <v>103.9375</v>
      </c>
      <c r="J57" s="11">
        <v>3.0107179999999998</v>
      </c>
      <c r="K57" s="11" t="str">
        <f>IF(Table1[[#This Row],[Solar 
Resource]]&lt;3,"Low", IF(Table1[[#This Row],[Solar 
Resource]]&lt;4, "Moderate","High"))</f>
        <v>Moderate</v>
      </c>
      <c r="L57" s="11">
        <v>1.0209992000000001</v>
      </c>
      <c r="M57" s="11">
        <v>55.854926370000001</v>
      </c>
      <c r="N57" s="11">
        <v>1792.359453</v>
      </c>
      <c r="O57" s="11">
        <v>2401.7618339999999</v>
      </c>
      <c r="P57" s="11">
        <f>Table1[[#This Row],[Installed Capacity 
(AC -MW)]]/Table1[[#This Row],[Installed Capacity 
(DC -MW)]]</f>
        <v>0.74626860483286372</v>
      </c>
      <c r="Q57" s="12">
        <v>0.17120848999999999</v>
      </c>
      <c r="R57" s="12">
        <v>0.12776752999999999</v>
      </c>
      <c r="S57" s="13">
        <v>57.555848050000002</v>
      </c>
      <c r="T57" s="11">
        <v>4.2864675300000004</v>
      </c>
      <c r="U57" s="11">
        <v>406.99887639999997</v>
      </c>
      <c r="V57" s="13">
        <v>1529207.7609999999</v>
      </c>
      <c r="W57" s="13">
        <v>1609292.6</v>
      </c>
      <c r="X57" s="13">
        <v>86.806880000000007</v>
      </c>
      <c r="Y57" s="14">
        <f>+Table1[[#This Row],[Generation Cost 
LCOE (USD/MWh)]]+Table1[[#This Row],[Transmission Cost
LCOT (USD/MWh)]]</f>
        <v>144.36272805000002</v>
      </c>
    </row>
    <row r="58" spans="1:25" x14ac:dyDescent="0.3">
      <c r="A58" s="7">
        <v>57</v>
      </c>
      <c r="B58" s="8">
        <v>3064</v>
      </c>
      <c r="C58" s="9">
        <v>48.002147999999998</v>
      </c>
      <c r="D58" s="9">
        <v>-124.30168999999999</v>
      </c>
      <c r="E58" s="10" t="s">
        <v>42</v>
      </c>
      <c r="F58" s="10" t="s">
        <v>4</v>
      </c>
      <c r="G58" s="10" t="s">
        <v>12</v>
      </c>
      <c r="H58" s="10">
        <v>-8</v>
      </c>
      <c r="I58" s="11">
        <v>241.16666670000001</v>
      </c>
      <c r="J58" s="11">
        <v>3.0019300000000002</v>
      </c>
      <c r="K58" s="11" t="str">
        <f>IF(Table1[[#This Row],[Solar 
Resource]]&lt;3,"Low", IF(Table1[[#This Row],[Solar 
Resource]]&lt;4, "Moderate","High"))</f>
        <v>Moderate</v>
      </c>
      <c r="L58" s="11">
        <v>1.0208543999999999</v>
      </c>
      <c r="M58" s="11">
        <v>17.088733739999999</v>
      </c>
      <c r="N58" s="11">
        <v>548.36977609999997</v>
      </c>
      <c r="O58" s="11">
        <v>734.81555079999998</v>
      </c>
      <c r="P58" s="11">
        <f>Table1[[#This Row],[Installed Capacity 
(AC -MW)]]/Table1[[#This Row],[Installed Capacity 
(DC -MW)]]</f>
        <v>0.74626860509822512</v>
      </c>
      <c r="Q58" s="12">
        <v>0.17186750000000001</v>
      </c>
      <c r="R58" s="12">
        <v>0.12825933</v>
      </c>
      <c r="S58" s="13">
        <v>57.328711640000002</v>
      </c>
      <c r="T58" s="11">
        <v>11.83212337</v>
      </c>
      <c r="U58" s="11">
        <v>388.43109709999999</v>
      </c>
      <c r="V58" s="13">
        <v>1474336.7749999999</v>
      </c>
      <c r="W58" s="13">
        <v>1600209.8</v>
      </c>
      <c r="X58" s="13">
        <v>85.985960000000006</v>
      </c>
      <c r="Y58" s="14">
        <f>+Table1[[#This Row],[Generation Cost 
LCOE (USD/MWh)]]+Table1[[#This Row],[Transmission Cost
LCOT (USD/MWh)]]</f>
        <v>143.31467164</v>
      </c>
    </row>
    <row r="59" spans="1:25" x14ac:dyDescent="0.3">
      <c r="A59" s="7">
        <v>58</v>
      </c>
      <c r="B59" s="8">
        <v>3065</v>
      </c>
      <c r="C59" s="9">
        <v>48.030822999999998</v>
      </c>
      <c r="D59" s="9">
        <v>-124.14524</v>
      </c>
      <c r="E59" s="10" t="s">
        <v>42</v>
      </c>
      <c r="F59" s="10" t="s">
        <v>4</v>
      </c>
      <c r="G59" s="10" t="s">
        <v>12</v>
      </c>
      <c r="H59" s="10">
        <v>-8</v>
      </c>
      <c r="I59" s="11">
        <v>416</v>
      </c>
      <c r="J59" s="11">
        <v>3.0673745000000001</v>
      </c>
      <c r="K59" s="11" t="str">
        <f>IF(Table1[[#This Row],[Solar 
Resource]]&lt;3,"Low", IF(Table1[[#This Row],[Solar 
Resource]]&lt;4, "Moderate","High"))</f>
        <v>Moderate</v>
      </c>
      <c r="L59" s="11">
        <v>1.0207272000000001</v>
      </c>
      <c r="M59" s="11">
        <v>9.8829729489999991</v>
      </c>
      <c r="N59" s="11">
        <v>317.1401171</v>
      </c>
      <c r="O59" s="11">
        <v>424.96783679999999</v>
      </c>
      <c r="P59" s="11">
        <f>Table1[[#This Row],[Installed Capacity 
(AC -MW)]]/Table1[[#This Row],[Installed Capacity 
(DC -MW)]]</f>
        <v>0.74626851643187697</v>
      </c>
      <c r="Q59" s="12">
        <v>0.17719099999999999</v>
      </c>
      <c r="R59" s="12">
        <v>0.13223208</v>
      </c>
      <c r="S59" s="13">
        <v>55.60085299</v>
      </c>
      <c r="T59" s="11">
        <v>12.52124025</v>
      </c>
      <c r="U59" s="11">
        <v>388.43109709999999</v>
      </c>
      <c r="V59" s="13">
        <v>1474336.7749999999</v>
      </c>
      <c r="W59" s="13">
        <v>1583041.8</v>
      </c>
      <c r="X59" s="13">
        <v>82.507819999999995</v>
      </c>
      <c r="Y59" s="14">
        <f>+Table1[[#This Row],[Generation Cost 
LCOE (USD/MWh)]]+Table1[[#This Row],[Transmission Cost
LCOT (USD/MWh)]]</f>
        <v>138.10867299</v>
      </c>
    </row>
    <row r="60" spans="1:25" x14ac:dyDescent="0.3">
      <c r="A60" s="7">
        <v>59</v>
      </c>
      <c r="B60" s="8">
        <v>3066</v>
      </c>
      <c r="C60" s="9">
        <v>48.059350000000002</v>
      </c>
      <c r="D60" s="9">
        <v>-123.98863</v>
      </c>
      <c r="E60" s="10" t="s">
        <v>42</v>
      </c>
      <c r="F60" s="10" t="s">
        <v>4</v>
      </c>
      <c r="G60" s="10" t="s">
        <v>12</v>
      </c>
      <c r="H60" s="10">
        <v>-8</v>
      </c>
      <c r="I60" s="11">
        <v>576.85714289999999</v>
      </c>
      <c r="J60" s="11">
        <v>3.172107</v>
      </c>
      <c r="K60" s="11" t="str">
        <f>IF(Table1[[#This Row],[Solar 
Resource]]&lt;3,"Low", IF(Table1[[#This Row],[Solar 
Resource]]&lt;4, "Moderate","High"))</f>
        <v>Moderate</v>
      </c>
      <c r="L60" s="11">
        <v>1.0206244</v>
      </c>
      <c r="M60" s="11">
        <v>2.6182439209999999</v>
      </c>
      <c r="N60" s="11">
        <v>84.018279250000006</v>
      </c>
      <c r="O60" s="11">
        <v>112.5844886</v>
      </c>
      <c r="P60" s="11">
        <f>Table1[[#This Row],[Installed Capacity 
(AC -MW)]]/Table1[[#This Row],[Installed Capacity 
(DC -MW)]]</f>
        <v>0.74626869380299343</v>
      </c>
      <c r="Q60" s="12">
        <v>0.18440285000000001</v>
      </c>
      <c r="R60" s="12">
        <v>0.13761407000000001</v>
      </c>
      <c r="S60" s="13">
        <v>53.42209733</v>
      </c>
      <c r="T60" s="11">
        <v>7.4955844120000004</v>
      </c>
      <c r="U60" s="11">
        <v>369.92353220000001</v>
      </c>
      <c r="V60" s="13">
        <v>1365071.4779999999</v>
      </c>
      <c r="W60" s="13">
        <v>1516856.1</v>
      </c>
      <c r="X60" s="13">
        <v>75.966329999999999</v>
      </c>
      <c r="Y60" s="14">
        <f>+Table1[[#This Row],[Generation Cost 
LCOE (USD/MWh)]]+Table1[[#This Row],[Transmission Cost
LCOT (USD/MWh)]]</f>
        <v>129.38842733000001</v>
      </c>
    </row>
    <row r="61" spans="1:25" x14ac:dyDescent="0.3">
      <c r="A61" s="7">
        <v>60</v>
      </c>
      <c r="B61" s="8">
        <v>3067</v>
      </c>
      <c r="C61" s="9">
        <v>48.087722999999997</v>
      </c>
      <c r="D61" s="9">
        <v>-123.831856</v>
      </c>
      <c r="E61" s="10" t="s">
        <v>42</v>
      </c>
      <c r="F61" s="10" t="s">
        <v>4</v>
      </c>
      <c r="G61" s="10" t="s">
        <v>12</v>
      </c>
      <c r="H61" s="10">
        <v>-8</v>
      </c>
      <c r="I61" s="11">
        <v>283.39999999999998</v>
      </c>
      <c r="J61" s="11">
        <v>3.3059601999999999</v>
      </c>
      <c r="K61" s="11" t="str">
        <f>IF(Table1[[#This Row],[Solar 
Resource]]&lt;3,"Low", IF(Table1[[#This Row],[Solar 
Resource]]&lt;4, "Moderate","High"))</f>
        <v>Moderate</v>
      </c>
      <c r="L61" s="11">
        <v>1.0205481999999999</v>
      </c>
      <c r="M61" s="11">
        <v>8.4222182369999992</v>
      </c>
      <c r="N61" s="11">
        <v>270.26519339999999</v>
      </c>
      <c r="O61" s="11">
        <v>362.15538420000001</v>
      </c>
      <c r="P61" s="11">
        <f>Table1[[#This Row],[Installed Capacity 
(AC -MW)]]/Table1[[#This Row],[Installed Capacity 
(DC -MW)]]</f>
        <v>0.74626860510997195</v>
      </c>
      <c r="Q61" s="12">
        <v>0.18940552999999999</v>
      </c>
      <c r="R61" s="12">
        <v>0.14134740000000001</v>
      </c>
      <c r="S61" s="13">
        <v>52.008011400000001</v>
      </c>
      <c r="T61" s="11">
        <v>6.1056558389999998</v>
      </c>
      <c r="U61" s="11">
        <v>351.4404543</v>
      </c>
      <c r="V61" s="13">
        <v>1249307.3840000001</v>
      </c>
      <c r="W61" s="13">
        <v>1359298.2</v>
      </c>
      <c r="X61" s="13">
        <v>66.277559999999994</v>
      </c>
      <c r="Y61" s="14">
        <f>+Table1[[#This Row],[Generation Cost 
LCOE (USD/MWh)]]+Table1[[#This Row],[Transmission Cost
LCOT (USD/MWh)]]</f>
        <v>118.28557139999999</v>
      </c>
    </row>
    <row r="62" spans="1:25" x14ac:dyDescent="0.3">
      <c r="A62" s="7">
        <v>61</v>
      </c>
      <c r="B62" s="8">
        <v>3068</v>
      </c>
      <c r="C62" s="9">
        <v>48.115935999999998</v>
      </c>
      <c r="D62" s="9">
        <v>-123.67493</v>
      </c>
      <c r="E62" s="10" t="s">
        <v>42</v>
      </c>
      <c r="F62" s="10" t="s">
        <v>4</v>
      </c>
      <c r="G62" s="10" t="s">
        <v>12</v>
      </c>
      <c r="H62" s="10">
        <v>-8</v>
      </c>
      <c r="I62" s="11">
        <v>174.36363639999999</v>
      </c>
      <c r="J62" s="11">
        <v>3.3513727000000002</v>
      </c>
      <c r="K62" s="11" t="str">
        <f>IF(Table1[[#This Row],[Solar 
Resource]]&lt;3,"Low", IF(Table1[[#This Row],[Solar 
Resource]]&lt;4, "Moderate","High"))</f>
        <v>Moderate</v>
      </c>
      <c r="L62" s="11">
        <v>1.020505</v>
      </c>
      <c r="M62" s="11">
        <v>20.457198630000001</v>
      </c>
      <c r="N62" s="11">
        <v>656.46229879999999</v>
      </c>
      <c r="O62" s="11">
        <v>879.65954120000004</v>
      </c>
      <c r="P62" s="11">
        <f>Table1[[#This Row],[Installed Capacity 
(AC -MW)]]/Table1[[#This Row],[Installed Capacity 
(DC -MW)]]</f>
        <v>0.74626860512929538</v>
      </c>
      <c r="Q62" s="12">
        <v>0.19176792000000001</v>
      </c>
      <c r="R62" s="12">
        <v>0.14311038000000001</v>
      </c>
      <c r="S62" s="13">
        <v>51.365599009999997</v>
      </c>
      <c r="T62" s="11">
        <v>0.18</v>
      </c>
      <c r="U62" s="11">
        <v>340.88377250000002</v>
      </c>
      <c r="V62" s="13">
        <v>1198091.4410000001</v>
      </c>
      <c r="W62" s="13">
        <v>1235698.2</v>
      </c>
      <c r="X62" s="13">
        <v>59.508755000000001</v>
      </c>
      <c r="Y62" s="14">
        <f>+Table1[[#This Row],[Generation Cost 
LCOE (USD/MWh)]]+Table1[[#This Row],[Transmission Cost
LCOT (USD/MWh)]]</f>
        <v>110.87435400999999</v>
      </c>
    </row>
    <row r="63" spans="1:25" x14ac:dyDescent="0.3">
      <c r="A63" s="7">
        <v>62</v>
      </c>
      <c r="B63" s="8">
        <v>3074</v>
      </c>
      <c r="C63" s="9">
        <v>48.281998000000002</v>
      </c>
      <c r="D63" s="9">
        <v>-122.73009999999999</v>
      </c>
      <c r="E63" s="10" t="s">
        <v>42</v>
      </c>
      <c r="F63" s="10" t="s">
        <v>4</v>
      </c>
      <c r="G63" s="10" t="s">
        <v>20</v>
      </c>
      <c r="H63" s="10">
        <v>-8</v>
      </c>
      <c r="I63" s="11">
        <v>40.857142860000003</v>
      </c>
      <c r="J63" s="11">
        <v>3.3675343999999998</v>
      </c>
      <c r="K63" s="11" t="str">
        <f>IF(Table1[[#This Row],[Solar 
Resource]]&lt;3,"Low", IF(Table1[[#This Row],[Solar 
Resource]]&lt;4, "Moderate","High"))</f>
        <v>Moderate</v>
      </c>
      <c r="L63" s="11">
        <v>1.0203397999999999</v>
      </c>
      <c r="M63" s="11">
        <v>12.725990879999999</v>
      </c>
      <c r="N63" s="11">
        <v>408.3713209</v>
      </c>
      <c r="O63" s="11">
        <v>547.21760789999996</v>
      </c>
      <c r="P63" s="11">
        <f>Table1[[#This Row],[Installed Capacity 
(AC -MW)]]/Table1[[#This Row],[Installed Capacity 
(DC -MW)]]</f>
        <v>0.74626860503843084</v>
      </c>
      <c r="Q63" s="12">
        <v>0.19307195999999999</v>
      </c>
      <c r="R63" s="12">
        <v>0.14408356</v>
      </c>
      <c r="S63" s="13">
        <v>51.012127370000002</v>
      </c>
      <c r="T63" s="11">
        <v>0</v>
      </c>
      <c r="U63" s="11">
        <v>191.87920120000001</v>
      </c>
      <c r="V63" s="13">
        <v>751588.35719999997</v>
      </c>
      <c r="W63" s="13">
        <v>786588.4</v>
      </c>
      <c r="X63" s="13">
        <v>37.624671999999997</v>
      </c>
      <c r="Y63" s="14">
        <f>+Table1[[#This Row],[Generation Cost 
LCOE (USD/MWh)]]+Table1[[#This Row],[Transmission Cost
LCOT (USD/MWh)]]</f>
        <v>88.636799370000006</v>
      </c>
    </row>
    <row r="64" spans="1:25" x14ac:dyDescent="0.3">
      <c r="A64" s="7">
        <v>63</v>
      </c>
      <c r="B64" s="8">
        <v>3075</v>
      </c>
      <c r="C64" s="9">
        <v>48.309134999999998</v>
      </c>
      <c r="D64" s="9">
        <v>-122.57210000000001</v>
      </c>
      <c r="E64" s="10" t="s">
        <v>42</v>
      </c>
      <c r="F64" s="10" t="s">
        <v>4</v>
      </c>
      <c r="G64" s="10" t="s">
        <v>20</v>
      </c>
      <c r="H64" s="10">
        <v>-8</v>
      </c>
      <c r="I64" s="11">
        <v>47.5</v>
      </c>
      <c r="J64" s="11">
        <v>3.2972413999999999</v>
      </c>
      <c r="K64" s="11" t="str">
        <f>IF(Table1[[#This Row],[Solar 
Resource]]&lt;3,"Low", IF(Table1[[#This Row],[Solar 
Resource]]&lt;4, "Moderate","High"))</f>
        <v>Moderate</v>
      </c>
      <c r="L64" s="11">
        <v>1.0202236</v>
      </c>
      <c r="M64" s="11">
        <v>14.200919600000001</v>
      </c>
      <c r="N64" s="11">
        <v>455.70112</v>
      </c>
      <c r="O64" s="11">
        <v>610.639543</v>
      </c>
      <c r="P64" s="11">
        <f>Table1[[#This Row],[Installed Capacity 
(AC -MW)]]/Table1[[#This Row],[Installed Capacity 
(DC -MW)]]</f>
        <v>0.74626860514337834</v>
      </c>
      <c r="Q64" s="12">
        <v>0.18898243000000001</v>
      </c>
      <c r="R64" s="12">
        <v>0.14103165000000001</v>
      </c>
      <c r="S64" s="13">
        <v>52.111329900000001</v>
      </c>
      <c r="T64" s="11">
        <v>1.933675324</v>
      </c>
      <c r="U64" s="11">
        <v>180.8107531</v>
      </c>
      <c r="V64" s="13">
        <v>711517.49179999996</v>
      </c>
      <c r="W64" s="13">
        <v>746199.9</v>
      </c>
      <c r="X64" s="13">
        <v>36.465164000000001</v>
      </c>
      <c r="Y64" s="14">
        <f>+Table1[[#This Row],[Generation Cost 
LCOE (USD/MWh)]]+Table1[[#This Row],[Transmission Cost
LCOT (USD/MWh)]]</f>
        <v>88.576493900000003</v>
      </c>
    </row>
    <row r="65" spans="1:25" x14ac:dyDescent="0.3">
      <c r="A65" s="7">
        <v>64</v>
      </c>
      <c r="B65" s="8">
        <v>3076</v>
      </c>
      <c r="C65" s="9">
        <v>48.336117000000002</v>
      </c>
      <c r="D65" s="9">
        <v>-122.41394</v>
      </c>
      <c r="E65" s="10" t="s">
        <v>42</v>
      </c>
      <c r="F65" s="10" t="s">
        <v>4</v>
      </c>
      <c r="G65" s="10" t="s">
        <v>34</v>
      </c>
      <c r="H65" s="10">
        <v>-8</v>
      </c>
      <c r="I65" s="11">
        <v>21.666666670000001</v>
      </c>
      <c r="J65" s="11">
        <v>3.2052299999999998</v>
      </c>
      <c r="K65" s="11" t="str">
        <f>IF(Table1[[#This Row],[Solar 
Resource]]&lt;3,"Low", IF(Table1[[#This Row],[Solar 
Resource]]&lt;4, "Moderate","High"))</f>
        <v>Moderate</v>
      </c>
      <c r="L65" s="11">
        <v>1.0201480000000001</v>
      </c>
      <c r="M65" s="11">
        <v>6.7008060790000004</v>
      </c>
      <c r="N65" s="11">
        <v>215.0258518</v>
      </c>
      <c r="O65" s="11">
        <v>288.13466140000003</v>
      </c>
      <c r="P65" s="11">
        <f>Table1[[#This Row],[Installed Capacity 
(AC -MW)]]/Table1[[#This Row],[Installed Capacity 
(DC -MW)]]</f>
        <v>0.74626860494750591</v>
      </c>
      <c r="Q65" s="12">
        <v>0.18166229</v>
      </c>
      <c r="R65" s="12">
        <v>0.13556886000000001</v>
      </c>
      <c r="S65" s="13">
        <v>54.208000929999997</v>
      </c>
      <c r="T65" s="11">
        <v>15.39329219</v>
      </c>
      <c r="U65" s="11">
        <v>146.6180584</v>
      </c>
      <c r="V65" s="13">
        <v>566451.80240000004</v>
      </c>
      <c r="W65" s="13">
        <v>613579.93999999994</v>
      </c>
      <c r="X65" s="13">
        <v>31.192543000000001</v>
      </c>
      <c r="Y65" s="14">
        <f>+Table1[[#This Row],[Generation Cost 
LCOE (USD/MWh)]]+Table1[[#This Row],[Transmission Cost
LCOT (USD/MWh)]]</f>
        <v>85.400543929999998</v>
      </c>
    </row>
    <row r="66" spans="1:25" x14ac:dyDescent="0.3">
      <c r="A66" s="7">
        <v>65</v>
      </c>
      <c r="B66" s="8">
        <v>3077</v>
      </c>
      <c r="C66" s="9">
        <v>48.362938</v>
      </c>
      <c r="D66" s="9">
        <v>-122.25563</v>
      </c>
      <c r="E66" s="10" t="s">
        <v>42</v>
      </c>
      <c r="F66" s="10" t="s">
        <v>4</v>
      </c>
      <c r="G66" s="10" t="s">
        <v>34</v>
      </c>
      <c r="H66" s="10">
        <v>-8</v>
      </c>
      <c r="I66" s="11">
        <v>140.83333329999999</v>
      </c>
      <c r="J66" s="11">
        <v>3.0920198000000001</v>
      </c>
      <c r="K66" s="11" t="str">
        <f>IF(Table1[[#This Row],[Solar 
Resource]]&lt;3,"Low", IF(Table1[[#This Row],[Solar 
Resource]]&lt;4, "Moderate","High"))</f>
        <v>Moderate</v>
      </c>
      <c r="L66" s="11">
        <v>1.0189035</v>
      </c>
      <c r="M66" s="11">
        <v>21.823019599999999</v>
      </c>
      <c r="N66" s="11">
        <v>700.29096240000001</v>
      </c>
      <c r="O66" s="11">
        <v>938.38984300000004</v>
      </c>
      <c r="P66" s="11">
        <f>Table1[[#This Row],[Installed Capacity 
(AC -MW)]]/Table1[[#This Row],[Installed Capacity 
(DC -MW)]]</f>
        <v>0.74626869378849403</v>
      </c>
      <c r="Q66" s="12">
        <v>0.17603021999999999</v>
      </c>
      <c r="R66" s="12">
        <v>0.13136584000000001</v>
      </c>
      <c r="S66" s="13">
        <v>55.888360839999997</v>
      </c>
      <c r="T66" s="11">
        <v>6.5838896040000003</v>
      </c>
      <c r="U66" s="11">
        <v>138.03607779999999</v>
      </c>
      <c r="V66" s="13">
        <v>543257.17830000003</v>
      </c>
      <c r="W66" s="13">
        <v>623781.9</v>
      </c>
      <c r="X66" s="13">
        <v>32.725777000000001</v>
      </c>
      <c r="Y66" s="14">
        <f>+Table1[[#This Row],[Generation Cost 
LCOE (USD/MWh)]]+Table1[[#This Row],[Transmission Cost
LCOT (USD/MWh)]]</f>
        <v>88.614137839999998</v>
      </c>
    </row>
    <row r="67" spans="1:25" x14ac:dyDescent="0.3">
      <c r="A67" s="7">
        <v>66</v>
      </c>
      <c r="B67" s="8">
        <v>3078</v>
      </c>
      <c r="C67" s="9">
        <v>48.389606000000001</v>
      </c>
      <c r="D67" s="9">
        <v>-122.09717000000001</v>
      </c>
      <c r="E67" s="10" t="s">
        <v>42</v>
      </c>
      <c r="F67" s="10" t="s">
        <v>4</v>
      </c>
      <c r="G67" s="10" t="s">
        <v>34</v>
      </c>
      <c r="H67" s="10">
        <v>-8</v>
      </c>
      <c r="I67" s="11">
        <v>544.36842109999998</v>
      </c>
      <c r="J67" s="11">
        <v>2.9852569999999998</v>
      </c>
      <c r="K67" s="11" t="str">
        <f>IF(Table1[[#This Row],[Solar 
Resource]]&lt;3,"Low", IF(Table1[[#This Row],[Solar 
Resource]]&lt;4, "Moderate","High"))</f>
        <v>Low</v>
      </c>
      <c r="L67" s="11">
        <v>1.0185120999999999</v>
      </c>
      <c r="M67" s="11">
        <v>16.35600608</v>
      </c>
      <c r="N67" s="11">
        <v>524.85687519999999</v>
      </c>
      <c r="O67" s="11">
        <v>703.30826139999999</v>
      </c>
      <c r="P67" s="11">
        <f>Table1[[#This Row],[Installed Capacity 
(AC -MW)]]/Table1[[#This Row],[Installed Capacity 
(DC -MW)]]</f>
        <v>0.74626860511381443</v>
      </c>
      <c r="Q67" s="12">
        <v>0.17091935999999999</v>
      </c>
      <c r="R67" s="12">
        <v>0.12755174999999999</v>
      </c>
      <c r="S67" s="13">
        <v>57.542062719999997</v>
      </c>
      <c r="T67" s="11">
        <v>7.53021428</v>
      </c>
      <c r="U67" s="11">
        <v>115.0673441</v>
      </c>
      <c r="V67" s="13">
        <v>411048.8297</v>
      </c>
      <c r="W67" s="13">
        <v>532870.06000000006</v>
      </c>
      <c r="X67" s="13">
        <v>28.792175</v>
      </c>
      <c r="Y67" s="14">
        <f>+Table1[[#This Row],[Generation Cost 
LCOE (USD/MWh)]]+Table1[[#This Row],[Transmission Cost
LCOT (USD/MWh)]]</f>
        <v>86.334237720000004</v>
      </c>
    </row>
    <row r="68" spans="1:25" x14ac:dyDescent="0.3">
      <c r="A68" s="7">
        <v>67</v>
      </c>
      <c r="B68" s="8">
        <v>3079</v>
      </c>
      <c r="C68" s="9">
        <v>48.416114999999998</v>
      </c>
      <c r="D68" s="9">
        <v>-121.93855000000001</v>
      </c>
      <c r="E68" s="10" t="s">
        <v>42</v>
      </c>
      <c r="F68" s="10" t="s">
        <v>4</v>
      </c>
      <c r="G68" s="10" t="s">
        <v>34</v>
      </c>
      <c r="H68" s="10">
        <v>-8</v>
      </c>
      <c r="I68" s="11">
        <v>727.58333330000005</v>
      </c>
      <c r="J68" s="11">
        <v>2.969004</v>
      </c>
      <c r="K68" s="11" t="str">
        <f>IF(Table1[[#This Row],[Solar 
Resource]]&lt;3,"Low", IF(Table1[[#This Row],[Solar 
Resource]]&lt;4, "Moderate","High"))</f>
        <v>Low</v>
      </c>
      <c r="L68" s="11">
        <v>1.0180418</v>
      </c>
      <c r="M68" s="11">
        <v>3.4146359799999999</v>
      </c>
      <c r="N68" s="11">
        <v>109.5741321</v>
      </c>
      <c r="O68" s="11">
        <v>146.82934710000001</v>
      </c>
      <c r="P68" s="11">
        <f>Table1[[#This Row],[Installed Capacity 
(AC -MW)]]/Table1[[#This Row],[Installed Capacity 
(DC -MW)]]</f>
        <v>0.74626860545373896</v>
      </c>
      <c r="Q68" s="12">
        <v>0.16955993999999999</v>
      </c>
      <c r="R68" s="12">
        <v>0.12653724999999999</v>
      </c>
      <c r="S68" s="13">
        <v>57.982215580000002</v>
      </c>
      <c r="T68" s="11">
        <v>18.223220770000001</v>
      </c>
      <c r="U68" s="11">
        <v>145.53696099999999</v>
      </c>
      <c r="V68" s="13">
        <v>519084.75870000001</v>
      </c>
      <c r="W68" s="13">
        <v>684884.94</v>
      </c>
      <c r="X68" s="13">
        <v>37.302570000000003</v>
      </c>
      <c r="Y68" s="14">
        <f>+Table1[[#This Row],[Generation Cost 
LCOE (USD/MWh)]]+Table1[[#This Row],[Transmission Cost
LCOT (USD/MWh)]]</f>
        <v>95.284785580000005</v>
      </c>
    </row>
    <row r="69" spans="1:25" x14ac:dyDescent="0.3">
      <c r="A69" s="7">
        <v>68</v>
      </c>
      <c r="B69" s="8">
        <v>3080</v>
      </c>
      <c r="C69" s="9">
        <v>48.44247</v>
      </c>
      <c r="D69" s="9">
        <v>-121.77979000000001</v>
      </c>
      <c r="E69" s="10" t="s">
        <v>42</v>
      </c>
      <c r="F69" s="10" t="s">
        <v>4</v>
      </c>
      <c r="G69" s="10" t="s">
        <v>34</v>
      </c>
      <c r="H69" s="10">
        <v>-8</v>
      </c>
      <c r="I69" s="11">
        <v>819.66666669999995</v>
      </c>
      <c r="J69" s="11">
        <v>3.0696766000000002</v>
      </c>
      <c r="K69" s="11" t="str">
        <f>IF(Table1[[#This Row],[Solar 
Resource]]&lt;3,"Low", IF(Table1[[#This Row],[Solar 
Resource]]&lt;4, "Moderate","High"))</f>
        <v>Moderate</v>
      </c>
      <c r="L69" s="11">
        <v>1.0174576</v>
      </c>
      <c r="M69" s="11">
        <v>0.30488402599999997</v>
      </c>
      <c r="N69" s="11">
        <v>9.7835912010000001</v>
      </c>
      <c r="O69" s="11">
        <v>13.11001312</v>
      </c>
      <c r="P69" s="11">
        <f>Table1[[#This Row],[Installed Capacity 
(AC -MW)]]/Table1[[#This Row],[Installed Capacity 
(DC -MW)]]</f>
        <v>0.74626860487840618</v>
      </c>
      <c r="Q69" s="12">
        <v>0.17574877</v>
      </c>
      <c r="R69" s="12">
        <v>0.13115578999999999</v>
      </c>
      <c r="S69" s="13">
        <v>69.287813749999998</v>
      </c>
      <c r="T69" s="11">
        <v>13.20131168</v>
      </c>
      <c r="U69" s="11">
        <v>165.58092199999999</v>
      </c>
      <c r="V69" s="13">
        <v>613733.53559999994</v>
      </c>
      <c r="W69" s="13">
        <v>776632.8</v>
      </c>
      <c r="X69" s="13">
        <v>40.810119999999998</v>
      </c>
      <c r="Y69" s="14">
        <f>+Table1[[#This Row],[Generation Cost 
LCOE (USD/MWh)]]+Table1[[#This Row],[Transmission Cost
LCOT (USD/MWh)]]</f>
        <v>110.09793375</v>
      </c>
    </row>
    <row r="70" spans="1:25" x14ac:dyDescent="0.3">
      <c r="A70" s="7">
        <v>69</v>
      </c>
      <c r="B70" s="8">
        <v>3081</v>
      </c>
      <c r="C70" s="9">
        <v>48.468670000000003</v>
      </c>
      <c r="D70" s="9">
        <v>-121.62088</v>
      </c>
      <c r="E70" s="10" t="s">
        <v>42</v>
      </c>
      <c r="F70" s="10" t="s">
        <v>4</v>
      </c>
      <c r="G70" s="10" t="s">
        <v>34</v>
      </c>
      <c r="H70" s="10">
        <v>-8</v>
      </c>
      <c r="I70" s="11">
        <v>276.8</v>
      </c>
      <c r="J70" s="11">
        <v>3.0912997999999998</v>
      </c>
      <c r="K70" s="11" t="str">
        <f>IF(Table1[[#This Row],[Solar 
Resource]]&lt;3,"Low", IF(Table1[[#This Row],[Solar 
Resource]]&lt;4, "Moderate","High"))</f>
        <v>Moderate</v>
      </c>
      <c r="L70" s="11">
        <v>1.0164291999999999</v>
      </c>
      <c r="M70" s="11">
        <v>9.0370084350000006</v>
      </c>
      <c r="N70" s="11">
        <v>289.99349969999997</v>
      </c>
      <c r="O70" s="11">
        <v>388.59136269999999</v>
      </c>
      <c r="P70" s="11">
        <f>Table1[[#This Row],[Installed Capacity 
(AC -MW)]]/Table1[[#This Row],[Installed Capacity 
(DC -MW)]]</f>
        <v>0.74626851632798785</v>
      </c>
      <c r="Q70" s="12">
        <v>0.17374587</v>
      </c>
      <c r="R70" s="12">
        <v>0.1296611</v>
      </c>
      <c r="S70" s="13">
        <v>56.51436546</v>
      </c>
      <c r="T70" s="11">
        <v>6.8011688250000004</v>
      </c>
      <c r="U70" s="11">
        <v>146.01209080000001</v>
      </c>
      <c r="V70" s="13">
        <v>533275.58259999997</v>
      </c>
      <c r="W70" s="13">
        <v>631834.5</v>
      </c>
      <c r="X70" s="13">
        <v>33.584063999999998</v>
      </c>
      <c r="Y70" s="14">
        <f>+Table1[[#This Row],[Generation Cost 
LCOE (USD/MWh)]]+Table1[[#This Row],[Transmission Cost
LCOT (USD/MWh)]]</f>
        <v>90.098429460000006</v>
      </c>
    </row>
    <row r="71" spans="1:25" x14ac:dyDescent="0.3">
      <c r="A71" s="7">
        <v>70</v>
      </c>
      <c r="B71" s="8">
        <v>3082</v>
      </c>
      <c r="C71" s="9">
        <v>48.494709999999998</v>
      </c>
      <c r="D71" s="9">
        <v>-121.46182</v>
      </c>
      <c r="E71" s="10" t="s">
        <v>42</v>
      </c>
      <c r="F71" s="10" t="s">
        <v>4</v>
      </c>
      <c r="G71" s="10" t="s">
        <v>34</v>
      </c>
      <c r="H71" s="10">
        <v>-8</v>
      </c>
      <c r="I71" s="11">
        <v>305</v>
      </c>
      <c r="J71" s="11">
        <v>3.092381</v>
      </c>
      <c r="K71" s="11" t="str">
        <f>IF(Table1[[#This Row],[Solar 
Resource]]&lt;3,"Low", IF(Table1[[#This Row],[Solar 
Resource]]&lt;4, "Moderate","High"))</f>
        <v>Moderate</v>
      </c>
      <c r="L71" s="11">
        <v>1.0156704999999999</v>
      </c>
      <c r="M71" s="11">
        <v>3.8202841190000001</v>
      </c>
      <c r="N71" s="11">
        <v>122.5911983</v>
      </c>
      <c r="O71" s="11">
        <v>164.27221710000001</v>
      </c>
      <c r="P71" s="11">
        <f>Table1[[#This Row],[Installed Capacity 
(AC -MW)]]/Table1[[#This Row],[Installed Capacity 
(DC -MW)]]</f>
        <v>0.74626860502755088</v>
      </c>
      <c r="Q71" s="12">
        <v>0.17359153999999999</v>
      </c>
      <c r="R71" s="12">
        <v>0.12954593</v>
      </c>
      <c r="S71" s="13">
        <v>56.531222450000001</v>
      </c>
      <c r="T71" s="11">
        <v>2.5855129859999999</v>
      </c>
      <c r="U71" s="11">
        <v>154.52061029999999</v>
      </c>
      <c r="V71" s="13">
        <v>570068.47889999999</v>
      </c>
      <c r="W71" s="13">
        <v>638408.1</v>
      </c>
      <c r="X71" s="13">
        <v>33.963642</v>
      </c>
      <c r="Y71" s="14">
        <f>+Table1[[#This Row],[Generation Cost 
LCOE (USD/MWh)]]+Table1[[#This Row],[Transmission Cost
LCOT (USD/MWh)]]</f>
        <v>90.494864449999994</v>
      </c>
    </row>
    <row r="72" spans="1:25" x14ac:dyDescent="0.3">
      <c r="A72" s="7">
        <v>71</v>
      </c>
      <c r="B72" s="8">
        <v>3088</v>
      </c>
      <c r="C72" s="9">
        <v>48.647644</v>
      </c>
      <c r="D72" s="9">
        <v>-120.504425</v>
      </c>
      <c r="E72" s="10" t="s">
        <v>42</v>
      </c>
      <c r="F72" s="10" t="s">
        <v>4</v>
      </c>
      <c r="G72" s="10" t="s">
        <v>29</v>
      </c>
      <c r="H72" s="10">
        <v>-8</v>
      </c>
      <c r="I72" s="11">
        <v>942</v>
      </c>
      <c r="J72" s="11">
        <v>3.6160002000000002</v>
      </c>
      <c r="K72" s="11" t="str">
        <f>IF(Table1[[#This Row],[Solar 
Resource]]&lt;3,"Low", IF(Table1[[#This Row],[Solar 
Resource]]&lt;4, "Moderate","High"))</f>
        <v>Moderate</v>
      </c>
      <c r="L72" s="11">
        <v>1.0079719</v>
      </c>
      <c r="M72" s="11">
        <v>1.5876000000000001E-2</v>
      </c>
      <c r="N72" s="11">
        <v>0.50945382699999997</v>
      </c>
      <c r="O72" s="11">
        <v>0.68266801300000002</v>
      </c>
      <c r="P72" s="11">
        <f>Table1[[#This Row],[Installed Capacity 
(AC -MW)]]/Table1[[#This Row],[Installed Capacity 
(DC -MW)]]</f>
        <v>0.74626878262714202</v>
      </c>
      <c r="Q72" s="12">
        <v>0.21082528</v>
      </c>
      <c r="R72" s="12">
        <v>0.15733227</v>
      </c>
      <c r="S72" s="13">
        <v>80.527596059999993</v>
      </c>
      <c r="T72" s="11">
        <v>32.701071399999996</v>
      </c>
      <c r="U72" s="11">
        <v>244.4309868</v>
      </c>
      <c r="V72" s="13">
        <v>791780.65980000002</v>
      </c>
      <c r="W72" s="13">
        <v>973489.7</v>
      </c>
      <c r="X72" s="13">
        <v>42.643520000000002</v>
      </c>
      <c r="Y72" s="14">
        <f>+Table1[[#This Row],[Generation Cost 
LCOE (USD/MWh)]]+Table1[[#This Row],[Transmission Cost
LCOT (USD/MWh)]]</f>
        <v>123.17111606</v>
      </c>
    </row>
    <row r="73" spans="1:25" x14ac:dyDescent="0.3">
      <c r="A73" s="7">
        <v>72</v>
      </c>
      <c r="B73" s="8">
        <v>3089</v>
      </c>
      <c r="C73" s="9">
        <v>48.672580000000004</v>
      </c>
      <c r="D73" s="9">
        <v>-120.34435999999999</v>
      </c>
      <c r="E73" s="10" t="s">
        <v>42</v>
      </c>
      <c r="F73" s="10" t="s">
        <v>4</v>
      </c>
      <c r="G73" s="10" t="s">
        <v>29</v>
      </c>
      <c r="H73" s="10">
        <v>-8</v>
      </c>
      <c r="I73" s="11">
        <v>1353</v>
      </c>
      <c r="J73" s="11">
        <v>3.7949999999999999</v>
      </c>
      <c r="K73" s="11" t="str">
        <f>IF(Table1[[#This Row],[Solar 
Resource]]&lt;3,"Low", IF(Table1[[#This Row],[Solar 
Resource]]&lt;4, "Moderate","High"))</f>
        <v>Moderate</v>
      </c>
      <c r="L73" s="11">
        <v>1.0064074999999999</v>
      </c>
      <c r="M73" s="11">
        <v>8.0999999999999996E-3</v>
      </c>
      <c r="N73" s="11">
        <v>0.25992535500000002</v>
      </c>
      <c r="O73" s="11">
        <v>0.3483</v>
      </c>
      <c r="P73" s="11">
        <f>Table1[[#This Row],[Installed Capacity 
(AC -MW)]]/Table1[[#This Row],[Installed Capacity 
(DC -MW)]]</f>
        <v>0.74626860465116285</v>
      </c>
      <c r="Q73" s="12">
        <v>0.22779331999999999</v>
      </c>
      <c r="R73" s="12">
        <v>0.16999503999999999</v>
      </c>
      <c r="S73" s="13">
        <v>80.623931580000004</v>
      </c>
      <c r="T73" s="11">
        <v>32.784675300000004</v>
      </c>
      <c r="U73" s="11">
        <v>244.4309868</v>
      </c>
      <c r="V73" s="13">
        <v>791780.65980000002</v>
      </c>
      <c r="W73" s="13">
        <v>1018304</v>
      </c>
      <c r="X73" s="13">
        <v>41.283912999999998</v>
      </c>
      <c r="Y73" s="14">
        <f>+Table1[[#This Row],[Generation Cost 
LCOE (USD/MWh)]]+Table1[[#This Row],[Transmission Cost
LCOT (USD/MWh)]]</f>
        <v>121.90784458</v>
      </c>
    </row>
    <row r="74" spans="1:25" x14ac:dyDescent="0.3">
      <c r="A74" s="7">
        <v>73</v>
      </c>
      <c r="B74" s="8">
        <v>3090</v>
      </c>
      <c r="C74" s="9">
        <v>48.697356999999997</v>
      </c>
      <c r="D74" s="9">
        <v>-120.18414</v>
      </c>
      <c r="E74" s="10" t="s">
        <v>42</v>
      </c>
      <c r="F74" s="10" t="s">
        <v>4</v>
      </c>
      <c r="G74" s="10" t="s">
        <v>29</v>
      </c>
      <c r="H74" s="10">
        <v>-8</v>
      </c>
      <c r="I74" s="11">
        <v>1093.75</v>
      </c>
      <c r="J74" s="11">
        <v>3.7357035000000001</v>
      </c>
      <c r="K74" s="11" t="str">
        <f>IF(Table1[[#This Row],[Solar 
Resource]]&lt;3,"Low", IF(Table1[[#This Row],[Solar 
Resource]]&lt;4, "Moderate","High"))</f>
        <v>Moderate</v>
      </c>
      <c r="L74" s="11">
        <v>1.0047196</v>
      </c>
      <c r="M74" s="11">
        <v>0.40840201599999998</v>
      </c>
      <c r="N74" s="11">
        <v>13.105436920000001</v>
      </c>
      <c r="O74" s="11">
        <v>17.561286689999999</v>
      </c>
      <c r="P74" s="11">
        <f>Table1[[#This Row],[Installed Capacity 
(AC -MW)]]/Table1[[#This Row],[Installed Capacity 
(DC -MW)]]</f>
        <v>0.7462686049913807</v>
      </c>
      <c r="Q74" s="12">
        <v>0.22321658</v>
      </c>
      <c r="R74" s="12">
        <v>0.16657955999999999</v>
      </c>
      <c r="S74" s="13">
        <v>52.259191800000004</v>
      </c>
      <c r="T74" s="11">
        <v>28.45343505</v>
      </c>
      <c r="U74" s="11">
        <v>244.4309868</v>
      </c>
      <c r="V74" s="13">
        <v>791780.65980000002</v>
      </c>
      <c r="W74" s="13">
        <v>1007634.94</v>
      </c>
      <c r="X74" s="13">
        <v>41.688972</v>
      </c>
      <c r="Y74" s="14">
        <f>+Table1[[#This Row],[Generation Cost 
LCOE (USD/MWh)]]+Table1[[#This Row],[Transmission Cost
LCOT (USD/MWh)]]</f>
        <v>93.948163800000003</v>
      </c>
    </row>
    <row r="75" spans="1:25" x14ac:dyDescent="0.3">
      <c r="A75" s="7">
        <v>74</v>
      </c>
      <c r="B75" s="8">
        <v>3092</v>
      </c>
      <c r="C75" s="9">
        <v>48.746437</v>
      </c>
      <c r="D75" s="9">
        <v>-119.8633</v>
      </c>
      <c r="E75" s="10" t="s">
        <v>42</v>
      </c>
      <c r="F75" s="10" t="s">
        <v>4</v>
      </c>
      <c r="G75" s="10" t="s">
        <v>29</v>
      </c>
      <c r="H75" s="10">
        <v>-8</v>
      </c>
      <c r="I75" s="11">
        <v>1611.9285709999999</v>
      </c>
      <c r="J75" s="11">
        <v>3.6884108000000002</v>
      </c>
      <c r="K75" s="11" t="str">
        <f>IF(Table1[[#This Row],[Solar 
Resource]]&lt;3,"Low", IF(Table1[[#This Row],[Solar 
Resource]]&lt;4, "Moderate","High"))</f>
        <v>Moderate</v>
      </c>
      <c r="L75" s="11">
        <v>1.0014168999999999</v>
      </c>
      <c r="M75" s="11">
        <v>3.6676799010000001</v>
      </c>
      <c r="N75" s="11">
        <v>117.6941976</v>
      </c>
      <c r="O75" s="11">
        <v>157.7102357</v>
      </c>
      <c r="P75" s="11">
        <f>Table1[[#This Row],[Installed Capacity 
(AC -MW)]]/Table1[[#This Row],[Installed Capacity 
(DC -MW)]]</f>
        <v>0.74626860506302573</v>
      </c>
      <c r="Q75" s="12">
        <v>0.22286332</v>
      </c>
      <c r="R75" s="12">
        <v>0.16631591000000001</v>
      </c>
      <c r="S75" s="13">
        <v>43.544430830000003</v>
      </c>
      <c r="T75" s="11">
        <v>25.295941549999998</v>
      </c>
      <c r="U75" s="11">
        <v>245.4081946</v>
      </c>
      <c r="V75" s="13">
        <v>727406.07559999998</v>
      </c>
      <c r="W75" s="13">
        <v>946652.94</v>
      </c>
      <c r="X75" s="13">
        <v>39.22804</v>
      </c>
      <c r="Y75" s="14">
        <f>+Table1[[#This Row],[Generation Cost 
LCOE (USD/MWh)]]+Table1[[#This Row],[Transmission Cost
LCOT (USD/MWh)]]</f>
        <v>82.772470830000003</v>
      </c>
    </row>
    <row r="76" spans="1:25" x14ac:dyDescent="0.3">
      <c r="A76" s="7">
        <v>75</v>
      </c>
      <c r="B76" s="8">
        <v>3093</v>
      </c>
      <c r="C76" s="9">
        <v>48.770736999999997</v>
      </c>
      <c r="D76" s="9">
        <v>-119.70265999999999</v>
      </c>
      <c r="E76" s="10" t="s">
        <v>42</v>
      </c>
      <c r="F76" s="10" t="s">
        <v>4</v>
      </c>
      <c r="G76" s="10" t="s">
        <v>29</v>
      </c>
      <c r="H76" s="10">
        <v>-8</v>
      </c>
      <c r="I76" s="11">
        <v>1286.666667</v>
      </c>
      <c r="J76" s="11">
        <v>3.6937847000000001</v>
      </c>
      <c r="K76" s="11" t="str">
        <f>IF(Table1[[#This Row],[Solar 
Resource]]&lt;3,"Low", IF(Table1[[#This Row],[Solar 
Resource]]&lt;4, "Moderate","High"))</f>
        <v>Moderate</v>
      </c>
      <c r="L76" s="11">
        <v>1.0000468</v>
      </c>
      <c r="M76" s="11">
        <v>3.007692059</v>
      </c>
      <c r="N76" s="11">
        <v>96.515484779999994</v>
      </c>
      <c r="O76" s="11">
        <v>129.3307586</v>
      </c>
      <c r="P76" s="11">
        <f>Table1[[#This Row],[Installed Capacity 
(AC -MW)]]/Table1[[#This Row],[Installed Capacity 
(DC -MW)]]</f>
        <v>0.74626860481432289</v>
      </c>
      <c r="Q76" s="12">
        <v>0.22194067000000001</v>
      </c>
      <c r="R76" s="12">
        <v>0.16562736</v>
      </c>
      <c r="S76" s="13">
        <v>43.678292900000002</v>
      </c>
      <c r="T76" s="11">
        <v>12.25763635</v>
      </c>
      <c r="U76" s="11">
        <v>245.4081946</v>
      </c>
      <c r="V76" s="13">
        <v>727406.07559999998</v>
      </c>
      <c r="W76" s="13">
        <v>861652.1</v>
      </c>
      <c r="X76" s="13">
        <v>35.854156000000003</v>
      </c>
      <c r="Y76" s="14">
        <f>+Table1[[#This Row],[Generation Cost 
LCOE (USD/MWh)]]+Table1[[#This Row],[Transmission Cost
LCOT (USD/MWh)]]</f>
        <v>79.532448900000006</v>
      </c>
    </row>
    <row r="77" spans="1:25" x14ac:dyDescent="0.3">
      <c r="A77" s="7">
        <v>76</v>
      </c>
      <c r="B77" s="8">
        <v>3094</v>
      </c>
      <c r="C77" s="9">
        <v>48.794876000000002</v>
      </c>
      <c r="D77" s="9">
        <v>-119.54188499999999</v>
      </c>
      <c r="E77" s="10" t="s">
        <v>42</v>
      </c>
      <c r="F77" s="10" t="s">
        <v>4</v>
      </c>
      <c r="G77" s="10" t="s">
        <v>29</v>
      </c>
      <c r="H77" s="10">
        <v>-8</v>
      </c>
      <c r="I77" s="11">
        <v>629.52941180000005</v>
      </c>
      <c r="J77" s="11">
        <v>3.7373953000000002</v>
      </c>
      <c r="K77" s="11" t="str">
        <f>IF(Table1[[#This Row],[Solar 
Resource]]&lt;3,"Low", IF(Table1[[#This Row],[Solar 
Resource]]&lt;4, "Moderate","High"))</f>
        <v>Moderate</v>
      </c>
      <c r="L77" s="11">
        <v>0.99830470000000004</v>
      </c>
      <c r="M77" s="11">
        <v>26.20187842</v>
      </c>
      <c r="N77" s="11">
        <v>840.80658800000003</v>
      </c>
      <c r="O77" s="11">
        <v>1126.6807719999999</v>
      </c>
      <c r="P77" s="11">
        <f>Table1[[#This Row],[Installed Capacity 
(AC -MW)]]/Table1[[#This Row],[Installed Capacity 
(DC -MW)]]</f>
        <v>0.74626869375560811</v>
      </c>
      <c r="Q77" s="12">
        <v>0.22063575999999999</v>
      </c>
      <c r="R77" s="12">
        <v>0.16465357</v>
      </c>
      <c r="S77" s="13">
        <v>43.876300649999997</v>
      </c>
      <c r="T77" s="11">
        <v>3.3928636330000002</v>
      </c>
      <c r="U77" s="11">
        <v>241.9599609</v>
      </c>
      <c r="V77" s="13">
        <v>715257.28590000002</v>
      </c>
      <c r="W77" s="13">
        <v>781567.8</v>
      </c>
      <c r="X77" s="13">
        <v>32.714115</v>
      </c>
      <c r="Y77" s="14">
        <f>+Table1[[#This Row],[Generation Cost 
LCOE (USD/MWh)]]+Table1[[#This Row],[Transmission Cost
LCOT (USD/MWh)]]</f>
        <v>76.590415649999997</v>
      </c>
    </row>
    <row r="78" spans="1:25" x14ac:dyDescent="0.3">
      <c r="A78" s="7">
        <v>77</v>
      </c>
      <c r="B78" s="8">
        <v>3095</v>
      </c>
      <c r="C78" s="9">
        <v>48.818854999999999</v>
      </c>
      <c r="D78" s="9">
        <v>-119.38097399999999</v>
      </c>
      <c r="E78" s="10" t="s">
        <v>42</v>
      </c>
      <c r="F78" s="10" t="s">
        <v>4</v>
      </c>
      <c r="G78" s="10" t="s">
        <v>29</v>
      </c>
      <c r="H78" s="10">
        <v>-8</v>
      </c>
      <c r="I78" s="11">
        <v>649.20000000000005</v>
      </c>
      <c r="J78" s="11">
        <v>3.7680693000000001</v>
      </c>
      <c r="K78" s="11" t="str">
        <f>IF(Table1[[#This Row],[Solar 
Resource]]&lt;3,"Low", IF(Table1[[#This Row],[Solar 
Resource]]&lt;4, "Moderate","High"))</f>
        <v>Moderate</v>
      </c>
      <c r="L78" s="11">
        <v>0.99679680000000004</v>
      </c>
      <c r="M78" s="11">
        <v>16.484065579999999</v>
      </c>
      <c r="N78" s="11">
        <v>528.96630970000001</v>
      </c>
      <c r="O78" s="11">
        <v>708.81481980000001</v>
      </c>
      <c r="P78" s="11">
        <f>Table1[[#This Row],[Installed Capacity 
(AC -MW)]]/Table1[[#This Row],[Installed Capacity 
(DC -MW)]]</f>
        <v>0.74626869377428329</v>
      </c>
      <c r="Q78" s="12">
        <v>0.22235279999999999</v>
      </c>
      <c r="R78" s="12">
        <v>0.16593492000000001</v>
      </c>
      <c r="S78" s="13">
        <v>43.485675370000003</v>
      </c>
      <c r="T78" s="11">
        <v>3.9174220740000001</v>
      </c>
      <c r="U78" s="11">
        <v>241.61540239999999</v>
      </c>
      <c r="V78" s="13">
        <v>714313.9669</v>
      </c>
      <c r="W78" s="13">
        <v>781097.56</v>
      </c>
      <c r="X78" s="13">
        <v>32.441960000000002</v>
      </c>
      <c r="Y78" s="14">
        <f>+Table1[[#This Row],[Generation Cost 
LCOE (USD/MWh)]]+Table1[[#This Row],[Transmission Cost
LCOT (USD/MWh)]]</f>
        <v>75.927635370000004</v>
      </c>
    </row>
    <row r="79" spans="1:25" x14ac:dyDescent="0.3">
      <c r="A79" s="7">
        <v>78</v>
      </c>
      <c r="B79" s="8">
        <v>3096</v>
      </c>
      <c r="C79" s="9">
        <v>48.842674000000002</v>
      </c>
      <c r="D79" s="9">
        <v>-119.219925</v>
      </c>
      <c r="E79" s="10" t="s">
        <v>42</v>
      </c>
      <c r="F79" s="10" t="s">
        <v>4</v>
      </c>
      <c r="G79" s="10" t="s">
        <v>29</v>
      </c>
      <c r="H79" s="10">
        <v>-8</v>
      </c>
      <c r="I79" s="11">
        <v>1173.1875</v>
      </c>
      <c r="J79" s="11">
        <v>3.7283865999999999</v>
      </c>
      <c r="K79" s="11" t="str">
        <f>IF(Table1[[#This Row],[Solar 
Resource]]&lt;3,"Low", IF(Table1[[#This Row],[Solar 
Resource]]&lt;4, "Moderate","High"))</f>
        <v>Moderate</v>
      </c>
      <c r="L79" s="11">
        <v>0.99554485000000004</v>
      </c>
      <c r="M79" s="11">
        <v>24.651539209999999</v>
      </c>
      <c r="N79" s="11">
        <v>791.0568945</v>
      </c>
      <c r="O79" s="11">
        <v>1060.0161860000001</v>
      </c>
      <c r="P79" s="11">
        <f>Table1[[#This Row],[Installed Capacity 
(AC -MW)]]/Table1[[#This Row],[Installed Capacity 
(DC -MW)]]</f>
        <v>0.7462686937687949</v>
      </c>
      <c r="Q79" s="12">
        <v>0.22160497000000001</v>
      </c>
      <c r="R79" s="12">
        <v>0.16537684</v>
      </c>
      <c r="S79" s="13">
        <v>43.589268869999998</v>
      </c>
      <c r="T79" s="11">
        <v>15.95933116</v>
      </c>
      <c r="U79" s="11">
        <v>241.61540239999999</v>
      </c>
      <c r="V79" s="13">
        <v>714313.9669</v>
      </c>
      <c r="W79" s="13">
        <v>847316.75</v>
      </c>
      <c r="X79" s="13">
        <v>35.311053999999999</v>
      </c>
      <c r="Y79" s="14">
        <f>+Table1[[#This Row],[Generation Cost 
LCOE (USD/MWh)]]+Table1[[#This Row],[Transmission Cost
LCOT (USD/MWh)]]</f>
        <v>78.900322869999997</v>
      </c>
    </row>
    <row r="80" spans="1:25" x14ac:dyDescent="0.3">
      <c r="A80" s="7">
        <v>79</v>
      </c>
      <c r="B80" s="8">
        <v>3097</v>
      </c>
      <c r="C80" s="9">
        <v>48.866332999999997</v>
      </c>
      <c r="D80" s="9">
        <v>-119.05874</v>
      </c>
      <c r="E80" s="10" t="s">
        <v>42</v>
      </c>
      <c r="F80" s="10" t="s">
        <v>4</v>
      </c>
      <c r="G80" s="10" t="s">
        <v>29</v>
      </c>
      <c r="H80" s="10">
        <v>-8</v>
      </c>
      <c r="I80" s="11">
        <v>1249.8421049999999</v>
      </c>
      <c r="J80" s="11">
        <v>3.6143990000000001</v>
      </c>
      <c r="K80" s="11" t="str">
        <f>IF(Table1[[#This Row],[Solar 
Resource]]&lt;3,"Low", IF(Table1[[#This Row],[Solar 
Resource]]&lt;4, "Moderate","High"))</f>
        <v>Moderate</v>
      </c>
      <c r="L80" s="11">
        <v>0.99432830000000005</v>
      </c>
      <c r="M80" s="11">
        <v>26.245052050000002</v>
      </c>
      <c r="N80" s="11">
        <v>842.1920106</v>
      </c>
      <c r="O80" s="11">
        <v>1128.5372379999999</v>
      </c>
      <c r="P80" s="11">
        <f>Table1[[#This Row],[Installed Capacity 
(AC -MW)]]/Table1[[#This Row],[Installed Capacity 
(DC -MW)]]</f>
        <v>0.74626869388247874</v>
      </c>
      <c r="Q80" s="12">
        <v>0.21388897000000001</v>
      </c>
      <c r="R80" s="12">
        <v>0.15961866</v>
      </c>
      <c r="S80" s="13">
        <v>45.118283169999998</v>
      </c>
      <c r="T80" s="11">
        <v>28.479474020000001</v>
      </c>
      <c r="U80" s="11">
        <v>241.61540239999999</v>
      </c>
      <c r="V80" s="13">
        <v>714313.9669</v>
      </c>
      <c r="W80" s="13">
        <v>936644.6</v>
      </c>
      <c r="X80" s="13">
        <v>40.441833000000003</v>
      </c>
      <c r="Y80" s="14">
        <f>+Table1[[#This Row],[Generation Cost 
LCOE (USD/MWh)]]+Table1[[#This Row],[Transmission Cost
LCOT (USD/MWh)]]</f>
        <v>85.560116170000001</v>
      </c>
    </row>
    <row r="81" spans="1:25" x14ac:dyDescent="0.3">
      <c r="A81" s="7">
        <v>80</v>
      </c>
      <c r="B81" s="8">
        <v>3098</v>
      </c>
      <c r="C81" s="9">
        <v>48.889830000000003</v>
      </c>
      <c r="D81" s="9">
        <v>-118.897415</v>
      </c>
      <c r="E81" s="10" t="s">
        <v>42</v>
      </c>
      <c r="F81" s="10" t="s">
        <v>4</v>
      </c>
      <c r="G81" s="10" t="s">
        <v>29</v>
      </c>
      <c r="H81" s="10">
        <v>-8</v>
      </c>
      <c r="I81" s="11">
        <v>1082.3125</v>
      </c>
      <c r="J81" s="11">
        <v>3.5681677000000001</v>
      </c>
      <c r="K81" s="11" t="str">
        <f>IF(Table1[[#This Row],[Solar 
Resource]]&lt;3,"Low", IF(Table1[[#This Row],[Solar 
Resource]]&lt;4, "Moderate","High"))</f>
        <v>Moderate</v>
      </c>
      <c r="L81" s="11">
        <v>0.99326669999999995</v>
      </c>
      <c r="M81" s="11">
        <v>5.6377621580000001</v>
      </c>
      <c r="N81" s="11">
        <v>180.91325079999999</v>
      </c>
      <c r="O81" s="11">
        <v>242.42377279999999</v>
      </c>
      <c r="P81" s="11">
        <f>Table1[[#This Row],[Installed Capacity 
(AC -MW)]]/Table1[[#This Row],[Installed Capacity 
(DC -MW)]]</f>
        <v>0.74626860522154204</v>
      </c>
      <c r="Q81" s="12">
        <v>0.20947273</v>
      </c>
      <c r="R81" s="12">
        <v>0.15632293999999999</v>
      </c>
      <c r="S81" s="13">
        <v>46.03078292</v>
      </c>
      <c r="T81" s="11">
        <v>38.862097370000001</v>
      </c>
      <c r="U81" s="11">
        <v>214.36001289999999</v>
      </c>
      <c r="V81" s="13">
        <v>902286.40449999995</v>
      </c>
      <c r="W81" s="13">
        <v>1208916</v>
      </c>
      <c r="X81" s="13">
        <v>53.298264000000003</v>
      </c>
      <c r="Y81" s="14">
        <f>+Table1[[#This Row],[Generation Cost 
LCOE (USD/MWh)]]+Table1[[#This Row],[Transmission Cost
LCOT (USD/MWh)]]</f>
        <v>99.329046919999996</v>
      </c>
    </row>
    <row r="82" spans="1:25" x14ac:dyDescent="0.3">
      <c r="A82" s="7">
        <v>81</v>
      </c>
      <c r="B82" s="8">
        <v>3099</v>
      </c>
      <c r="C82" s="9">
        <v>48.913170000000001</v>
      </c>
      <c r="D82" s="9">
        <v>-118.73596000000001</v>
      </c>
      <c r="E82" s="10" t="s">
        <v>42</v>
      </c>
      <c r="F82" s="10" t="s">
        <v>4</v>
      </c>
      <c r="G82" s="10" t="s">
        <v>14</v>
      </c>
      <c r="H82" s="10">
        <v>-8</v>
      </c>
      <c r="I82" s="11">
        <v>1011.529412</v>
      </c>
      <c r="J82" s="11">
        <v>3.5471303000000001</v>
      </c>
      <c r="K82" s="11" t="str">
        <f>IF(Table1[[#This Row],[Solar 
Resource]]&lt;3,"Low", IF(Table1[[#This Row],[Solar 
Resource]]&lt;4, "Moderate","High"))</f>
        <v>Moderate</v>
      </c>
      <c r="L82" s="11">
        <v>0.99187210000000003</v>
      </c>
      <c r="M82" s="11">
        <v>3.1943158810000001</v>
      </c>
      <c r="N82" s="11">
        <v>102.5041592</v>
      </c>
      <c r="O82" s="11">
        <v>137.3555829</v>
      </c>
      <c r="P82" s="11">
        <f>Table1[[#This Row],[Installed Capacity 
(AC -MW)]]/Table1[[#This Row],[Installed Capacity 
(DC -MW)]]</f>
        <v>0.7462686047106426</v>
      </c>
      <c r="Q82" s="12">
        <v>0.20614368999999999</v>
      </c>
      <c r="R82" s="12">
        <v>0.15383859</v>
      </c>
      <c r="S82" s="13">
        <v>46.722455080000003</v>
      </c>
      <c r="T82" s="11">
        <v>38.32474672</v>
      </c>
      <c r="U82" s="11">
        <v>211.00817520000001</v>
      </c>
      <c r="V82" s="13">
        <v>889019.09649999999</v>
      </c>
      <c r="W82" s="13">
        <v>1156483.5</v>
      </c>
      <c r="X82" s="13">
        <v>51.810028000000003</v>
      </c>
      <c r="Y82" s="14">
        <f>+Table1[[#This Row],[Generation Cost 
LCOE (USD/MWh)]]+Table1[[#This Row],[Transmission Cost
LCOT (USD/MWh)]]</f>
        <v>98.532483080000006</v>
      </c>
    </row>
    <row r="83" spans="1:25" x14ac:dyDescent="0.3">
      <c r="A83" s="7">
        <v>82</v>
      </c>
      <c r="B83" s="8">
        <v>3100</v>
      </c>
      <c r="C83" s="9">
        <v>48.936348000000002</v>
      </c>
      <c r="D83" s="9">
        <v>-118.57437</v>
      </c>
      <c r="E83" s="10" t="s">
        <v>42</v>
      </c>
      <c r="F83" s="10" t="s">
        <v>4</v>
      </c>
      <c r="G83" s="10" t="s">
        <v>14</v>
      </c>
      <c r="H83" s="10">
        <v>-8</v>
      </c>
      <c r="I83" s="11">
        <v>936.625</v>
      </c>
      <c r="J83" s="11">
        <v>3.5452349999999999</v>
      </c>
      <c r="K83" s="11" t="str">
        <f>IF(Table1[[#This Row],[Solar 
Resource]]&lt;3,"Low", IF(Table1[[#This Row],[Solar 
Resource]]&lt;4, "Moderate","High"))</f>
        <v>Moderate</v>
      </c>
      <c r="L83" s="11">
        <v>0.99083929999999998</v>
      </c>
      <c r="M83" s="11">
        <v>11.467250679999999</v>
      </c>
      <c r="N83" s="11">
        <v>367.9789581</v>
      </c>
      <c r="O83" s="11">
        <v>493.09177940000001</v>
      </c>
      <c r="P83" s="11">
        <f>Table1[[#This Row],[Installed Capacity 
(AC -MW)]]/Table1[[#This Row],[Installed Capacity 
(DC -MW)]]</f>
        <v>0.74626869372626981</v>
      </c>
      <c r="Q83" s="12">
        <v>0.20501494000000001</v>
      </c>
      <c r="R83" s="12">
        <v>0.15299623000000001</v>
      </c>
      <c r="S83" s="13">
        <v>46.941211170000003</v>
      </c>
      <c r="T83" s="11">
        <v>36.319162310000003</v>
      </c>
      <c r="U83" s="11">
        <v>211.00817520000001</v>
      </c>
      <c r="V83" s="13">
        <v>889019.09649999999</v>
      </c>
      <c r="W83" s="13">
        <v>1142255</v>
      </c>
      <c r="X83" s="13">
        <v>51.454334000000003</v>
      </c>
      <c r="Y83" s="14">
        <f>+Table1[[#This Row],[Generation Cost 
LCOE (USD/MWh)]]+Table1[[#This Row],[Transmission Cost
LCOT (USD/MWh)]]</f>
        <v>98.395545170000005</v>
      </c>
    </row>
    <row r="84" spans="1:25" x14ac:dyDescent="0.3">
      <c r="A84" s="7">
        <v>83</v>
      </c>
      <c r="B84" s="8">
        <v>3101</v>
      </c>
      <c r="C84" s="9">
        <v>48.959361999999999</v>
      </c>
      <c r="D84" s="9">
        <v>-118.41264</v>
      </c>
      <c r="E84" s="10" t="s">
        <v>42</v>
      </c>
      <c r="F84" s="10" t="s">
        <v>4</v>
      </c>
      <c r="G84" s="10" t="s">
        <v>14</v>
      </c>
      <c r="H84" s="10">
        <v>-8</v>
      </c>
      <c r="I84" s="11">
        <v>1107.4285709999999</v>
      </c>
      <c r="J84" s="11">
        <v>3.5293511999999998</v>
      </c>
      <c r="K84" s="11" t="str">
        <f>IF(Table1[[#This Row],[Solar 
Resource]]&lt;3,"Low", IF(Table1[[#This Row],[Solar 
Resource]]&lt;4, "Moderate","High"))</f>
        <v>Moderate</v>
      </c>
      <c r="L84" s="11">
        <v>0.99033046000000002</v>
      </c>
      <c r="M84" s="11">
        <v>1.06515</v>
      </c>
      <c r="N84" s="11">
        <v>34.180188270000002</v>
      </c>
      <c r="O84" s="11">
        <v>45.801450000000003</v>
      </c>
      <c r="P84" s="11">
        <f>Table1[[#This Row],[Installed Capacity 
(AC -MW)]]/Table1[[#This Row],[Installed Capacity 
(DC -MW)]]</f>
        <v>0.74626869389506223</v>
      </c>
      <c r="Q84" s="12">
        <v>0.20416787</v>
      </c>
      <c r="R84" s="12">
        <v>0.1523641</v>
      </c>
      <c r="S84" s="13">
        <v>50.848021029999998</v>
      </c>
      <c r="T84" s="11">
        <v>61.67796749</v>
      </c>
      <c r="U84" s="11">
        <v>211.00817520000001</v>
      </c>
      <c r="V84" s="13">
        <v>889019.09649999999</v>
      </c>
      <c r="W84" s="13">
        <v>1248889.5</v>
      </c>
      <c r="X84" s="13">
        <v>56.491225999999997</v>
      </c>
      <c r="Y84" s="14">
        <f>+Table1[[#This Row],[Generation Cost 
LCOE (USD/MWh)]]+Table1[[#This Row],[Transmission Cost
LCOT (USD/MWh)]]</f>
        <v>107.33924703</v>
      </c>
    </row>
    <row r="85" spans="1:25" x14ac:dyDescent="0.3">
      <c r="A85" s="7">
        <v>84</v>
      </c>
      <c r="B85" s="8">
        <v>3102</v>
      </c>
      <c r="C85" s="9">
        <v>48.982216000000001</v>
      </c>
      <c r="D85" s="9">
        <v>-118.25078000000001</v>
      </c>
      <c r="E85" s="10" t="s">
        <v>42</v>
      </c>
      <c r="F85" s="10" t="s">
        <v>4</v>
      </c>
      <c r="G85" s="10" t="s">
        <v>14</v>
      </c>
      <c r="H85" s="10">
        <v>-8</v>
      </c>
      <c r="I85" s="11">
        <v>686</v>
      </c>
      <c r="J85" s="11">
        <v>3.4565980000000001</v>
      </c>
      <c r="K85" s="11" t="str">
        <f>IF(Table1[[#This Row],[Solar 
Resource]]&lt;3,"Low", IF(Table1[[#This Row],[Solar 
Resource]]&lt;4, "Moderate","High"))</f>
        <v>Moderate</v>
      </c>
      <c r="L85" s="11">
        <v>0.98911554000000002</v>
      </c>
      <c r="M85" s="11">
        <v>2.13888598</v>
      </c>
      <c r="N85" s="11">
        <v>68.635888649999998</v>
      </c>
      <c r="O85" s="11">
        <v>91.972097149999996</v>
      </c>
      <c r="P85" s="11">
        <f>Table1[[#This Row],[Installed Capacity 
(AC -MW)]]/Table1[[#This Row],[Installed Capacity 
(DC -MW)]]</f>
        <v>0.74626860511900373</v>
      </c>
      <c r="Q85" s="12">
        <v>0.19790128000000001</v>
      </c>
      <c r="R85" s="12">
        <v>0.14768751999999999</v>
      </c>
      <c r="S85" s="13">
        <v>48.644912410000003</v>
      </c>
      <c r="T85" s="11">
        <v>48.550116860000003</v>
      </c>
      <c r="U85" s="11">
        <v>164.66328559999999</v>
      </c>
      <c r="V85" s="13">
        <v>625184.16429999995</v>
      </c>
      <c r="W85" s="13">
        <v>993650.6</v>
      </c>
      <c r="X85" s="13">
        <v>46.369190000000003</v>
      </c>
      <c r="Y85" s="14">
        <f>+Table1[[#This Row],[Generation Cost 
LCOE (USD/MWh)]]+Table1[[#This Row],[Transmission Cost
LCOT (USD/MWh)]]</f>
        <v>95.014102410000007</v>
      </c>
    </row>
    <row r="86" spans="1:25" x14ac:dyDescent="0.3">
      <c r="A86" s="7">
        <v>85</v>
      </c>
      <c r="B86" s="8">
        <v>3443</v>
      </c>
      <c r="C86" s="9">
        <v>47.879936000000001</v>
      </c>
      <c r="D86" s="9">
        <v>-124.40971</v>
      </c>
      <c r="E86" s="10" t="s">
        <v>42</v>
      </c>
      <c r="F86" s="10" t="s">
        <v>4</v>
      </c>
      <c r="G86" s="10" t="s">
        <v>12</v>
      </c>
      <c r="H86" s="10">
        <v>-8</v>
      </c>
      <c r="I86" s="11">
        <v>153.7222222</v>
      </c>
      <c r="J86" s="11">
        <v>3.0509453</v>
      </c>
      <c r="K86" s="11" t="str">
        <f>IF(Table1[[#This Row],[Solar 
Resource]]&lt;3,"Low", IF(Table1[[#This Row],[Solar 
Resource]]&lt;4, "Moderate","High"))</f>
        <v>Moderate</v>
      </c>
      <c r="L86" s="11">
        <v>1.0209906</v>
      </c>
      <c r="M86" s="11">
        <v>34.454239889999997</v>
      </c>
      <c r="N86" s="11">
        <v>1105.6211860000001</v>
      </c>
      <c r="O86" s="11">
        <v>1481.5323149999999</v>
      </c>
      <c r="P86" s="11">
        <f>Table1[[#This Row],[Installed Capacity 
(AC -MW)]]/Table1[[#This Row],[Installed Capacity 
(DC -MW)]]</f>
        <v>0.7462686941121498</v>
      </c>
      <c r="Q86" s="12">
        <v>0.17465542000000001</v>
      </c>
      <c r="R86" s="12">
        <v>0.13033986</v>
      </c>
      <c r="S86" s="13">
        <v>56.41957798</v>
      </c>
      <c r="T86" s="11">
        <v>11.673961029999999</v>
      </c>
      <c r="U86" s="11">
        <v>406.99887639999997</v>
      </c>
      <c r="V86" s="13">
        <v>1529207.7609999999</v>
      </c>
      <c r="W86" s="13">
        <v>1663032.5</v>
      </c>
      <c r="X86" s="13">
        <v>87.935265000000001</v>
      </c>
      <c r="Y86" s="14">
        <f>+Table1[[#This Row],[Generation Cost 
LCOE (USD/MWh)]]+Table1[[#This Row],[Transmission Cost
LCOT (USD/MWh)]]</f>
        <v>144.35484298</v>
      </c>
    </row>
    <row r="87" spans="1:25" x14ac:dyDescent="0.3">
      <c r="A87" s="7">
        <v>86</v>
      </c>
      <c r="B87" s="8">
        <v>3444</v>
      </c>
      <c r="C87" s="9">
        <v>47.908714000000003</v>
      </c>
      <c r="D87" s="9">
        <v>-124.25364999999999</v>
      </c>
      <c r="E87" s="10" t="s">
        <v>42</v>
      </c>
      <c r="F87" s="10" t="s">
        <v>4</v>
      </c>
      <c r="G87" s="10" t="s">
        <v>12</v>
      </c>
      <c r="H87" s="10">
        <v>-8</v>
      </c>
      <c r="I87" s="11">
        <v>232.2857143</v>
      </c>
      <c r="J87" s="11">
        <v>3.0202230999999999</v>
      </c>
      <c r="K87" s="11" t="str">
        <f>IF(Table1[[#This Row],[Solar 
Resource]]&lt;3,"Low", IF(Table1[[#This Row],[Solar 
Resource]]&lt;4, "Moderate","High"))</f>
        <v>Moderate</v>
      </c>
      <c r="L87" s="11">
        <v>1.0208577000000001</v>
      </c>
      <c r="M87" s="11">
        <v>7.9882196040000002</v>
      </c>
      <c r="N87" s="11">
        <v>256.33840300000003</v>
      </c>
      <c r="O87" s="11">
        <v>343.49344300000001</v>
      </c>
      <c r="P87" s="11">
        <f>Table1[[#This Row],[Installed Capacity 
(AC -MW)]]/Table1[[#This Row],[Installed Capacity 
(DC -MW)]]</f>
        <v>0.74626869369381243</v>
      </c>
      <c r="Q87" s="12">
        <v>0.17353336999999999</v>
      </c>
      <c r="R87" s="12">
        <v>0.12950252000000001</v>
      </c>
      <c r="S87" s="13">
        <v>56.778526280000001</v>
      </c>
      <c r="T87" s="11">
        <v>13.74240908</v>
      </c>
      <c r="U87" s="11">
        <v>406.9088764</v>
      </c>
      <c r="V87" s="13">
        <v>1528753.13</v>
      </c>
      <c r="W87" s="13">
        <v>1735909.1</v>
      </c>
      <c r="X87" s="13">
        <v>92.382225000000005</v>
      </c>
      <c r="Y87" s="14">
        <f>+Table1[[#This Row],[Generation Cost 
LCOE (USD/MWh)]]+Table1[[#This Row],[Transmission Cost
LCOT (USD/MWh)]]</f>
        <v>149.16075128</v>
      </c>
    </row>
    <row r="88" spans="1:25" x14ac:dyDescent="0.3">
      <c r="A88" s="7">
        <v>87</v>
      </c>
      <c r="B88" s="8">
        <v>3448</v>
      </c>
      <c r="C88" s="9">
        <v>48.022297000000002</v>
      </c>
      <c r="D88" s="9">
        <v>-123.62782</v>
      </c>
      <c r="E88" s="10" t="s">
        <v>42</v>
      </c>
      <c r="F88" s="10" t="s">
        <v>4</v>
      </c>
      <c r="G88" s="10" t="s">
        <v>12</v>
      </c>
      <c r="H88" s="10">
        <v>-8</v>
      </c>
      <c r="I88" s="11">
        <v>363.5</v>
      </c>
      <c r="J88" s="11">
        <v>3.3796957000000001</v>
      </c>
      <c r="K88" s="11" t="str">
        <f>IF(Table1[[#This Row],[Solar 
Resource]]&lt;3,"Low", IF(Table1[[#This Row],[Solar 
Resource]]&lt;4, "Moderate","High"))</f>
        <v>Moderate</v>
      </c>
      <c r="L88" s="11">
        <v>1.0205327</v>
      </c>
      <c r="M88" s="11">
        <v>1.033074069</v>
      </c>
      <c r="N88" s="11">
        <v>33.150882019999997</v>
      </c>
      <c r="O88" s="11">
        <v>44.422184979999997</v>
      </c>
      <c r="P88" s="11">
        <f>Table1[[#This Row],[Installed Capacity 
(AC -MW)]]/Table1[[#This Row],[Installed Capacity 
(DC -MW)]]</f>
        <v>0.74626860508832182</v>
      </c>
      <c r="Q88" s="12">
        <v>0.19507389999999999</v>
      </c>
      <c r="R88" s="12">
        <v>0.14557751999999999</v>
      </c>
      <c r="S88" s="13">
        <v>54.701582350000002</v>
      </c>
      <c r="T88" s="11">
        <v>11.57491557</v>
      </c>
      <c r="U88" s="11">
        <v>330.34892830000001</v>
      </c>
      <c r="V88" s="13">
        <v>1148140.57</v>
      </c>
      <c r="W88" s="13">
        <v>1321191.3999999999</v>
      </c>
      <c r="X88" s="13">
        <v>62.547646</v>
      </c>
      <c r="Y88" s="14">
        <f>+Table1[[#This Row],[Generation Cost 
LCOE (USD/MWh)]]+Table1[[#This Row],[Transmission Cost
LCOT (USD/MWh)]]</f>
        <v>117.24922835000001</v>
      </c>
    </row>
    <row r="89" spans="1:25" x14ac:dyDescent="0.3">
      <c r="A89" s="7">
        <v>88</v>
      </c>
      <c r="B89" s="8">
        <v>3449</v>
      </c>
      <c r="C89" s="9">
        <v>48.050311999999998</v>
      </c>
      <c r="D89" s="9">
        <v>-123.47098</v>
      </c>
      <c r="E89" s="10" t="s">
        <v>42</v>
      </c>
      <c r="F89" s="10" t="s">
        <v>4</v>
      </c>
      <c r="G89" s="10" t="s">
        <v>12</v>
      </c>
      <c r="H89" s="10">
        <v>-8</v>
      </c>
      <c r="I89" s="11">
        <v>373</v>
      </c>
      <c r="J89" s="11">
        <v>3.3219903</v>
      </c>
      <c r="K89" s="11" t="str">
        <f>IF(Table1[[#This Row],[Solar 
Resource]]&lt;3,"Low", IF(Table1[[#This Row],[Solar 
Resource]]&lt;4, "Moderate","High"))</f>
        <v>Moderate</v>
      </c>
      <c r="L89" s="11">
        <v>1.0205417999999999</v>
      </c>
      <c r="M89" s="11">
        <v>4.6881993160000004</v>
      </c>
      <c r="N89" s="11">
        <v>150.4422065</v>
      </c>
      <c r="O89" s="11">
        <v>201.59257059999999</v>
      </c>
      <c r="P89" s="11">
        <f>Table1[[#This Row],[Installed Capacity 
(AC -MW)]]/Table1[[#This Row],[Installed Capacity 
(DC -MW)]]</f>
        <v>0.74626860529750105</v>
      </c>
      <c r="Q89" s="12">
        <v>0.19028993</v>
      </c>
      <c r="R89" s="12">
        <v>0.14200740000000001</v>
      </c>
      <c r="S89" s="13">
        <v>51.766025939999999</v>
      </c>
      <c r="T89" s="11">
        <v>5.3728636329999997</v>
      </c>
      <c r="U89" s="11">
        <v>323.61966860000001</v>
      </c>
      <c r="V89" s="13">
        <v>1107129.5859999999</v>
      </c>
      <c r="W89" s="13">
        <v>1210082.5</v>
      </c>
      <c r="X89" s="13">
        <v>58.727780000000003</v>
      </c>
      <c r="Y89" s="14">
        <f>+Table1[[#This Row],[Generation Cost 
LCOE (USD/MWh)]]+Table1[[#This Row],[Transmission Cost
LCOT (USD/MWh)]]</f>
        <v>110.49380594</v>
      </c>
    </row>
    <row r="90" spans="1:25" x14ac:dyDescent="0.3">
      <c r="A90" s="7">
        <v>89</v>
      </c>
      <c r="B90" s="8">
        <v>3450</v>
      </c>
      <c r="C90" s="9">
        <v>48.07817</v>
      </c>
      <c r="D90" s="9">
        <v>-123.31398</v>
      </c>
      <c r="E90" s="10" t="s">
        <v>42</v>
      </c>
      <c r="F90" s="10" t="s">
        <v>4</v>
      </c>
      <c r="G90" s="10" t="s">
        <v>12</v>
      </c>
      <c r="H90" s="10">
        <v>-8</v>
      </c>
      <c r="I90" s="11">
        <v>276.61538460000003</v>
      </c>
      <c r="J90" s="11">
        <v>3.2591106999999999</v>
      </c>
      <c r="K90" s="11" t="str">
        <f>IF(Table1[[#This Row],[Solar 
Resource]]&lt;3,"Low", IF(Table1[[#This Row],[Solar 
Resource]]&lt;4, "Moderate","High"))</f>
        <v>Moderate</v>
      </c>
      <c r="L90" s="11">
        <v>1.0205578</v>
      </c>
      <c r="M90" s="11">
        <v>29.238812840000001</v>
      </c>
      <c r="N90" s="11">
        <v>938.26034719999996</v>
      </c>
      <c r="O90" s="11">
        <v>1257.2689519999999</v>
      </c>
      <c r="P90" s="11">
        <f>Table1[[#This Row],[Installed Capacity 
(AC -MW)]]/Table1[[#This Row],[Installed Capacity 
(DC -MW)]]</f>
        <v>0.74626860522361804</v>
      </c>
      <c r="Q90" s="12">
        <v>0.18573333</v>
      </c>
      <c r="R90" s="12">
        <v>0.13860700000000001</v>
      </c>
      <c r="S90" s="13">
        <v>53.036657329999997</v>
      </c>
      <c r="T90" s="11">
        <v>0.47183766199999999</v>
      </c>
      <c r="U90" s="11">
        <v>311.34019460000002</v>
      </c>
      <c r="V90" s="13">
        <v>1055278.257</v>
      </c>
      <c r="W90" s="13">
        <v>1094991.8999999999</v>
      </c>
      <c r="X90" s="13">
        <v>54.445934000000001</v>
      </c>
      <c r="Y90" s="14">
        <f>+Table1[[#This Row],[Generation Cost 
LCOE (USD/MWh)]]+Table1[[#This Row],[Transmission Cost
LCOT (USD/MWh)]]</f>
        <v>107.48259132999999</v>
      </c>
    </row>
    <row r="91" spans="1:25" x14ac:dyDescent="0.3">
      <c r="A91" s="7">
        <v>90</v>
      </c>
      <c r="B91" s="8">
        <v>3451</v>
      </c>
      <c r="C91" s="9">
        <v>48.105873000000003</v>
      </c>
      <c r="D91" s="9">
        <v>-123.15681499999999</v>
      </c>
      <c r="E91" s="10" t="s">
        <v>42</v>
      </c>
      <c r="F91" s="10" t="s">
        <v>4</v>
      </c>
      <c r="G91" s="10" t="s">
        <v>12</v>
      </c>
      <c r="H91" s="10">
        <v>-8</v>
      </c>
      <c r="I91" s="11">
        <v>131.7857143</v>
      </c>
      <c r="J91" s="11">
        <v>3.3160297999999999</v>
      </c>
      <c r="K91" s="11" t="str">
        <f>IF(Table1[[#This Row],[Solar 
Resource]]&lt;3,"Low", IF(Table1[[#This Row],[Solar 
Resource]]&lt;4, "Moderate","High"))</f>
        <v>Moderate</v>
      </c>
      <c r="L91" s="11">
        <v>1.0205735</v>
      </c>
      <c r="M91" s="11">
        <v>18.711484500000001</v>
      </c>
      <c r="N91" s="11">
        <v>600.44318910000004</v>
      </c>
      <c r="O91" s="11">
        <v>804.59383339999999</v>
      </c>
      <c r="P91" s="11">
        <f>Table1[[#This Row],[Installed Capacity 
(AC -MW)]]/Table1[[#This Row],[Installed Capacity 
(DC -MW)]]</f>
        <v>0.7462686938112445</v>
      </c>
      <c r="Q91" s="12">
        <v>0.18824597000000001</v>
      </c>
      <c r="R91" s="12">
        <v>0.14048206999999999</v>
      </c>
      <c r="S91" s="13">
        <v>52.329399719999998</v>
      </c>
      <c r="T91" s="11">
        <v>0.30727922099999999</v>
      </c>
      <c r="U91" s="11">
        <v>310.01513619999997</v>
      </c>
      <c r="V91" s="13">
        <v>1067957.8659999999</v>
      </c>
      <c r="W91" s="13">
        <v>1105312.8999999999</v>
      </c>
      <c r="X91" s="13">
        <v>54.225549999999998</v>
      </c>
      <c r="Y91" s="14">
        <f>+Table1[[#This Row],[Generation Cost 
LCOE (USD/MWh)]]+Table1[[#This Row],[Transmission Cost
LCOT (USD/MWh)]]</f>
        <v>106.55494972</v>
      </c>
    </row>
    <row r="92" spans="1:25" x14ac:dyDescent="0.3">
      <c r="A92" s="7">
        <v>91</v>
      </c>
      <c r="B92" s="8">
        <v>3454</v>
      </c>
      <c r="C92" s="9">
        <v>48.188065000000002</v>
      </c>
      <c r="D92" s="9">
        <v>-122.68443000000001</v>
      </c>
      <c r="E92" s="10" t="s">
        <v>42</v>
      </c>
      <c r="F92" s="10" t="s">
        <v>4</v>
      </c>
      <c r="G92" s="10" t="s">
        <v>20</v>
      </c>
      <c r="H92" s="10">
        <v>-8</v>
      </c>
      <c r="I92" s="11">
        <v>35.571428570000002</v>
      </c>
      <c r="J92" s="11">
        <v>3.2958348000000002</v>
      </c>
      <c r="K92" s="11" t="str">
        <f>IF(Table1[[#This Row],[Solar 
Resource]]&lt;3,"Low", IF(Table1[[#This Row],[Solar 
Resource]]&lt;4, "Moderate","High"))</f>
        <v>Moderate</v>
      </c>
      <c r="L92" s="11">
        <v>1.0205389</v>
      </c>
      <c r="M92" s="11">
        <v>11.52800068</v>
      </c>
      <c r="N92" s="11">
        <v>369.92839850000001</v>
      </c>
      <c r="O92" s="11">
        <v>495.70402940000002</v>
      </c>
      <c r="P92" s="11">
        <f>Table1[[#This Row],[Installed Capacity 
(AC -MW)]]/Table1[[#This Row],[Installed Capacity 
(DC -MW)]]</f>
        <v>0.74626869373598037</v>
      </c>
      <c r="Q92" s="12">
        <v>0.18682554000000001</v>
      </c>
      <c r="R92" s="12">
        <v>0.13942203</v>
      </c>
      <c r="S92" s="13">
        <v>52.725853299999997</v>
      </c>
      <c r="T92" s="11">
        <v>5.9000714270000003</v>
      </c>
      <c r="U92" s="11">
        <v>202.34853229999999</v>
      </c>
      <c r="V92" s="13">
        <v>785922.78830000001</v>
      </c>
      <c r="W92" s="13">
        <v>812025.75</v>
      </c>
      <c r="X92" s="13">
        <v>40.140053000000002</v>
      </c>
      <c r="Y92" s="14">
        <f>+Table1[[#This Row],[Generation Cost 
LCOE (USD/MWh)]]+Table1[[#This Row],[Transmission Cost
LCOT (USD/MWh)]]</f>
        <v>92.865906300000006</v>
      </c>
    </row>
    <row r="93" spans="1:25" x14ac:dyDescent="0.3">
      <c r="A93" s="7">
        <v>92</v>
      </c>
      <c r="B93" s="8">
        <v>3455</v>
      </c>
      <c r="C93" s="9">
        <v>48.215150000000001</v>
      </c>
      <c r="D93" s="9">
        <v>-122.52666499999999</v>
      </c>
      <c r="E93" s="10" t="s">
        <v>42</v>
      </c>
      <c r="F93" s="10" t="s">
        <v>4</v>
      </c>
      <c r="G93" s="10" t="s">
        <v>20</v>
      </c>
      <c r="H93" s="10">
        <v>-8</v>
      </c>
      <c r="I93" s="11">
        <v>67</v>
      </c>
      <c r="J93" s="11">
        <v>3.2483382000000001</v>
      </c>
      <c r="K93" s="11" t="str">
        <f>IF(Table1[[#This Row],[Solar 
Resource]]&lt;3,"Low", IF(Table1[[#This Row],[Solar 
Resource]]&lt;4, "Moderate","High"))</f>
        <v>Moderate</v>
      </c>
      <c r="L93" s="11">
        <v>1.02047</v>
      </c>
      <c r="M93" s="11">
        <v>9.6057892089999992</v>
      </c>
      <c r="N93" s="11">
        <v>308.2454899</v>
      </c>
      <c r="O93" s="11">
        <v>413.04893600000003</v>
      </c>
      <c r="P93" s="11">
        <f>Table1[[#This Row],[Installed Capacity 
(AC -MW)]]/Table1[[#This Row],[Installed Capacity 
(DC -MW)]]</f>
        <v>0.74626869369299131</v>
      </c>
      <c r="Q93" s="12">
        <v>0.18395697</v>
      </c>
      <c r="R93" s="12">
        <v>0.13728129999999999</v>
      </c>
      <c r="S93" s="13">
        <v>53.54519234</v>
      </c>
      <c r="T93" s="11">
        <v>20.691597389999998</v>
      </c>
      <c r="U93" s="11">
        <v>109.904909</v>
      </c>
      <c r="V93" s="13">
        <v>379103.71710000001</v>
      </c>
      <c r="W93" s="13">
        <v>468004.94</v>
      </c>
      <c r="X93" s="13">
        <v>23.495170000000002</v>
      </c>
      <c r="Y93" s="14">
        <f>+Table1[[#This Row],[Generation Cost 
LCOE (USD/MWh)]]+Table1[[#This Row],[Transmission Cost
LCOT (USD/MWh)]]</f>
        <v>77.040362340000001</v>
      </c>
    </row>
    <row r="94" spans="1:25" x14ac:dyDescent="0.3">
      <c r="A94" s="7">
        <v>93</v>
      </c>
      <c r="B94" s="8">
        <v>3456</v>
      </c>
      <c r="C94" s="9">
        <v>48.242077000000002</v>
      </c>
      <c r="D94" s="9">
        <v>-122.36874400000001</v>
      </c>
      <c r="E94" s="10" t="s">
        <v>42</v>
      </c>
      <c r="F94" s="10" t="s">
        <v>4</v>
      </c>
      <c r="G94" s="10" t="s">
        <v>35</v>
      </c>
      <c r="H94" s="10">
        <v>-8</v>
      </c>
      <c r="I94" s="11">
        <v>38.833333330000002</v>
      </c>
      <c r="J94" s="11">
        <v>3.1818179999999998</v>
      </c>
      <c r="K94" s="11" t="str">
        <f>IF(Table1[[#This Row],[Solar 
Resource]]&lt;3,"Low", IF(Table1[[#This Row],[Solar 
Resource]]&lt;4, "Moderate","High"))</f>
        <v>Moderate</v>
      </c>
      <c r="L94" s="11">
        <v>1.020356</v>
      </c>
      <c r="M94" s="11">
        <v>12.02525881</v>
      </c>
      <c r="N94" s="11">
        <v>385.88519009999999</v>
      </c>
      <c r="O94" s="11">
        <v>517.08612900000003</v>
      </c>
      <c r="P94" s="11">
        <f>Table1[[#This Row],[Installed Capacity 
(AC -MW)]]/Table1[[#This Row],[Installed Capacity 
(DC -MW)]]</f>
        <v>0.74626869385622208</v>
      </c>
      <c r="Q94" s="12">
        <v>0.17952904</v>
      </c>
      <c r="R94" s="12">
        <v>0.13397686</v>
      </c>
      <c r="S94" s="13">
        <v>54.860987569999999</v>
      </c>
      <c r="T94" s="11">
        <v>1.8963961030000001</v>
      </c>
      <c r="U94" s="11">
        <v>109.904909</v>
      </c>
      <c r="V94" s="13">
        <v>379103.71710000001</v>
      </c>
      <c r="W94" s="13">
        <v>409752.1</v>
      </c>
      <c r="X94" s="13">
        <v>21.078071999999999</v>
      </c>
      <c r="Y94" s="14">
        <f>+Table1[[#This Row],[Generation Cost 
LCOE (USD/MWh)]]+Table1[[#This Row],[Transmission Cost
LCOT (USD/MWh)]]</f>
        <v>75.939059569999998</v>
      </c>
    </row>
    <row r="95" spans="1:25" x14ac:dyDescent="0.3">
      <c r="A95" s="7">
        <v>94</v>
      </c>
      <c r="B95" s="8">
        <v>3457</v>
      </c>
      <c r="C95" s="9">
        <v>48.268852000000003</v>
      </c>
      <c r="D95" s="9">
        <v>-122.21068</v>
      </c>
      <c r="E95" s="10" t="s">
        <v>42</v>
      </c>
      <c r="F95" s="10" t="s">
        <v>4</v>
      </c>
      <c r="G95" s="10" t="s">
        <v>35</v>
      </c>
      <c r="H95" s="10">
        <v>-8</v>
      </c>
      <c r="I95" s="11">
        <v>118.52631580000001</v>
      </c>
      <c r="J95" s="11">
        <v>3.0681485999999998</v>
      </c>
      <c r="K95" s="11" t="str">
        <f>IF(Table1[[#This Row],[Solar 
Resource]]&lt;3,"Low", IF(Table1[[#This Row],[Solar 
Resource]]&lt;4, "Moderate","High"))</f>
        <v>Moderate</v>
      </c>
      <c r="L95" s="11">
        <v>1.0193341</v>
      </c>
      <c r="M95" s="11">
        <v>38.356252730000001</v>
      </c>
      <c r="N95" s="11">
        <v>1230.8350370000001</v>
      </c>
      <c r="O95" s="11">
        <v>1649.3188680000001</v>
      </c>
      <c r="P95" s="11">
        <f>Table1[[#This Row],[Installed Capacity 
(AC -MW)]]/Table1[[#This Row],[Installed Capacity 
(DC -MW)]]</f>
        <v>0.74626869362898718</v>
      </c>
      <c r="Q95" s="12">
        <v>0.17417616999999999</v>
      </c>
      <c r="R95" s="12">
        <v>0.12998222000000001</v>
      </c>
      <c r="S95" s="13">
        <v>56.50216236</v>
      </c>
      <c r="T95" s="11">
        <v>3.0946298680000002</v>
      </c>
      <c r="U95" s="11">
        <v>102.509922</v>
      </c>
      <c r="V95" s="13">
        <v>391924.34649999999</v>
      </c>
      <c r="W95" s="13">
        <v>461850.25</v>
      </c>
      <c r="X95" s="13">
        <v>24.488199999999999</v>
      </c>
      <c r="Y95" s="14">
        <f>+Table1[[#This Row],[Generation Cost 
LCOE (USD/MWh)]]+Table1[[#This Row],[Transmission Cost
LCOT (USD/MWh)]]</f>
        <v>80.990362360000006</v>
      </c>
    </row>
    <row r="96" spans="1:25" x14ac:dyDescent="0.3">
      <c r="A96" s="7">
        <v>95</v>
      </c>
      <c r="B96" s="8">
        <v>3458</v>
      </c>
      <c r="C96" s="9">
        <v>48.295470000000002</v>
      </c>
      <c r="D96" s="9">
        <v>-122.05246</v>
      </c>
      <c r="E96" s="10" t="s">
        <v>42</v>
      </c>
      <c r="F96" s="10" t="s">
        <v>4</v>
      </c>
      <c r="G96" s="10" t="s">
        <v>35</v>
      </c>
      <c r="H96" s="10">
        <v>-8</v>
      </c>
      <c r="I96" s="11">
        <v>302.47368419999998</v>
      </c>
      <c r="J96" s="11">
        <v>2.9844824999999999</v>
      </c>
      <c r="K96" s="11" t="str">
        <f>IF(Table1[[#This Row],[Solar 
Resource]]&lt;3,"Low", IF(Table1[[#This Row],[Solar 
Resource]]&lt;4, "Moderate","High"))</f>
        <v>Low</v>
      </c>
      <c r="L96" s="11">
        <v>1.0188991000000001</v>
      </c>
      <c r="M96" s="11">
        <v>22.520187159999999</v>
      </c>
      <c r="N96" s="11">
        <v>722.66267219999997</v>
      </c>
      <c r="O96" s="11">
        <v>968.3680478</v>
      </c>
      <c r="P96" s="11">
        <f>Table1[[#This Row],[Installed Capacity 
(AC -MW)]]/Table1[[#This Row],[Installed Capacity 
(DC -MW)]]</f>
        <v>0.74626860504308346</v>
      </c>
      <c r="Q96" s="12">
        <v>0.16974247000000001</v>
      </c>
      <c r="R96" s="12">
        <v>0.12667347000000001</v>
      </c>
      <c r="S96" s="13">
        <v>57.958431900000001</v>
      </c>
      <c r="T96" s="11">
        <v>10.997636350000001</v>
      </c>
      <c r="U96" s="11">
        <v>99.582045379999997</v>
      </c>
      <c r="V96" s="13">
        <v>361199.3431</v>
      </c>
      <c r="W96" s="13">
        <v>471801.3</v>
      </c>
      <c r="X96" s="13">
        <v>25.669243000000002</v>
      </c>
      <c r="Y96" s="14">
        <f>+Table1[[#This Row],[Generation Cost 
LCOE (USD/MWh)]]+Table1[[#This Row],[Transmission Cost
LCOT (USD/MWh)]]</f>
        <v>83.627674900000002</v>
      </c>
    </row>
    <row r="97" spans="1:25" x14ac:dyDescent="0.3">
      <c r="A97" s="7">
        <v>96</v>
      </c>
      <c r="B97" s="8">
        <v>3459</v>
      </c>
      <c r="C97" s="9">
        <v>48.321933999999999</v>
      </c>
      <c r="D97" s="9">
        <v>-121.89409999999999</v>
      </c>
      <c r="E97" s="10" t="s">
        <v>42</v>
      </c>
      <c r="F97" s="10" t="s">
        <v>4</v>
      </c>
      <c r="G97" s="10" t="s">
        <v>34</v>
      </c>
      <c r="H97" s="10">
        <v>-8</v>
      </c>
      <c r="I97" s="11">
        <v>492</v>
      </c>
      <c r="J97" s="11">
        <v>2.9758483999999998</v>
      </c>
      <c r="K97" s="11" t="str">
        <f>IF(Table1[[#This Row],[Solar 
Resource]]&lt;3,"Low", IF(Table1[[#This Row],[Solar 
Resource]]&lt;4, "Moderate","High"))</f>
        <v>Low</v>
      </c>
      <c r="L97" s="11">
        <v>1.0184143000000001</v>
      </c>
      <c r="M97" s="11">
        <v>14.040701370000001</v>
      </c>
      <c r="N97" s="11">
        <v>450.55978879999998</v>
      </c>
      <c r="O97" s="11">
        <v>603.75015880000001</v>
      </c>
      <c r="P97" s="11">
        <f>Table1[[#This Row],[Installed Capacity 
(AC -MW)]]/Table1[[#This Row],[Installed Capacity 
(DC -MW)]]</f>
        <v>0.74626860503941284</v>
      </c>
      <c r="Q97" s="12">
        <v>0.16847028</v>
      </c>
      <c r="R97" s="12">
        <v>0.12572407999999999</v>
      </c>
      <c r="S97" s="13">
        <v>58.374134810000001</v>
      </c>
      <c r="T97" s="11">
        <v>7.0455844120000002</v>
      </c>
      <c r="U97" s="11">
        <v>102.5429999</v>
      </c>
      <c r="V97" s="13">
        <v>369780.14360000001</v>
      </c>
      <c r="W97" s="13">
        <v>480383.62</v>
      </c>
      <c r="X97" s="13">
        <v>26.333544</v>
      </c>
      <c r="Y97" s="14">
        <f>+Table1[[#This Row],[Generation Cost 
LCOE (USD/MWh)]]+Table1[[#This Row],[Transmission Cost
LCOT (USD/MWh)]]</f>
        <v>84.707678810000004</v>
      </c>
    </row>
    <row r="98" spans="1:25" x14ac:dyDescent="0.3">
      <c r="A98" s="7">
        <v>97</v>
      </c>
      <c r="B98" s="8">
        <v>3460</v>
      </c>
      <c r="C98" s="9">
        <v>48.348239999999997</v>
      </c>
      <c r="D98" s="9">
        <v>-121.73558</v>
      </c>
      <c r="E98" s="10" t="s">
        <v>42</v>
      </c>
      <c r="F98" s="10" t="s">
        <v>4</v>
      </c>
      <c r="G98" s="10" t="s">
        <v>34</v>
      </c>
      <c r="H98" s="10">
        <v>-8</v>
      </c>
      <c r="I98" s="11">
        <v>767</v>
      </c>
      <c r="J98" s="11">
        <v>3.0179999999999998</v>
      </c>
      <c r="K98" s="11" t="str">
        <f>IF(Table1[[#This Row],[Solar 
Resource]]&lt;3,"Low", IF(Table1[[#This Row],[Solar 
Resource]]&lt;4, "Moderate","High"))</f>
        <v>Moderate</v>
      </c>
      <c r="L98" s="11">
        <v>1.0173234</v>
      </c>
      <c r="M98" s="11">
        <v>5.8320000000000004E-3</v>
      </c>
      <c r="N98" s="11">
        <v>0.18714626300000001</v>
      </c>
      <c r="O98" s="11">
        <v>0.25077600999999999</v>
      </c>
      <c r="P98" s="11">
        <f>Table1[[#This Row],[Installed Capacity 
(AC -MW)]]/Table1[[#This Row],[Installed Capacity 
(DC -MW)]]</f>
        <v>0.74626860440119458</v>
      </c>
      <c r="Q98" s="12">
        <v>0.17303166</v>
      </c>
      <c r="R98" s="12">
        <v>0.1291281</v>
      </c>
      <c r="S98" s="13">
        <v>111.4672108</v>
      </c>
      <c r="T98" s="11">
        <v>10.087493500000001</v>
      </c>
      <c r="U98" s="11">
        <v>115.3086558</v>
      </c>
      <c r="V98" s="13">
        <v>421772.11859999999</v>
      </c>
      <c r="W98" s="13">
        <v>572850.6</v>
      </c>
      <c r="X98" s="13">
        <v>30.574560000000002</v>
      </c>
      <c r="Y98" s="14">
        <f>+Table1[[#This Row],[Generation Cost 
LCOE (USD/MWh)]]+Table1[[#This Row],[Transmission Cost
LCOT (USD/MWh)]]</f>
        <v>142.04177079999999</v>
      </c>
    </row>
    <row r="99" spans="1:25" x14ac:dyDescent="0.3">
      <c r="A99" s="7">
        <v>98</v>
      </c>
      <c r="B99" s="8">
        <v>3461</v>
      </c>
      <c r="C99" s="9">
        <v>48.374389999999998</v>
      </c>
      <c r="D99" s="9">
        <v>-121.57692</v>
      </c>
      <c r="E99" s="10" t="s">
        <v>42</v>
      </c>
      <c r="F99" s="10" t="s">
        <v>4</v>
      </c>
      <c r="G99" s="10" t="s">
        <v>34</v>
      </c>
      <c r="H99" s="10">
        <v>-8</v>
      </c>
      <c r="I99" s="11">
        <v>399.41666670000001</v>
      </c>
      <c r="J99" s="11">
        <v>3.1022983000000002</v>
      </c>
      <c r="K99" s="11" t="str">
        <f>IF(Table1[[#This Row],[Solar 
Resource]]&lt;3,"Low", IF(Table1[[#This Row],[Solar 
Resource]]&lt;4, "Moderate","High"))</f>
        <v>Moderate</v>
      </c>
      <c r="L99" s="11">
        <v>1.0170269000000001</v>
      </c>
      <c r="M99" s="11">
        <v>7.721892059</v>
      </c>
      <c r="N99" s="11">
        <v>247.7920709</v>
      </c>
      <c r="O99" s="11">
        <v>332.04135860000002</v>
      </c>
      <c r="P99" s="11">
        <f>Table1[[#This Row],[Installed Capacity 
(AC -MW)]]/Table1[[#This Row],[Installed Capacity 
(DC -MW)]]</f>
        <v>0.74626869358918468</v>
      </c>
      <c r="Q99" s="12">
        <v>0.17416735999999999</v>
      </c>
      <c r="R99" s="12">
        <v>0.12997565</v>
      </c>
      <c r="S99" s="13">
        <v>56.403824180000001</v>
      </c>
      <c r="T99" s="11">
        <v>1.0491168820000001</v>
      </c>
      <c r="U99" s="11">
        <v>137.9637142</v>
      </c>
      <c r="V99" s="13">
        <v>499989.94870000001</v>
      </c>
      <c r="W99" s="13">
        <v>546752.75</v>
      </c>
      <c r="X99" s="13">
        <v>28.99136</v>
      </c>
      <c r="Y99" s="14">
        <f>+Table1[[#This Row],[Generation Cost 
LCOE (USD/MWh)]]+Table1[[#This Row],[Transmission Cost
LCOT (USD/MWh)]]</f>
        <v>85.395184180000001</v>
      </c>
    </row>
    <row r="100" spans="1:25" x14ac:dyDescent="0.3">
      <c r="A100" s="7">
        <v>99</v>
      </c>
      <c r="B100" s="8">
        <v>3462</v>
      </c>
      <c r="C100" s="9">
        <v>48.400382999999998</v>
      </c>
      <c r="D100" s="9">
        <v>-121.41810599999999</v>
      </c>
      <c r="E100" s="10" t="s">
        <v>42</v>
      </c>
      <c r="F100" s="10" t="s">
        <v>4</v>
      </c>
      <c r="G100" s="10" t="s">
        <v>34</v>
      </c>
      <c r="H100" s="10">
        <v>-8</v>
      </c>
      <c r="I100" s="11">
        <v>494.5</v>
      </c>
      <c r="J100" s="11">
        <v>3.1403677000000001</v>
      </c>
      <c r="K100" s="11" t="str">
        <f>IF(Table1[[#This Row],[Solar 
Resource]]&lt;3,"Low", IF(Table1[[#This Row],[Solar 
Resource]]&lt;4, "Moderate","High"))</f>
        <v>Moderate</v>
      </c>
      <c r="L100" s="11">
        <v>1.0159853000000001</v>
      </c>
      <c r="M100" s="11">
        <v>5.9940001E-2</v>
      </c>
      <c r="N100" s="11">
        <v>1.923447653</v>
      </c>
      <c r="O100" s="11">
        <v>2.5774200330000001</v>
      </c>
      <c r="P100" s="11">
        <f>Table1[[#This Row],[Installed Capacity 
(AC -MW)]]/Table1[[#This Row],[Installed Capacity 
(DC -MW)]]</f>
        <v>0.7462686051839188</v>
      </c>
      <c r="Q100" s="12">
        <v>0.1769657</v>
      </c>
      <c r="R100" s="12">
        <v>0.13206396000000001</v>
      </c>
      <c r="S100" s="13">
        <v>82.697338090000002</v>
      </c>
      <c r="T100" s="11">
        <v>11.034915570000001</v>
      </c>
      <c r="U100" s="11">
        <v>145.5402531</v>
      </c>
      <c r="V100" s="13">
        <v>532064.07339999999</v>
      </c>
      <c r="W100" s="13">
        <v>696785.56</v>
      </c>
      <c r="X100" s="13">
        <v>36.362560000000002</v>
      </c>
      <c r="Y100" s="14">
        <f>+Table1[[#This Row],[Generation Cost 
LCOE (USD/MWh)]]+Table1[[#This Row],[Transmission Cost
LCOT (USD/MWh)]]</f>
        <v>119.05989809</v>
      </c>
    </row>
    <row r="101" spans="1:25" x14ac:dyDescent="0.3">
      <c r="A101" s="7">
        <v>100</v>
      </c>
      <c r="B101" s="8">
        <v>3468</v>
      </c>
      <c r="C101" s="9">
        <v>48.553040000000003</v>
      </c>
      <c r="D101" s="9">
        <v>-120.462204</v>
      </c>
      <c r="E101" s="10" t="s">
        <v>42</v>
      </c>
      <c r="F101" s="10" t="s">
        <v>4</v>
      </c>
      <c r="G101" s="10" t="s">
        <v>29</v>
      </c>
      <c r="H101" s="10">
        <v>-8</v>
      </c>
      <c r="I101" s="11">
        <v>970.8</v>
      </c>
      <c r="J101" s="11">
        <v>3.7397706999999998</v>
      </c>
      <c r="K101" s="11" t="str">
        <f>IF(Table1[[#This Row],[Solar 
Resource]]&lt;3,"Low", IF(Table1[[#This Row],[Solar 
Resource]]&lt;4, "Moderate","High"))</f>
        <v>Moderate</v>
      </c>
      <c r="L101" s="11">
        <v>1.0073472999999999</v>
      </c>
      <c r="M101" s="11">
        <v>0.38021401999999999</v>
      </c>
      <c r="N101" s="11">
        <v>12.200898260000001</v>
      </c>
      <c r="O101" s="11">
        <v>16.349202850000001</v>
      </c>
      <c r="P101" s="11">
        <f>Table1[[#This Row],[Installed Capacity 
(AC -MW)]]/Table1[[#This Row],[Installed Capacity 
(DC -MW)]]</f>
        <v>0.74626869407275109</v>
      </c>
      <c r="Q101" s="12">
        <v>0.21941253999999999</v>
      </c>
      <c r="R101" s="12">
        <v>0.16374068</v>
      </c>
      <c r="S101" s="13">
        <v>53.704290200000003</v>
      </c>
      <c r="T101" s="11">
        <v>24.102551930000001</v>
      </c>
      <c r="U101" s="11">
        <v>244.4309868</v>
      </c>
      <c r="V101" s="13">
        <v>791780.65980000002</v>
      </c>
      <c r="W101" s="13">
        <v>962277.44</v>
      </c>
      <c r="X101" s="13">
        <v>40.502631999999998</v>
      </c>
      <c r="Y101" s="14">
        <f>+Table1[[#This Row],[Generation Cost 
LCOE (USD/MWh)]]+Table1[[#This Row],[Transmission Cost
LCOT (USD/MWh)]]</f>
        <v>94.206922200000008</v>
      </c>
    </row>
    <row r="102" spans="1:25" x14ac:dyDescent="0.3">
      <c r="A102" s="7">
        <v>101</v>
      </c>
      <c r="B102" s="8">
        <v>3469</v>
      </c>
      <c r="C102" s="9">
        <v>48.577930000000002</v>
      </c>
      <c r="D102" s="9">
        <v>-120.302376</v>
      </c>
      <c r="E102" s="10" t="s">
        <v>42</v>
      </c>
      <c r="F102" s="10" t="s">
        <v>4</v>
      </c>
      <c r="G102" s="10" t="s">
        <v>29</v>
      </c>
      <c r="H102" s="10">
        <v>-8</v>
      </c>
      <c r="I102" s="11">
        <v>931</v>
      </c>
      <c r="J102" s="11">
        <v>3.7639364999999998</v>
      </c>
      <c r="K102" s="11" t="str">
        <f>IF(Table1[[#This Row],[Solar 
Resource]]&lt;3,"Low", IF(Table1[[#This Row],[Solar 
Resource]]&lt;4, "Moderate","High"))</f>
        <v>Moderate</v>
      </c>
      <c r="L102" s="11">
        <v>1.0062062000000001</v>
      </c>
      <c r="M102" s="11">
        <v>1.6614720839999999</v>
      </c>
      <c r="N102" s="11">
        <v>53.315891550000003</v>
      </c>
      <c r="O102" s="11">
        <v>71.443299609999997</v>
      </c>
      <c r="P102" s="11">
        <f>Table1[[#This Row],[Installed Capacity 
(AC -MW)]]/Table1[[#This Row],[Installed Capacity 
(DC -MW)]]</f>
        <v>0.7462686051882369</v>
      </c>
      <c r="Q102" s="12">
        <v>0.22296270000000001</v>
      </c>
      <c r="R102" s="12">
        <v>0.16639006000000001</v>
      </c>
      <c r="S102" s="13">
        <v>44.95787842</v>
      </c>
      <c r="T102" s="11">
        <v>16.574987</v>
      </c>
      <c r="U102" s="11">
        <v>244.4309868</v>
      </c>
      <c r="V102" s="13">
        <v>791780.65980000002</v>
      </c>
      <c r="W102" s="13">
        <v>901015.06</v>
      </c>
      <c r="X102" s="13">
        <v>37.320225000000001</v>
      </c>
      <c r="Y102" s="14">
        <f>+Table1[[#This Row],[Generation Cost 
LCOE (USD/MWh)]]+Table1[[#This Row],[Transmission Cost
LCOT (USD/MWh)]]</f>
        <v>82.278103420000008</v>
      </c>
    </row>
    <row r="103" spans="1:25" x14ac:dyDescent="0.3">
      <c r="A103" s="7">
        <v>102</v>
      </c>
      <c r="B103" s="8">
        <v>3470</v>
      </c>
      <c r="C103" s="9">
        <v>48.60266</v>
      </c>
      <c r="D103" s="9">
        <v>-120.14241</v>
      </c>
      <c r="E103" s="10" t="s">
        <v>42</v>
      </c>
      <c r="F103" s="10" t="s">
        <v>4</v>
      </c>
      <c r="G103" s="10" t="s">
        <v>29</v>
      </c>
      <c r="H103" s="10">
        <v>-8</v>
      </c>
      <c r="I103" s="11">
        <v>976.08333330000005</v>
      </c>
      <c r="J103" s="11">
        <v>3.7996279999999998</v>
      </c>
      <c r="K103" s="11" t="str">
        <f>IF(Table1[[#This Row],[Solar 
Resource]]&lt;3,"Low", IF(Table1[[#This Row],[Solar 
Resource]]&lt;4, "Moderate","High"))</f>
        <v>Moderate</v>
      </c>
      <c r="L103" s="11">
        <v>1.0045975</v>
      </c>
      <c r="M103" s="11">
        <v>1.2274740689999999</v>
      </c>
      <c r="N103" s="11">
        <v>39.389090539999998</v>
      </c>
      <c r="O103" s="11">
        <v>52.781384979999999</v>
      </c>
      <c r="P103" s="11">
        <f>Table1[[#This Row],[Installed Capacity 
(AC -MW)]]/Table1[[#This Row],[Installed Capacity 
(DC -MW)]]</f>
        <v>0.74626860501908709</v>
      </c>
      <c r="Q103" s="12">
        <v>0.22786175</v>
      </c>
      <c r="R103" s="12">
        <v>0.17004609000000001</v>
      </c>
      <c r="S103" s="13">
        <v>45.386604140000003</v>
      </c>
      <c r="T103" s="11">
        <v>16.6713831</v>
      </c>
      <c r="U103" s="11">
        <v>244.4309868</v>
      </c>
      <c r="V103" s="13">
        <v>791780.65980000002</v>
      </c>
      <c r="W103" s="13">
        <v>905787.94</v>
      </c>
      <c r="X103" s="13">
        <v>36.711280000000002</v>
      </c>
      <c r="Y103" s="14">
        <f>+Table1[[#This Row],[Generation Cost 
LCOE (USD/MWh)]]+Table1[[#This Row],[Transmission Cost
LCOT (USD/MWh)]]</f>
        <v>82.097884140000005</v>
      </c>
    </row>
    <row r="104" spans="1:25" x14ac:dyDescent="0.3">
      <c r="A104" s="7">
        <v>103</v>
      </c>
      <c r="B104" s="8">
        <v>3472</v>
      </c>
      <c r="C104" s="9">
        <v>48.651646</v>
      </c>
      <c r="D104" s="9">
        <v>-119.82207</v>
      </c>
      <c r="E104" s="10" t="s">
        <v>42</v>
      </c>
      <c r="F104" s="10" t="s">
        <v>4</v>
      </c>
      <c r="G104" s="10" t="s">
        <v>29</v>
      </c>
      <c r="H104" s="10">
        <v>-8</v>
      </c>
      <c r="I104" s="11">
        <v>1355.8</v>
      </c>
      <c r="J104" s="11">
        <v>3.7134624000000001</v>
      </c>
      <c r="K104" s="11" t="str">
        <f>IF(Table1[[#This Row],[Solar 
Resource]]&lt;3,"Low", IF(Table1[[#This Row],[Solar 
Resource]]&lt;4, "Moderate","High"))</f>
        <v>Moderate</v>
      </c>
      <c r="L104" s="11">
        <v>1.0010778</v>
      </c>
      <c r="M104" s="11">
        <v>1.699056079</v>
      </c>
      <c r="N104" s="11">
        <v>54.521945029999998</v>
      </c>
      <c r="O104" s="11">
        <v>73.059411400000002</v>
      </c>
      <c r="P104" s="11">
        <f>Table1[[#This Row],[Installed Capacity 
(AC -MW)]]/Table1[[#This Row],[Installed Capacity 
(DC -MW)]]</f>
        <v>0.7462686050328623</v>
      </c>
      <c r="Q104" s="12">
        <v>0.22522078000000001</v>
      </c>
      <c r="R104" s="12">
        <v>0.16807522999999999</v>
      </c>
      <c r="S104" s="13">
        <v>44.221015629999997</v>
      </c>
      <c r="T104" s="11">
        <v>23.330928549999999</v>
      </c>
      <c r="U104" s="11">
        <v>205.4852856</v>
      </c>
      <c r="V104" s="13">
        <v>585289.53890000004</v>
      </c>
      <c r="W104" s="13">
        <v>790649</v>
      </c>
      <c r="X104" s="13">
        <v>32.420498000000002</v>
      </c>
      <c r="Y104" s="14">
        <f>+Table1[[#This Row],[Generation Cost 
LCOE (USD/MWh)]]+Table1[[#This Row],[Transmission Cost
LCOT (USD/MWh)]]</f>
        <v>76.641513629999992</v>
      </c>
    </row>
    <row r="105" spans="1:25" x14ac:dyDescent="0.3">
      <c r="A105" s="7">
        <v>104</v>
      </c>
      <c r="B105" s="8">
        <v>3473</v>
      </c>
      <c r="C105" s="9">
        <v>48.675899999999999</v>
      </c>
      <c r="D105" s="9">
        <v>-119.6617</v>
      </c>
      <c r="E105" s="10" t="s">
        <v>42</v>
      </c>
      <c r="F105" s="10" t="s">
        <v>4</v>
      </c>
      <c r="G105" s="10" t="s">
        <v>29</v>
      </c>
      <c r="H105" s="10">
        <v>-8</v>
      </c>
      <c r="I105" s="11">
        <v>839.83333330000005</v>
      </c>
      <c r="J105" s="11">
        <v>3.7463605000000002</v>
      </c>
      <c r="K105" s="11" t="str">
        <f>IF(Table1[[#This Row],[Solar 
Resource]]&lt;3,"Low", IF(Table1[[#This Row],[Solar 
Resource]]&lt;4, "Moderate","High"))</f>
        <v>Moderate</v>
      </c>
      <c r="L105" s="11">
        <v>0.99923119999999999</v>
      </c>
      <c r="M105" s="11">
        <v>6.2930523559999996</v>
      </c>
      <c r="N105" s="11">
        <v>201.9412183</v>
      </c>
      <c r="O105" s="11">
        <v>270.6012513</v>
      </c>
      <c r="P105" s="11">
        <f>Table1[[#This Row],[Installed Capacity 
(AC -MW)]]/Table1[[#This Row],[Installed Capacity 
(DC -MW)]]</f>
        <v>0.74626860493013547</v>
      </c>
      <c r="Q105" s="12">
        <v>0.22423486000000001</v>
      </c>
      <c r="R105" s="12">
        <v>0.16733944000000001</v>
      </c>
      <c r="S105" s="13">
        <v>43.203621439999999</v>
      </c>
      <c r="T105" s="11">
        <v>16.16381818</v>
      </c>
      <c r="U105" s="11">
        <v>222.68497389999999</v>
      </c>
      <c r="V105" s="13">
        <v>646338.61620000005</v>
      </c>
      <c r="W105" s="13">
        <v>759608.7</v>
      </c>
      <c r="X105" s="13">
        <v>31.284641000000001</v>
      </c>
      <c r="Y105" s="14">
        <f>+Table1[[#This Row],[Generation Cost 
LCOE (USD/MWh)]]+Table1[[#This Row],[Transmission Cost
LCOT (USD/MWh)]]</f>
        <v>74.48826244</v>
      </c>
    </row>
    <row r="106" spans="1:25" x14ac:dyDescent="0.3">
      <c r="A106" s="7">
        <v>105</v>
      </c>
      <c r="B106" s="8">
        <v>3474</v>
      </c>
      <c r="C106" s="9">
        <v>48.699992999999999</v>
      </c>
      <c r="D106" s="9">
        <v>-119.501175</v>
      </c>
      <c r="E106" s="10" t="s">
        <v>42</v>
      </c>
      <c r="F106" s="10" t="s">
        <v>4</v>
      </c>
      <c r="G106" s="10" t="s">
        <v>29</v>
      </c>
      <c r="H106" s="10">
        <v>-8</v>
      </c>
      <c r="I106" s="11">
        <v>529.70588239999995</v>
      </c>
      <c r="J106" s="11">
        <v>3.7773560000000002</v>
      </c>
      <c r="K106" s="11" t="str">
        <f>IF(Table1[[#This Row],[Solar 
Resource]]&lt;3,"Low", IF(Table1[[#This Row],[Solar 
Resource]]&lt;4, "Moderate","High"))</f>
        <v>Moderate</v>
      </c>
      <c r="L106" s="11">
        <v>0.99777570000000004</v>
      </c>
      <c r="M106" s="11">
        <v>28.436104029999999</v>
      </c>
      <c r="N106" s="11">
        <v>912.50178249999999</v>
      </c>
      <c r="O106" s="11">
        <v>1222.752473</v>
      </c>
      <c r="P106" s="11">
        <f>Table1[[#This Row],[Installed Capacity 
(AC -MW)]]/Table1[[#This Row],[Installed Capacity 
(DC -MW)]]</f>
        <v>0.74626860517500671</v>
      </c>
      <c r="Q106" s="12">
        <v>0.22398993</v>
      </c>
      <c r="R106" s="12">
        <v>0.16715664999999999</v>
      </c>
      <c r="S106" s="13">
        <v>43.201230469999999</v>
      </c>
      <c r="T106" s="11">
        <v>4.1219090889999999</v>
      </c>
      <c r="U106" s="11">
        <v>222.68497389999999</v>
      </c>
      <c r="V106" s="13">
        <v>646338.61620000005</v>
      </c>
      <c r="W106" s="13">
        <v>696610.75</v>
      </c>
      <c r="X106" s="13">
        <v>28.721430000000002</v>
      </c>
      <c r="Y106" s="14">
        <f>+Table1[[#This Row],[Generation Cost 
LCOE (USD/MWh)]]+Table1[[#This Row],[Transmission Cost
LCOT (USD/MWh)]]</f>
        <v>71.922660469999997</v>
      </c>
    </row>
    <row r="107" spans="1:25" x14ac:dyDescent="0.3">
      <c r="A107" s="7">
        <v>106</v>
      </c>
      <c r="B107" s="8">
        <v>3475</v>
      </c>
      <c r="C107" s="9">
        <v>48.723930000000003</v>
      </c>
      <c r="D107" s="9">
        <v>-119.340515</v>
      </c>
      <c r="E107" s="10" t="s">
        <v>42</v>
      </c>
      <c r="F107" s="10" t="s">
        <v>4</v>
      </c>
      <c r="G107" s="10" t="s">
        <v>29</v>
      </c>
      <c r="H107" s="10">
        <v>-8</v>
      </c>
      <c r="I107" s="11">
        <v>735</v>
      </c>
      <c r="J107" s="11">
        <v>3.8029427999999998</v>
      </c>
      <c r="K107" s="11" t="str">
        <f>IF(Table1[[#This Row],[Solar 
Resource]]&lt;3,"Low", IF(Table1[[#This Row],[Solar 
Resource]]&lt;4, "Moderate","High"))</f>
        <v>Moderate</v>
      </c>
      <c r="L107" s="11">
        <v>0.99625056999999995</v>
      </c>
      <c r="M107" s="11">
        <v>25.334209420000001</v>
      </c>
      <c r="N107" s="11">
        <v>812.96338049999997</v>
      </c>
      <c r="O107" s="11">
        <v>1089.371005</v>
      </c>
      <c r="P107" s="11">
        <f>Table1[[#This Row],[Installed Capacity 
(AC -MW)]]/Table1[[#This Row],[Installed Capacity 
(DC -MW)]]</f>
        <v>0.74626860524895278</v>
      </c>
      <c r="Q107" s="12">
        <v>0.22625844000000001</v>
      </c>
      <c r="R107" s="12">
        <v>0.16884957</v>
      </c>
      <c r="S107" s="13">
        <v>42.716587930000003</v>
      </c>
      <c r="T107" s="11">
        <v>8.740142853</v>
      </c>
      <c r="U107" s="11">
        <v>222.68497389999999</v>
      </c>
      <c r="V107" s="13">
        <v>646338.61620000005</v>
      </c>
      <c r="W107" s="13">
        <v>727085.5</v>
      </c>
      <c r="X107" s="13">
        <v>29.677350000000001</v>
      </c>
      <c r="Y107" s="14">
        <f>+Table1[[#This Row],[Generation Cost 
LCOE (USD/MWh)]]+Table1[[#This Row],[Transmission Cost
LCOT (USD/MWh)]]</f>
        <v>72.393937930000007</v>
      </c>
    </row>
    <row r="108" spans="1:25" x14ac:dyDescent="0.3">
      <c r="A108" s="7">
        <v>107</v>
      </c>
      <c r="B108" s="8">
        <v>3476</v>
      </c>
      <c r="C108" s="9">
        <v>48.747703999999999</v>
      </c>
      <c r="D108" s="9">
        <v>-119.17972</v>
      </c>
      <c r="E108" s="10" t="s">
        <v>42</v>
      </c>
      <c r="F108" s="10" t="s">
        <v>4</v>
      </c>
      <c r="G108" s="10" t="s">
        <v>29</v>
      </c>
      <c r="H108" s="10">
        <v>-8</v>
      </c>
      <c r="I108" s="11">
        <v>1283.875</v>
      </c>
      <c r="J108" s="11">
        <v>3.7829516000000001</v>
      </c>
      <c r="K108" s="11" t="str">
        <f>IF(Table1[[#This Row],[Solar 
Resource]]&lt;3,"Low", IF(Table1[[#This Row],[Solar 
Resource]]&lt;4, "Moderate","High"))</f>
        <v>Moderate</v>
      </c>
      <c r="L108" s="11">
        <v>0.99486554000000005</v>
      </c>
      <c r="M108" s="11">
        <v>12.084228039999999</v>
      </c>
      <c r="N108" s="11">
        <v>387.77744009999998</v>
      </c>
      <c r="O108" s="11">
        <v>519.62180569999998</v>
      </c>
      <c r="P108" s="11">
        <f>Table1[[#This Row],[Installed Capacity 
(AC -MW)]]/Table1[[#This Row],[Installed Capacity 
(DC -MW)]]</f>
        <v>0.74626860506289183</v>
      </c>
      <c r="Q108" s="12">
        <v>0.22731227000000001</v>
      </c>
      <c r="R108" s="12">
        <v>0.16963602999999999</v>
      </c>
      <c r="S108" s="13">
        <v>42.472005000000003</v>
      </c>
      <c r="T108" s="11">
        <v>20.93116882</v>
      </c>
      <c r="U108" s="11">
        <v>222.68497389999999</v>
      </c>
      <c r="V108" s="13">
        <v>646338.61620000005</v>
      </c>
      <c r="W108" s="13">
        <v>796137.9</v>
      </c>
      <c r="X108" s="13">
        <v>32.345199999999998</v>
      </c>
      <c r="Y108" s="14">
        <f>+Table1[[#This Row],[Generation Cost 
LCOE (USD/MWh)]]+Table1[[#This Row],[Transmission Cost
LCOT (USD/MWh)]]</f>
        <v>74.817205000000001</v>
      </c>
    </row>
    <row r="109" spans="1:25" x14ac:dyDescent="0.3">
      <c r="A109" s="7">
        <v>108</v>
      </c>
      <c r="B109" s="8">
        <v>3477</v>
      </c>
      <c r="C109" s="9">
        <v>48.771320000000003</v>
      </c>
      <c r="D109" s="9">
        <v>-119.01879</v>
      </c>
      <c r="E109" s="10" t="s">
        <v>42</v>
      </c>
      <c r="F109" s="10" t="s">
        <v>4</v>
      </c>
      <c r="G109" s="10" t="s">
        <v>29</v>
      </c>
      <c r="H109" s="10">
        <v>-8</v>
      </c>
      <c r="I109" s="11">
        <v>1295</v>
      </c>
      <c r="J109" s="11">
        <v>3.6431208000000002</v>
      </c>
      <c r="K109" s="11" t="str">
        <f>IF(Table1[[#This Row],[Solar 
Resource]]&lt;3,"Low", IF(Table1[[#This Row],[Solar 
Resource]]&lt;4, "Moderate","High"))</f>
        <v>Moderate</v>
      </c>
      <c r="L109" s="11">
        <v>0.99332094000000004</v>
      </c>
      <c r="M109" s="11">
        <v>22.77331216</v>
      </c>
      <c r="N109" s="11">
        <v>730.7852527</v>
      </c>
      <c r="O109" s="11">
        <v>979.25242279999998</v>
      </c>
      <c r="P109" s="11">
        <f>Table1[[#This Row],[Installed Capacity 
(AC -MW)]]/Table1[[#This Row],[Installed Capacity 
(DC -MW)]]</f>
        <v>0.74626851635500491</v>
      </c>
      <c r="Q109" s="12">
        <v>0.21655488000000001</v>
      </c>
      <c r="R109" s="12">
        <v>0.16160812999999999</v>
      </c>
      <c r="S109" s="13">
        <v>44.527315110000004</v>
      </c>
      <c r="T109" s="11">
        <v>32.339973999999998</v>
      </c>
      <c r="U109" s="11">
        <v>214.36001289999999</v>
      </c>
      <c r="V109" s="13">
        <v>902286.40449999995</v>
      </c>
      <c r="W109" s="13">
        <v>1140703.5</v>
      </c>
      <c r="X109" s="13">
        <v>48.646233000000002</v>
      </c>
      <c r="Y109" s="14">
        <f>+Table1[[#This Row],[Generation Cost 
LCOE (USD/MWh)]]+Table1[[#This Row],[Transmission Cost
LCOT (USD/MWh)]]</f>
        <v>93.173548110000013</v>
      </c>
    </row>
    <row r="110" spans="1:25" x14ac:dyDescent="0.3">
      <c r="A110" s="7">
        <v>109</v>
      </c>
      <c r="B110" s="8">
        <v>3478</v>
      </c>
      <c r="C110" s="9">
        <v>48.794772999999999</v>
      </c>
      <c r="D110" s="9">
        <v>-118.85773</v>
      </c>
      <c r="E110" s="10" t="s">
        <v>42</v>
      </c>
      <c r="F110" s="10" t="s">
        <v>4</v>
      </c>
      <c r="G110" s="10" t="s">
        <v>29</v>
      </c>
      <c r="H110" s="10">
        <v>-8</v>
      </c>
      <c r="I110" s="11">
        <v>1232.6875</v>
      </c>
      <c r="J110" s="11">
        <v>3.5971641999999999</v>
      </c>
      <c r="K110" s="11" t="str">
        <f>IF(Table1[[#This Row],[Solar 
Resource]]&lt;3,"Low", IF(Table1[[#This Row],[Solar 
Resource]]&lt;4, "Moderate","High"))</f>
        <v>Moderate</v>
      </c>
      <c r="L110" s="11">
        <v>0.99212544999999996</v>
      </c>
      <c r="M110" s="11">
        <v>3.5189640199999999</v>
      </c>
      <c r="N110" s="11">
        <v>112.9219719</v>
      </c>
      <c r="O110" s="11">
        <v>151.3154529</v>
      </c>
      <c r="P110" s="11">
        <f>Table1[[#This Row],[Installed Capacity 
(AC -MW)]]/Table1[[#This Row],[Installed Capacity 
(DC -MW)]]</f>
        <v>0.74626860466542611</v>
      </c>
      <c r="Q110" s="12">
        <v>0.21261361000000001</v>
      </c>
      <c r="R110" s="12">
        <v>0.15866685</v>
      </c>
      <c r="S110" s="13">
        <v>45.309780940000003</v>
      </c>
      <c r="T110" s="11">
        <v>24.328876609999998</v>
      </c>
      <c r="U110" s="11">
        <v>214.36001289999999</v>
      </c>
      <c r="V110" s="13">
        <v>902286.40449999995</v>
      </c>
      <c r="W110" s="13">
        <v>1113722.1000000001</v>
      </c>
      <c r="X110" s="13">
        <v>48.376026000000003</v>
      </c>
      <c r="Y110" s="14">
        <f>+Table1[[#This Row],[Generation Cost 
LCOE (USD/MWh)]]+Table1[[#This Row],[Transmission Cost
LCOT (USD/MWh)]]</f>
        <v>93.685806940000006</v>
      </c>
    </row>
    <row r="111" spans="1:25" x14ac:dyDescent="0.3">
      <c r="A111" s="7">
        <v>110</v>
      </c>
      <c r="B111" s="8">
        <v>3479</v>
      </c>
      <c r="C111" s="9">
        <v>48.818069999999999</v>
      </c>
      <c r="D111" s="9">
        <v>-118.69653</v>
      </c>
      <c r="E111" s="10" t="s">
        <v>42</v>
      </c>
      <c r="F111" s="10" t="s">
        <v>4</v>
      </c>
      <c r="G111" s="10" t="s">
        <v>14</v>
      </c>
      <c r="H111" s="10">
        <v>-8</v>
      </c>
      <c r="I111" s="11">
        <v>1001</v>
      </c>
      <c r="J111" s="11">
        <v>3.5917496999999998</v>
      </c>
      <c r="K111" s="11" t="str">
        <f>IF(Table1[[#This Row],[Solar 
Resource]]&lt;3,"Low", IF(Table1[[#This Row],[Solar 
Resource]]&lt;4, "Moderate","High"))</f>
        <v>Moderate</v>
      </c>
      <c r="L111" s="11">
        <v>0.99093735000000005</v>
      </c>
      <c r="M111" s="11">
        <v>13.07728784</v>
      </c>
      <c r="N111" s="11">
        <v>419.64428229999999</v>
      </c>
      <c r="O111" s="11">
        <v>562.32337719999998</v>
      </c>
      <c r="P111" s="11">
        <f>Table1[[#This Row],[Installed Capacity 
(AC -MW)]]/Table1[[#This Row],[Installed Capacity 
(DC -MW)]]</f>
        <v>0.74626860506769632</v>
      </c>
      <c r="Q111" s="12">
        <v>0.20994157999999999</v>
      </c>
      <c r="R111" s="12">
        <v>0.15667281999999999</v>
      </c>
      <c r="S111" s="13">
        <v>45.843227710000001</v>
      </c>
      <c r="T111" s="11">
        <v>22.415941549999999</v>
      </c>
      <c r="U111" s="11">
        <v>214.36001289999999</v>
      </c>
      <c r="V111" s="13">
        <v>902286.40449999995</v>
      </c>
      <c r="W111" s="13">
        <v>1066481.5</v>
      </c>
      <c r="X111" s="13">
        <v>46.913654000000001</v>
      </c>
      <c r="Y111" s="14">
        <f>+Table1[[#This Row],[Generation Cost 
LCOE (USD/MWh)]]+Table1[[#This Row],[Transmission Cost
LCOT (USD/MWh)]]</f>
        <v>92.756881710000002</v>
      </c>
    </row>
    <row r="112" spans="1:25" x14ac:dyDescent="0.3">
      <c r="A112" s="7">
        <v>111</v>
      </c>
      <c r="B112" s="8">
        <v>3480</v>
      </c>
      <c r="C112" s="9">
        <v>48.841200000000001</v>
      </c>
      <c r="D112" s="9">
        <v>-118.535194</v>
      </c>
      <c r="E112" s="10" t="s">
        <v>42</v>
      </c>
      <c r="F112" s="10" t="s">
        <v>4</v>
      </c>
      <c r="G112" s="10" t="s">
        <v>14</v>
      </c>
      <c r="H112" s="10">
        <v>-8</v>
      </c>
      <c r="I112" s="11">
        <v>991.9375</v>
      </c>
      <c r="J112" s="11">
        <v>3.5762537000000001</v>
      </c>
      <c r="K112" s="11" t="str">
        <f>IF(Table1[[#This Row],[Solar 
Resource]]&lt;3,"Low", IF(Table1[[#This Row],[Solar 
Resource]]&lt;4, "Moderate","High"))</f>
        <v>Moderate</v>
      </c>
      <c r="L112" s="11">
        <v>0.99011092999999994</v>
      </c>
      <c r="M112" s="11">
        <v>11.06087432</v>
      </c>
      <c r="N112" s="11">
        <v>354.9384374</v>
      </c>
      <c r="O112" s="11">
        <v>475.61759560000002</v>
      </c>
      <c r="P112" s="11">
        <f>Table1[[#This Row],[Installed Capacity 
(AC -MW)]]/Table1[[#This Row],[Installed Capacity 
(DC -MW)]]</f>
        <v>0.74626851631138436</v>
      </c>
      <c r="Q112" s="12">
        <v>0.20717584999999999</v>
      </c>
      <c r="R112" s="12">
        <v>0.15460884999999999</v>
      </c>
      <c r="S112" s="13">
        <v>46.424746429999999</v>
      </c>
      <c r="T112" s="11">
        <v>28.8235779</v>
      </c>
      <c r="U112" s="11">
        <v>214.36001289999999</v>
      </c>
      <c r="V112" s="13">
        <v>902286.40449999995</v>
      </c>
      <c r="W112" s="13">
        <v>1091310.3999999999</v>
      </c>
      <c r="X112" s="13">
        <v>48.646720000000002</v>
      </c>
      <c r="Y112" s="14">
        <f>+Table1[[#This Row],[Generation Cost 
LCOE (USD/MWh)]]+Table1[[#This Row],[Transmission Cost
LCOT (USD/MWh)]]</f>
        <v>95.071466430000001</v>
      </c>
    </row>
    <row r="113" spans="1:25" x14ac:dyDescent="0.3">
      <c r="A113" s="7">
        <v>112</v>
      </c>
      <c r="B113" s="8">
        <v>3481</v>
      </c>
      <c r="C113" s="9">
        <v>48.864173999999998</v>
      </c>
      <c r="D113" s="9">
        <v>-118.37372000000001</v>
      </c>
      <c r="E113" s="10" t="s">
        <v>42</v>
      </c>
      <c r="F113" s="10" t="s">
        <v>4</v>
      </c>
      <c r="G113" s="10" t="s">
        <v>14</v>
      </c>
      <c r="H113" s="10">
        <v>-8</v>
      </c>
      <c r="I113" s="11">
        <v>1347.1875</v>
      </c>
      <c r="J113" s="11">
        <v>3.5290089</v>
      </c>
      <c r="K113" s="11" t="str">
        <f>IF(Table1[[#This Row],[Solar 
Resource]]&lt;3,"Low", IF(Table1[[#This Row],[Solar 
Resource]]&lt;4, "Moderate","High"))</f>
        <v>Moderate</v>
      </c>
      <c r="L113" s="11">
        <v>0.98928640000000001</v>
      </c>
      <c r="M113" s="11">
        <v>5.4759243160000004</v>
      </c>
      <c r="N113" s="11">
        <v>175.71994720000001</v>
      </c>
      <c r="O113" s="11">
        <v>235.46474559999999</v>
      </c>
      <c r="P113" s="11">
        <f>Table1[[#This Row],[Installed Capacity 
(AC -MW)]]/Table1[[#This Row],[Installed Capacity 
(DC -MW)]]</f>
        <v>0.74626860489131341</v>
      </c>
      <c r="Q113" s="12">
        <v>0.20664816</v>
      </c>
      <c r="R113" s="12">
        <v>0.15421502000000001</v>
      </c>
      <c r="S113" s="13">
        <v>46.512822700000001</v>
      </c>
      <c r="T113" s="11">
        <v>32.042837640000002</v>
      </c>
      <c r="U113" s="11">
        <v>211.00817520000001</v>
      </c>
      <c r="V113" s="13">
        <v>889019.09649999999</v>
      </c>
      <c r="W113" s="13">
        <v>1210624.6000000001</v>
      </c>
      <c r="X113" s="13">
        <v>54.10313</v>
      </c>
      <c r="Y113" s="14">
        <f>+Table1[[#This Row],[Generation Cost 
LCOE (USD/MWh)]]+Table1[[#This Row],[Transmission Cost
LCOT (USD/MWh)]]</f>
        <v>100.61595270000001</v>
      </c>
    </row>
    <row r="114" spans="1:25" x14ac:dyDescent="0.3">
      <c r="A114" s="7">
        <v>113</v>
      </c>
      <c r="B114" s="8">
        <v>3482</v>
      </c>
      <c r="C114" s="9">
        <v>48.886982000000003</v>
      </c>
      <c r="D114" s="9">
        <v>-118.21213</v>
      </c>
      <c r="E114" s="10" t="s">
        <v>42</v>
      </c>
      <c r="F114" s="10" t="s">
        <v>4</v>
      </c>
      <c r="G114" s="10" t="s">
        <v>37</v>
      </c>
      <c r="H114" s="10">
        <v>-8</v>
      </c>
      <c r="I114" s="11">
        <v>763.33333330000005</v>
      </c>
      <c r="J114" s="11">
        <v>3.4598572000000001</v>
      </c>
      <c r="K114" s="11" t="str">
        <f>IF(Table1[[#This Row],[Solar 
Resource]]&lt;3,"Low", IF(Table1[[#This Row],[Solar 
Resource]]&lt;4, "Moderate","High"))</f>
        <v>Moderate</v>
      </c>
      <c r="L114" s="11">
        <v>0.98826473999999997</v>
      </c>
      <c r="M114" s="11">
        <v>7.7713013670000004</v>
      </c>
      <c r="N114" s="11">
        <v>249.37759360000001</v>
      </c>
      <c r="O114" s="11">
        <v>334.1659588</v>
      </c>
      <c r="P114" s="11">
        <f>Table1[[#This Row],[Installed Capacity 
(AC -MW)]]/Table1[[#This Row],[Installed Capacity 
(DC -MW)]]</f>
        <v>0.74626869384159433</v>
      </c>
      <c r="Q114" s="12">
        <v>0.19840250000000001</v>
      </c>
      <c r="R114" s="12">
        <v>0.14806156000000001</v>
      </c>
      <c r="S114" s="13">
        <v>48.4065662</v>
      </c>
      <c r="T114" s="11">
        <v>34.604318159999998</v>
      </c>
      <c r="U114" s="11">
        <v>164.66328559999999</v>
      </c>
      <c r="V114" s="13">
        <v>625184.16429999995</v>
      </c>
      <c r="W114" s="13">
        <v>891252.1</v>
      </c>
      <c r="X114" s="13">
        <v>41.485644999999998</v>
      </c>
      <c r="Y114" s="14">
        <f>+Table1[[#This Row],[Generation Cost 
LCOE (USD/MWh)]]+Table1[[#This Row],[Transmission Cost
LCOT (USD/MWh)]]</f>
        <v>89.892211199999991</v>
      </c>
    </row>
    <row r="115" spans="1:25" x14ac:dyDescent="0.3">
      <c r="A115" s="7">
        <v>114</v>
      </c>
      <c r="B115" s="8">
        <v>3483</v>
      </c>
      <c r="C115" s="9">
        <v>48.909633999999997</v>
      </c>
      <c r="D115" s="9">
        <v>-118.0504</v>
      </c>
      <c r="E115" s="10" t="s">
        <v>42</v>
      </c>
      <c r="F115" s="10" t="s">
        <v>4</v>
      </c>
      <c r="G115" s="10" t="s">
        <v>37</v>
      </c>
      <c r="H115" s="10">
        <v>-8</v>
      </c>
      <c r="I115" s="11">
        <v>928.05263160000004</v>
      </c>
      <c r="J115" s="11">
        <v>3.4974362999999999</v>
      </c>
      <c r="K115" s="11" t="str">
        <f>IF(Table1[[#This Row],[Solar 
Resource]]&lt;3,"Low", IF(Table1[[#This Row],[Solar 
Resource]]&lt;4, "Moderate","High"))</f>
        <v>Moderate</v>
      </c>
      <c r="L115" s="11">
        <v>0.98781050000000004</v>
      </c>
      <c r="M115" s="11">
        <v>9.5780878420000004</v>
      </c>
      <c r="N115" s="11">
        <v>307.3565289</v>
      </c>
      <c r="O115" s="11">
        <v>411.85777719999999</v>
      </c>
      <c r="P115" s="11">
        <f>Table1[[#This Row],[Installed Capacity 
(AC -MW)]]/Table1[[#This Row],[Installed Capacity 
(DC -MW)]]</f>
        <v>0.74626860512274917</v>
      </c>
      <c r="Q115" s="12">
        <v>0.20259160000000001</v>
      </c>
      <c r="R115" s="12">
        <v>0.15118777999999999</v>
      </c>
      <c r="S115" s="13">
        <v>47.388502330000001</v>
      </c>
      <c r="T115" s="11">
        <v>36.15835062</v>
      </c>
      <c r="U115" s="11">
        <v>179.97187650000001</v>
      </c>
      <c r="V115" s="13">
        <v>690616.1017</v>
      </c>
      <c r="W115" s="13">
        <v>1026578.2</v>
      </c>
      <c r="X115" s="13">
        <v>46.796677000000003</v>
      </c>
      <c r="Y115" s="14">
        <f>+Table1[[#This Row],[Generation Cost 
LCOE (USD/MWh)]]+Table1[[#This Row],[Transmission Cost
LCOT (USD/MWh)]]</f>
        <v>94.185179330000011</v>
      </c>
    </row>
    <row r="116" spans="1:25" x14ac:dyDescent="0.3">
      <c r="A116" s="7">
        <v>115</v>
      </c>
      <c r="B116" s="8">
        <v>3484</v>
      </c>
      <c r="C116" s="9">
        <v>48.932119999999998</v>
      </c>
      <c r="D116" s="9">
        <v>-117.88853</v>
      </c>
      <c r="E116" s="10" t="s">
        <v>42</v>
      </c>
      <c r="F116" s="10" t="s">
        <v>4</v>
      </c>
      <c r="G116" s="10" t="s">
        <v>37</v>
      </c>
      <c r="H116" s="10">
        <v>-8</v>
      </c>
      <c r="I116" s="11">
        <v>802.73333330000003</v>
      </c>
      <c r="J116" s="11">
        <v>3.4929663999999998</v>
      </c>
      <c r="K116" s="11" t="str">
        <f>IF(Table1[[#This Row],[Solar 
Resource]]&lt;3,"Low", IF(Table1[[#This Row],[Solar 
Resource]]&lt;4, "Moderate","High"))</f>
        <v>Moderate</v>
      </c>
      <c r="L116" s="11">
        <v>0.98746029999999996</v>
      </c>
      <c r="M116" s="11">
        <v>9.6955378420000002</v>
      </c>
      <c r="N116" s="11">
        <v>311.12544650000001</v>
      </c>
      <c r="O116" s="11">
        <v>416.90812720000002</v>
      </c>
      <c r="P116" s="11">
        <f>Table1[[#This Row],[Installed Capacity 
(AC -MW)]]/Table1[[#This Row],[Installed Capacity 
(DC -MW)]]</f>
        <v>0.74626860500310244</v>
      </c>
      <c r="Q116" s="12">
        <v>0.20123411999999999</v>
      </c>
      <c r="R116" s="12">
        <v>0.15017469999999999</v>
      </c>
      <c r="S116" s="13">
        <v>47.694884360000003</v>
      </c>
      <c r="T116" s="11">
        <v>26.560785689999999</v>
      </c>
      <c r="U116" s="11">
        <v>180.31643500000001</v>
      </c>
      <c r="V116" s="13">
        <v>692800.91630000004</v>
      </c>
      <c r="W116" s="13">
        <v>920888.06</v>
      </c>
      <c r="X116" s="13">
        <v>42.261960000000002</v>
      </c>
      <c r="Y116" s="14">
        <f>+Table1[[#This Row],[Generation Cost 
LCOE (USD/MWh)]]+Table1[[#This Row],[Transmission Cost
LCOT (USD/MWh)]]</f>
        <v>89.956844360000005</v>
      </c>
    </row>
    <row r="117" spans="1:25" x14ac:dyDescent="0.3">
      <c r="A117" s="7">
        <v>116</v>
      </c>
      <c r="B117" s="8">
        <v>3485</v>
      </c>
      <c r="C117" s="9">
        <v>48.954450000000001</v>
      </c>
      <c r="D117" s="9">
        <v>-117.72654</v>
      </c>
      <c r="E117" s="10" t="s">
        <v>42</v>
      </c>
      <c r="F117" s="10" t="s">
        <v>4</v>
      </c>
      <c r="G117" s="10" t="s">
        <v>37</v>
      </c>
      <c r="H117" s="10">
        <v>-8</v>
      </c>
      <c r="I117" s="11">
        <v>727.53846150000004</v>
      </c>
      <c r="J117" s="11">
        <v>3.4632239999999999</v>
      </c>
      <c r="K117" s="11" t="str">
        <f>IF(Table1[[#This Row],[Solar 
Resource]]&lt;3,"Low", IF(Table1[[#This Row],[Solar 
Resource]]&lt;4, "Moderate","High"))</f>
        <v>Moderate</v>
      </c>
      <c r="L117" s="11">
        <v>0.98694813000000003</v>
      </c>
      <c r="M117" s="11">
        <v>20.972276369999999</v>
      </c>
      <c r="N117" s="11">
        <v>672.99091150000004</v>
      </c>
      <c r="O117" s="11">
        <v>901.80788380000001</v>
      </c>
      <c r="P117" s="11">
        <f>Table1[[#This Row],[Installed Capacity 
(AC -MW)]]/Table1[[#This Row],[Installed Capacity 
(DC -MW)]]</f>
        <v>0.74626860508712711</v>
      </c>
      <c r="Q117" s="12">
        <v>0.19757332999999999</v>
      </c>
      <c r="R117" s="12">
        <v>0.14744280000000001</v>
      </c>
      <c r="S117" s="13">
        <v>48.558805290000002</v>
      </c>
      <c r="T117" s="11">
        <v>21.996824660000001</v>
      </c>
      <c r="U117" s="11">
        <v>180.31643500000001</v>
      </c>
      <c r="V117" s="13">
        <v>692800.91630000004</v>
      </c>
      <c r="W117" s="13">
        <v>855003.1</v>
      </c>
      <c r="X117" s="13">
        <v>39.965363000000004</v>
      </c>
      <c r="Y117" s="14">
        <f>+Table1[[#This Row],[Generation Cost 
LCOE (USD/MWh)]]+Table1[[#This Row],[Transmission Cost
LCOT (USD/MWh)]]</f>
        <v>88.524168290000006</v>
      </c>
    </row>
    <row r="118" spans="1:25" x14ac:dyDescent="0.3">
      <c r="A118" s="7">
        <v>117</v>
      </c>
      <c r="B118" s="8">
        <v>3486</v>
      </c>
      <c r="C118" s="9">
        <v>48.976612000000003</v>
      </c>
      <c r="D118" s="9">
        <v>-117.56442</v>
      </c>
      <c r="E118" s="10" t="s">
        <v>42</v>
      </c>
      <c r="F118" s="10" t="s">
        <v>4</v>
      </c>
      <c r="G118" s="10" t="s">
        <v>37</v>
      </c>
      <c r="H118" s="10">
        <v>-8</v>
      </c>
      <c r="I118" s="11">
        <v>905.5</v>
      </c>
      <c r="J118" s="11">
        <v>3.4521828000000001</v>
      </c>
      <c r="K118" s="11" t="str">
        <f>IF(Table1[[#This Row],[Solar 
Resource]]&lt;3,"Low", IF(Table1[[#This Row],[Solar 
Resource]]&lt;4, "Moderate","High"))</f>
        <v>Moderate</v>
      </c>
      <c r="L118" s="11">
        <v>0.98670829999999998</v>
      </c>
      <c r="M118" s="11">
        <v>4.725620782</v>
      </c>
      <c r="N118" s="11">
        <v>151.6430445</v>
      </c>
      <c r="O118" s="11">
        <v>203.2016936</v>
      </c>
      <c r="P118" s="11">
        <f>Table1[[#This Row],[Installed Capacity 
(AC -MW)]]/Table1[[#This Row],[Installed Capacity 
(DC -MW)]]</f>
        <v>0.74626860541087536</v>
      </c>
      <c r="Q118" s="12">
        <v>0.19864064000000001</v>
      </c>
      <c r="R118" s="12">
        <v>0.14823929999999999</v>
      </c>
      <c r="S118" s="13">
        <v>48.288666560000003</v>
      </c>
      <c r="T118" s="11">
        <v>18.417564930000001</v>
      </c>
      <c r="U118" s="11">
        <v>193.68120769999999</v>
      </c>
      <c r="V118" s="13">
        <v>775946.27650000004</v>
      </c>
      <c r="W118" s="13">
        <v>850184.7</v>
      </c>
      <c r="X118" s="13">
        <v>39.526608000000003</v>
      </c>
      <c r="Y118" s="14">
        <f>+Table1[[#This Row],[Generation Cost 
LCOE (USD/MWh)]]+Table1[[#This Row],[Transmission Cost
LCOT (USD/MWh)]]</f>
        <v>87.815274560000006</v>
      </c>
    </row>
    <row r="119" spans="1:25" x14ac:dyDescent="0.3">
      <c r="A119" s="7">
        <v>118</v>
      </c>
      <c r="B119" s="8">
        <v>3487</v>
      </c>
      <c r="C119" s="9">
        <v>48.998609999999999</v>
      </c>
      <c r="D119" s="9">
        <v>-117.402176</v>
      </c>
      <c r="E119" s="10" t="s">
        <v>42</v>
      </c>
      <c r="F119" s="10" t="s">
        <v>4</v>
      </c>
      <c r="G119" s="10" t="s">
        <v>30</v>
      </c>
      <c r="H119" s="10">
        <v>-8</v>
      </c>
      <c r="I119" s="11">
        <v>1003.6</v>
      </c>
      <c r="J119" s="11">
        <v>3.3804655000000001</v>
      </c>
      <c r="K119" s="11" t="str">
        <f>IF(Table1[[#This Row],[Solar 
Resource]]&lt;3,"Low", IF(Table1[[#This Row],[Solar 
Resource]]&lt;4, "Moderate","High"))</f>
        <v>Moderate</v>
      </c>
      <c r="L119" s="11">
        <v>0.98626369999999997</v>
      </c>
      <c r="M119" s="11">
        <v>1.1223361039999999</v>
      </c>
      <c r="N119" s="11">
        <v>36.01526054</v>
      </c>
      <c r="O119" s="11">
        <v>48.260452460000003</v>
      </c>
      <c r="P119" s="11">
        <f>Table1[[#This Row],[Installed Capacity 
(AC -MW)]]/Table1[[#This Row],[Installed Capacity 
(DC -MW)]]</f>
        <v>0.74626860512447002</v>
      </c>
      <c r="Q119" s="12">
        <v>0.19438042999999999</v>
      </c>
      <c r="R119" s="12">
        <v>0.14506002000000001</v>
      </c>
      <c r="S119" s="13">
        <v>52.933358679999998</v>
      </c>
      <c r="T119" s="11">
        <v>3.9882337649999999</v>
      </c>
      <c r="U119" s="11">
        <v>193.68120769999999</v>
      </c>
      <c r="V119" s="13">
        <v>775946.27650000004</v>
      </c>
      <c r="W119" s="13">
        <v>819568.2</v>
      </c>
      <c r="X119" s="13">
        <v>38.938296999999999</v>
      </c>
      <c r="Y119" s="14">
        <f>+Table1[[#This Row],[Generation Cost 
LCOE (USD/MWh)]]+Table1[[#This Row],[Transmission Cost
LCOT (USD/MWh)]]</f>
        <v>91.871655680000003</v>
      </c>
    </row>
    <row r="120" spans="1:25" x14ac:dyDescent="0.3">
      <c r="A120" s="7">
        <v>119</v>
      </c>
      <c r="B120" s="8">
        <v>3823</v>
      </c>
      <c r="C120" s="9">
        <v>47.786552</v>
      </c>
      <c r="D120" s="9">
        <v>-124.3616</v>
      </c>
      <c r="E120" s="10" t="s">
        <v>42</v>
      </c>
      <c r="F120" s="10" t="s">
        <v>4</v>
      </c>
      <c r="G120" s="10" t="s">
        <v>21</v>
      </c>
      <c r="H120" s="10">
        <v>-8</v>
      </c>
      <c r="I120" s="11">
        <v>164.26315790000001</v>
      </c>
      <c r="J120" s="11">
        <v>3.0803752000000002</v>
      </c>
      <c r="K120" s="11" t="str">
        <f>IF(Table1[[#This Row],[Solar 
Resource]]&lt;3,"Low", IF(Table1[[#This Row],[Solar 
Resource]]&lt;4, "Moderate","High"))</f>
        <v>Moderate</v>
      </c>
      <c r="L120" s="11">
        <v>1.0209668999999999</v>
      </c>
      <c r="M120" s="11">
        <v>32.71492705</v>
      </c>
      <c r="N120" s="11">
        <v>1049.807288</v>
      </c>
      <c r="O120" s="11">
        <v>1406.741863</v>
      </c>
      <c r="P120" s="11">
        <f>Table1[[#This Row],[Installed Capacity 
(AC -MW)]]/Table1[[#This Row],[Installed Capacity 
(DC -MW)]]</f>
        <v>0.74626860521602323</v>
      </c>
      <c r="Q120" s="12">
        <v>0.17754271999999999</v>
      </c>
      <c r="R120" s="12">
        <v>0.13249457000000001</v>
      </c>
      <c r="S120" s="13">
        <v>55.501035909999999</v>
      </c>
      <c r="T120" s="11">
        <v>27.010785689999999</v>
      </c>
      <c r="U120" s="11">
        <v>406.99887639999997</v>
      </c>
      <c r="V120" s="13">
        <v>1529207.7609999999</v>
      </c>
      <c r="W120" s="13">
        <v>1743091.1</v>
      </c>
      <c r="X120" s="13">
        <v>90.669585999999995</v>
      </c>
      <c r="Y120" s="14">
        <f>+Table1[[#This Row],[Generation Cost 
LCOE (USD/MWh)]]+Table1[[#This Row],[Transmission Cost
LCOT (USD/MWh)]]</f>
        <v>146.17062190999999</v>
      </c>
    </row>
    <row r="121" spans="1:25" x14ac:dyDescent="0.3">
      <c r="A121" s="7">
        <v>120</v>
      </c>
      <c r="B121" s="8">
        <v>3824</v>
      </c>
      <c r="C121" s="9">
        <v>47.815277000000002</v>
      </c>
      <c r="D121" s="9">
        <v>-124.205765</v>
      </c>
      <c r="E121" s="10" t="s">
        <v>42</v>
      </c>
      <c r="F121" s="10" t="s">
        <v>4</v>
      </c>
      <c r="G121" s="10" t="s">
        <v>21</v>
      </c>
      <c r="H121" s="10">
        <v>-8</v>
      </c>
      <c r="I121" s="11">
        <v>247.3125</v>
      </c>
      <c r="J121" s="11">
        <v>3.0338733000000002</v>
      </c>
      <c r="K121" s="11" t="str">
        <f>IF(Table1[[#This Row],[Solar 
Resource]]&lt;3,"Low", IF(Table1[[#This Row],[Solar 
Resource]]&lt;4, "Moderate","High"))</f>
        <v>Moderate</v>
      </c>
      <c r="L121" s="11">
        <v>1.0208448999999999</v>
      </c>
      <c r="M121" s="11">
        <v>43.736598630000003</v>
      </c>
      <c r="N121" s="11">
        <v>1403.4877690000001</v>
      </c>
      <c r="O121" s="11">
        <v>1880.6737410000001</v>
      </c>
      <c r="P121" s="11">
        <f>Table1[[#This Row],[Installed Capacity 
(AC -MW)]]/Table1[[#This Row],[Installed Capacity 
(DC -MW)]]</f>
        <v>0.74626860491694402</v>
      </c>
      <c r="Q121" s="12">
        <v>0.17455955000000001</v>
      </c>
      <c r="R121" s="12">
        <v>0.13026834000000001</v>
      </c>
      <c r="S121" s="13">
        <v>56.44418443</v>
      </c>
      <c r="T121" s="11">
        <v>28.45078569</v>
      </c>
      <c r="U121" s="11">
        <v>406.99887639999997</v>
      </c>
      <c r="V121" s="13">
        <v>1529207.7609999999</v>
      </c>
      <c r="W121" s="13">
        <v>1746076.9</v>
      </c>
      <c r="X121" s="13">
        <v>92.37706</v>
      </c>
      <c r="Y121" s="14">
        <f>+Table1[[#This Row],[Generation Cost 
LCOE (USD/MWh)]]+Table1[[#This Row],[Transmission Cost
LCOT (USD/MWh)]]</f>
        <v>148.82124443000001</v>
      </c>
    </row>
    <row r="122" spans="1:25" x14ac:dyDescent="0.3">
      <c r="A122" s="7">
        <v>121</v>
      </c>
      <c r="B122" s="8">
        <v>3825</v>
      </c>
      <c r="C122" s="9">
        <v>47.843853000000003</v>
      </c>
      <c r="D122" s="9">
        <v>-124.049774</v>
      </c>
      <c r="E122" s="10" t="s">
        <v>42</v>
      </c>
      <c r="F122" s="10" t="s">
        <v>4</v>
      </c>
      <c r="G122" s="10" t="s">
        <v>21</v>
      </c>
      <c r="H122" s="10">
        <v>-8</v>
      </c>
      <c r="I122" s="11">
        <v>352.42857140000001</v>
      </c>
      <c r="J122" s="11">
        <v>3.0558065999999999</v>
      </c>
      <c r="K122" s="11" t="str">
        <f>IF(Table1[[#This Row],[Solar 
Resource]]&lt;3,"Low", IF(Table1[[#This Row],[Solar 
Resource]]&lt;4, "Moderate","High"))</f>
        <v>Moderate</v>
      </c>
      <c r="L122" s="11">
        <v>1.0207508999999999</v>
      </c>
      <c r="M122" s="11">
        <v>8.7921446040000006</v>
      </c>
      <c r="N122" s="11">
        <v>282.13596410000002</v>
      </c>
      <c r="O122" s="11">
        <v>378.06221799999997</v>
      </c>
      <c r="P122" s="11">
        <f>Table1[[#This Row],[Installed Capacity 
(AC -MW)]]/Table1[[#This Row],[Installed Capacity 
(DC -MW)]]</f>
        <v>0.7462686051849805</v>
      </c>
      <c r="Q122" s="12">
        <v>0.17607618999999999</v>
      </c>
      <c r="R122" s="12">
        <v>0.13140014</v>
      </c>
      <c r="S122" s="13">
        <v>55.953924800000003</v>
      </c>
      <c r="T122" s="11">
        <v>43.945772699999999</v>
      </c>
      <c r="U122" s="11">
        <v>406.99887639999997</v>
      </c>
      <c r="V122" s="13">
        <v>1529207.7609999999</v>
      </c>
      <c r="W122" s="13">
        <v>1859266.8</v>
      </c>
      <c r="X122" s="13">
        <v>97.518159999999995</v>
      </c>
      <c r="Y122" s="14">
        <f>+Table1[[#This Row],[Generation Cost 
LCOE (USD/MWh)]]+Table1[[#This Row],[Transmission Cost
LCOT (USD/MWh)]]</f>
        <v>153.4720848</v>
      </c>
    </row>
    <row r="123" spans="1:25" x14ac:dyDescent="0.3">
      <c r="A123" s="7">
        <v>122</v>
      </c>
      <c r="B123" s="8">
        <v>3830</v>
      </c>
      <c r="C123" s="9">
        <v>47.984431999999998</v>
      </c>
      <c r="D123" s="9">
        <v>-123.2675</v>
      </c>
      <c r="E123" s="10" t="s">
        <v>42</v>
      </c>
      <c r="F123" s="10" t="s">
        <v>4</v>
      </c>
      <c r="G123" s="10" t="s">
        <v>12</v>
      </c>
      <c r="H123" s="10">
        <v>-8</v>
      </c>
      <c r="I123" s="11">
        <v>504.75</v>
      </c>
      <c r="J123" s="11">
        <v>3.1773117000000002</v>
      </c>
      <c r="K123" s="11" t="str">
        <f>IF(Table1[[#This Row],[Solar 
Resource]]&lt;3,"Low", IF(Table1[[#This Row],[Solar 
Resource]]&lt;4, "Moderate","High"))</f>
        <v>Moderate</v>
      </c>
      <c r="L123" s="11">
        <v>1.0206314000000001</v>
      </c>
      <c r="M123" s="11">
        <v>9.7097939209999993</v>
      </c>
      <c r="N123" s="11">
        <v>311.58295470000002</v>
      </c>
      <c r="O123" s="11">
        <v>417.52113859999997</v>
      </c>
      <c r="P123" s="11">
        <f>Table1[[#This Row],[Installed Capacity 
(AC -MW)]]/Table1[[#This Row],[Installed Capacity 
(DC -MW)]]</f>
        <v>0.74626869371159554</v>
      </c>
      <c r="Q123" s="12">
        <v>0.18320532</v>
      </c>
      <c r="R123" s="12">
        <v>0.13672037000000001</v>
      </c>
      <c r="S123" s="13">
        <v>53.771593439999997</v>
      </c>
      <c r="T123" s="11">
        <v>11.726681810000001</v>
      </c>
      <c r="U123" s="11">
        <v>306.41998030000002</v>
      </c>
      <c r="V123" s="13">
        <v>1037615.4179999999</v>
      </c>
      <c r="W123" s="13">
        <v>1197956.5</v>
      </c>
      <c r="X123" s="13">
        <v>60.387543000000001</v>
      </c>
      <c r="Y123" s="14">
        <f>+Table1[[#This Row],[Generation Cost 
LCOE (USD/MWh)]]+Table1[[#This Row],[Transmission Cost
LCOT (USD/MWh)]]</f>
        <v>114.15913644</v>
      </c>
    </row>
    <row r="124" spans="1:25" x14ac:dyDescent="0.3">
      <c r="A124" s="7">
        <v>123</v>
      </c>
      <c r="B124" s="8">
        <v>3831</v>
      </c>
      <c r="C124" s="9">
        <v>48.012084999999999</v>
      </c>
      <c r="D124" s="9">
        <v>-123.11058</v>
      </c>
      <c r="E124" s="10" t="s">
        <v>42</v>
      </c>
      <c r="F124" s="10" t="s">
        <v>4</v>
      </c>
      <c r="G124" s="10" t="s">
        <v>12</v>
      </c>
      <c r="H124" s="10">
        <v>-8</v>
      </c>
      <c r="I124" s="11">
        <v>393.53846149999998</v>
      </c>
      <c r="J124" s="11">
        <v>3.2111513999999999</v>
      </c>
      <c r="K124" s="11" t="str">
        <f>IF(Table1[[#This Row],[Solar 
Resource]]&lt;3,"Low", IF(Table1[[#This Row],[Solar 
Resource]]&lt;4, "Moderate","High"))</f>
        <v>Moderate</v>
      </c>
      <c r="L124" s="11">
        <v>1.0206732999999999</v>
      </c>
      <c r="M124" s="11">
        <v>10.975256760000001</v>
      </c>
      <c r="N124" s="11">
        <v>352.19105089999999</v>
      </c>
      <c r="O124" s="11">
        <v>471.9360408</v>
      </c>
      <c r="P124" s="11">
        <f>Table1[[#This Row],[Installed Capacity 
(AC -MW)]]/Table1[[#This Row],[Installed Capacity 
(DC -MW)]]</f>
        <v>0.74626860517578841</v>
      </c>
      <c r="Q124" s="12">
        <v>0.18392992</v>
      </c>
      <c r="R124" s="12">
        <v>0.13726114</v>
      </c>
      <c r="S124" s="13">
        <v>53.561489829999999</v>
      </c>
      <c r="T124" s="11">
        <v>4.4291883089999997</v>
      </c>
      <c r="U124" s="11">
        <v>295.34778549999999</v>
      </c>
      <c r="V124" s="13">
        <v>997746.29700000002</v>
      </c>
      <c r="W124" s="13">
        <v>1076320.5</v>
      </c>
      <c r="X124" s="13">
        <v>54.042279999999998</v>
      </c>
      <c r="Y124" s="14">
        <f>+Table1[[#This Row],[Generation Cost 
LCOE (USD/MWh)]]+Table1[[#This Row],[Transmission Cost
LCOT (USD/MWh)]]</f>
        <v>107.60376983</v>
      </c>
    </row>
    <row r="125" spans="1:25" x14ac:dyDescent="0.3">
      <c r="A125" s="7">
        <v>124</v>
      </c>
      <c r="B125" s="8">
        <v>3832</v>
      </c>
      <c r="C125" s="9">
        <v>48.039589999999997</v>
      </c>
      <c r="D125" s="9">
        <v>-122.953514</v>
      </c>
      <c r="E125" s="10" t="s">
        <v>42</v>
      </c>
      <c r="F125" s="10" t="s">
        <v>4</v>
      </c>
      <c r="G125" s="10" t="s">
        <v>12</v>
      </c>
      <c r="H125" s="10">
        <v>-8</v>
      </c>
      <c r="I125" s="11">
        <v>243.53846150000001</v>
      </c>
      <c r="J125" s="11">
        <v>3.2464379999999999</v>
      </c>
      <c r="K125" s="11" t="str">
        <f>IF(Table1[[#This Row],[Solar 
Resource]]&lt;3,"Low", IF(Table1[[#This Row],[Solar 
Resource]]&lt;4, "Moderate","High"))</f>
        <v>Moderate</v>
      </c>
      <c r="L125" s="11">
        <v>1.0206907000000001</v>
      </c>
      <c r="M125" s="11">
        <v>24.324300000000001</v>
      </c>
      <c r="N125" s="11">
        <v>780.55584150000004</v>
      </c>
      <c r="O125" s="11">
        <v>1045.9449</v>
      </c>
      <c r="P125" s="11">
        <f>Table1[[#This Row],[Installed Capacity 
(AC -MW)]]/Table1[[#This Row],[Installed Capacity 
(DC -MW)]]</f>
        <v>0.74626860506705472</v>
      </c>
      <c r="Q125" s="12">
        <v>0.1855252</v>
      </c>
      <c r="R125" s="12">
        <v>0.13845162</v>
      </c>
      <c r="S125" s="13">
        <v>53.101655659999999</v>
      </c>
      <c r="T125" s="11">
        <v>0.127279221</v>
      </c>
      <c r="U125" s="11">
        <v>288.03640239999999</v>
      </c>
      <c r="V125" s="13">
        <v>982757.35019999999</v>
      </c>
      <c r="W125" s="13">
        <v>1020088.1</v>
      </c>
      <c r="X125" s="13">
        <v>50.778419999999997</v>
      </c>
      <c r="Y125" s="14">
        <f>+Table1[[#This Row],[Generation Cost 
LCOE (USD/MWh)]]+Table1[[#This Row],[Transmission Cost
LCOT (USD/MWh)]]</f>
        <v>103.88007565999999</v>
      </c>
    </row>
    <row r="126" spans="1:25" x14ac:dyDescent="0.3">
      <c r="A126" s="7">
        <v>125</v>
      </c>
      <c r="B126" s="8">
        <v>3833</v>
      </c>
      <c r="C126" s="9">
        <v>48.066932999999999</v>
      </c>
      <c r="D126" s="9">
        <v>-122.79629</v>
      </c>
      <c r="E126" s="10" t="s">
        <v>42</v>
      </c>
      <c r="F126" s="10" t="s">
        <v>4</v>
      </c>
      <c r="G126" s="10" t="s">
        <v>21</v>
      </c>
      <c r="H126" s="10">
        <v>-8</v>
      </c>
      <c r="I126" s="11">
        <v>61.7</v>
      </c>
      <c r="J126" s="11">
        <v>3.2764950000000002</v>
      </c>
      <c r="K126" s="11" t="str">
        <f>IF(Table1[[#This Row],[Solar 
Resource]]&lt;3,"Low", IF(Table1[[#This Row],[Solar 
Resource]]&lt;4, "Moderate","High"))</f>
        <v>Moderate</v>
      </c>
      <c r="L126" s="11">
        <v>1.020732</v>
      </c>
      <c r="M126" s="11">
        <v>15.89187568</v>
      </c>
      <c r="N126" s="11">
        <v>509.96313959999998</v>
      </c>
      <c r="O126" s="11">
        <v>683.35065440000005</v>
      </c>
      <c r="P126" s="11">
        <f>Table1[[#This Row],[Installed Capacity 
(AC -MW)]]/Table1[[#This Row],[Installed Capacity 
(DC -MW)]]</f>
        <v>0.74626860502206016</v>
      </c>
      <c r="Q126" s="12">
        <v>0.18733290999999999</v>
      </c>
      <c r="R126" s="12">
        <v>0.13980066999999999</v>
      </c>
      <c r="S126" s="13">
        <v>52.590917990000001</v>
      </c>
      <c r="T126" s="11">
        <v>2.9364675299999998</v>
      </c>
      <c r="U126" s="11">
        <v>285.73103229999998</v>
      </c>
      <c r="V126" s="13">
        <v>960736.15330000001</v>
      </c>
      <c r="W126" s="13">
        <v>1005869.5</v>
      </c>
      <c r="X126" s="13">
        <v>49.587470000000003</v>
      </c>
      <c r="Y126" s="14">
        <f>+Table1[[#This Row],[Generation Cost 
LCOE (USD/MWh)]]+Table1[[#This Row],[Transmission Cost
LCOT (USD/MWh)]]</f>
        <v>102.17838799</v>
      </c>
    </row>
    <row r="127" spans="1:25" x14ac:dyDescent="0.3">
      <c r="A127" s="7">
        <v>126</v>
      </c>
      <c r="B127" s="8">
        <v>3836</v>
      </c>
      <c r="C127" s="9">
        <v>48.148045000000003</v>
      </c>
      <c r="D127" s="9">
        <v>-122.32371000000001</v>
      </c>
      <c r="E127" s="10" t="s">
        <v>42</v>
      </c>
      <c r="F127" s="10" t="s">
        <v>4</v>
      </c>
      <c r="G127" s="10" t="s">
        <v>35</v>
      </c>
      <c r="H127" s="10">
        <v>-8</v>
      </c>
      <c r="I127" s="11">
        <v>81.083333330000002</v>
      </c>
      <c r="J127" s="11">
        <v>3.1801279999999998</v>
      </c>
      <c r="K127" s="11" t="str">
        <f>IF(Table1[[#This Row],[Solar 
Resource]]&lt;3,"Low", IF(Table1[[#This Row],[Solar 
Resource]]&lt;4, "Moderate","High"))</f>
        <v>Moderate</v>
      </c>
      <c r="L127" s="11">
        <v>1.0205398000000001</v>
      </c>
      <c r="M127" s="11">
        <v>25.771607450000001</v>
      </c>
      <c r="N127" s="11">
        <v>826.99938450000002</v>
      </c>
      <c r="O127" s="11">
        <v>1108.17912</v>
      </c>
      <c r="P127" s="11">
        <f>Table1[[#This Row],[Installed Capacity 
(AC -MW)]]/Table1[[#This Row],[Installed Capacity 
(DC -MW)]]</f>
        <v>0.74626869390933837</v>
      </c>
      <c r="Q127" s="12">
        <v>0.17951985000000001</v>
      </c>
      <c r="R127" s="12">
        <v>0.13397004000000001</v>
      </c>
      <c r="S127" s="13">
        <v>54.871596480000001</v>
      </c>
      <c r="T127" s="11">
        <v>1.8591168819999999</v>
      </c>
      <c r="U127" s="11">
        <v>102.7490389</v>
      </c>
      <c r="V127" s="13">
        <v>371416.93810000003</v>
      </c>
      <c r="W127" s="13">
        <v>409040.28</v>
      </c>
      <c r="X127" s="13">
        <v>21.042534</v>
      </c>
      <c r="Y127" s="14">
        <f>+Table1[[#This Row],[Generation Cost 
LCOE (USD/MWh)]]+Table1[[#This Row],[Transmission Cost
LCOT (USD/MWh)]]</f>
        <v>75.914130479999997</v>
      </c>
    </row>
    <row r="128" spans="1:25" x14ac:dyDescent="0.3">
      <c r="A128" s="7">
        <v>127</v>
      </c>
      <c r="B128" s="8">
        <v>3837</v>
      </c>
      <c r="C128" s="9">
        <v>48.174770000000002</v>
      </c>
      <c r="D128" s="9">
        <v>-122.16588</v>
      </c>
      <c r="E128" s="10" t="s">
        <v>42</v>
      </c>
      <c r="F128" s="10" t="s">
        <v>4</v>
      </c>
      <c r="G128" s="10" t="s">
        <v>35</v>
      </c>
      <c r="H128" s="10">
        <v>-8</v>
      </c>
      <c r="I128" s="11">
        <v>70.611111109999996</v>
      </c>
      <c r="J128" s="11">
        <v>3.0818865</v>
      </c>
      <c r="K128" s="11" t="str">
        <f>IF(Table1[[#This Row],[Solar 
Resource]]&lt;3,"Low", IF(Table1[[#This Row],[Solar 
Resource]]&lt;4, "Moderate","High"))</f>
        <v>Moderate</v>
      </c>
      <c r="L128" s="11">
        <v>1.0197148</v>
      </c>
      <c r="M128" s="11">
        <v>29.042549999999999</v>
      </c>
      <c r="N128" s="11">
        <v>931.96236090000002</v>
      </c>
      <c r="O128" s="11">
        <v>1248.8296499999999</v>
      </c>
      <c r="P128" s="11">
        <f>Table1[[#This Row],[Installed Capacity 
(AC -MW)]]/Table1[[#This Row],[Installed Capacity 
(DC -MW)]]</f>
        <v>0.74626860508957338</v>
      </c>
      <c r="Q128" s="12">
        <v>0.17373247</v>
      </c>
      <c r="R128" s="12">
        <v>0.12965111000000001</v>
      </c>
      <c r="S128" s="13">
        <v>56.663198010000002</v>
      </c>
      <c r="T128" s="11">
        <v>0.18</v>
      </c>
      <c r="U128" s="11">
        <v>91.333383049999995</v>
      </c>
      <c r="V128" s="13">
        <v>332791.55900000001</v>
      </c>
      <c r="W128" s="13">
        <v>369732.12</v>
      </c>
      <c r="X128" s="13">
        <v>19.653984000000001</v>
      </c>
      <c r="Y128" s="14">
        <f>+Table1[[#This Row],[Generation Cost 
LCOE (USD/MWh)]]+Table1[[#This Row],[Transmission Cost
LCOT (USD/MWh)]]</f>
        <v>76.31718201000001</v>
      </c>
    </row>
    <row r="129" spans="1:25" x14ac:dyDescent="0.3">
      <c r="A129" s="7">
        <v>128</v>
      </c>
      <c r="B129" s="8">
        <v>3838</v>
      </c>
      <c r="C129" s="9">
        <v>48.201340000000002</v>
      </c>
      <c r="D129" s="9">
        <v>-122.007904</v>
      </c>
      <c r="E129" s="10" t="s">
        <v>42</v>
      </c>
      <c r="F129" s="10" t="s">
        <v>4</v>
      </c>
      <c r="G129" s="10" t="s">
        <v>35</v>
      </c>
      <c r="H129" s="10">
        <v>-8</v>
      </c>
      <c r="I129" s="11">
        <v>217.88888890000001</v>
      </c>
      <c r="J129" s="11">
        <v>2.9941499999999999</v>
      </c>
      <c r="K129" s="11" t="str">
        <f>IF(Table1[[#This Row],[Solar 
Resource]]&lt;3,"Low", IF(Table1[[#This Row],[Solar 
Resource]]&lt;4, "Moderate","High"))</f>
        <v>Low</v>
      </c>
      <c r="L129" s="11">
        <v>1.0193045000000001</v>
      </c>
      <c r="M129" s="11">
        <v>23.711373630000001</v>
      </c>
      <c r="N129" s="11">
        <v>760.8873102</v>
      </c>
      <c r="O129" s="11">
        <v>1019.589066</v>
      </c>
      <c r="P129" s="11">
        <f>Table1[[#This Row],[Installed Capacity 
(AC -MW)]]/Table1[[#This Row],[Installed Capacity 
(DC -MW)]]</f>
        <v>0.74626860523825977</v>
      </c>
      <c r="Q129" s="12">
        <v>0.16903599999999999</v>
      </c>
      <c r="R129" s="12">
        <v>0.12614627</v>
      </c>
      <c r="S129" s="13">
        <v>58.218981229999997</v>
      </c>
      <c r="T129" s="11">
        <v>0.09</v>
      </c>
      <c r="U129" s="11">
        <v>90.114409019999997</v>
      </c>
      <c r="V129" s="13">
        <v>326266.34629999998</v>
      </c>
      <c r="W129" s="13">
        <v>363519.75</v>
      </c>
      <c r="X129" s="13">
        <v>19.86064</v>
      </c>
      <c r="Y129" s="14">
        <f>+Table1[[#This Row],[Generation Cost 
LCOE (USD/MWh)]]+Table1[[#This Row],[Transmission Cost
LCOT (USD/MWh)]]</f>
        <v>78.079621230000001</v>
      </c>
    </row>
    <row r="130" spans="1:25" x14ac:dyDescent="0.3">
      <c r="A130" s="7">
        <v>129</v>
      </c>
      <c r="B130" s="8">
        <v>3839</v>
      </c>
      <c r="C130" s="9">
        <v>48.227756999999997</v>
      </c>
      <c r="D130" s="9">
        <v>-121.84978</v>
      </c>
      <c r="E130" s="10" t="s">
        <v>42</v>
      </c>
      <c r="F130" s="10" t="s">
        <v>4</v>
      </c>
      <c r="G130" s="10" t="s">
        <v>35</v>
      </c>
      <c r="H130" s="10">
        <v>-8</v>
      </c>
      <c r="I130" s="11">
        <v>453.64285710000001</v>
      </c>
      <c r="J130" s="11">
        <v>2.9834993000000001</v>
      </c>
      <c r="K130" s="11" t="str">
        <f>IF(Table1[[#This Row],[Solar 
Resource]]&lt;3,"Low", IF(Table1[[#This Row],[Solar 
Resource]]&lt;4, "Moderate","High"))</f>
        <v>Low</v>
      </c>
      <c r="L130" s="11">
        <v>1.0187044999999999</v>
      </c>
      <c r="M130" s="11">
        <v>6.6298500000000002</v>
      </c>
      <c r="N130" s="11">
        <v>212.7489032</v>
      </c>
      <c r="O130" s="11">
        <v>285.08355</v>
      </c>
      <c r="P130" s="11">
        <f>Table1[[#This Row],[Installed Capacity 
(AC -MW)]]/Table1[[#This Row],[Installed Capacity 
(DC -MW)]]</f>
        <v>0.74626860511593884</v>
      </c>
      <c r="Q130" s="12">
        <v>0.16943811</v>
      </c>
      <c r="R130" s="12">
        <v>0.12644635000000001</v>
      </c>
      <c r="S130" s="13">
        <v>58.053775829999999</v>
      </c>
      <c r="T130" s="11">
        <v>7.5919805150000004</v>
      </c>
      <c r="U130" s="11">
        <v>98.011019410000003</v>
      </c>
      <c r="V130" s="13">
        <v>364261.98090000002</v>
      </c>
      <c r="W130" s="13">
        <v>472449.38</v>
      </c>
      <c r="X130" s="13">
        <v>25.750672999999999</v>
      </c>
      <c r="Y130" s="14">
        <f>+Table1[[#This Row],[Generation Cost 
LCOE (USD/MWh)]]+Table1[[#This Row],[Transmission Cost
LCOT (USD/MWh)]]</f>
        <v>83.804448829999998</v>
      </c>
    </row>
    <row r="131" spans="1:25" x14ac:dyDescent="0.3">
      <c r="A131" s="7">
        <v>130</v>
      </c>
      <c r="B131" s="8">
        <v>3840</v>
      </c>
      <c r="C131" s="9">
        <v>48.254013</v>
      </c>
      <c r="D131" s="9">
        <v>-121.69150999999999</v>
      </c>
      <c r="E131" s="10" t="s">
        <v>42</v>
      </c>
      <c r="F131" s="10" t="s">
        <v>4</v>
      </c>
      <c r="G131" s="10" t="s">
        <v>35</v>
      </c>
      <c r="H131" s="10">
        <v>-8</v>
      </c>
      <c r="I131" s="11">
        <v>304.33333329999999</v>
      </c>
      <c r="J131" s="11">
        <v>3.0764768</v>
      </c>
      <c r="K131" s="11" t="str">
        <f>IF(Table1[[#This Row],[Solar 
Resource]]&lt;3,"Low", IF(Table1[[#This Row],[Solar 
Resource]]&lt;4, "Moderate","High"))</f>
        <v>Moderate</v>
      </c>
      <c r="L131" s="11">
        <v>1.0180446999999999</v>
      </c>
      <c r="M131" s="11">
        <v>14.53755608</v>
      </c>
      <c r="N131" s="11">
        <v>466.50363290000001</v>
      </c>
      <c r="O131" s="11">
        <v>625.11491139999998</v>
      </c>
      <c r="P131" s="11">
        <f>Table1[[#This Row],[Installed Capacity 
(AC -MW)]]/Table1[[#This Row],[Installed Capacity 
(DC -MW)]]</f>
        <v>0.74626860500771608</v>
      </c>
      <c r="Q131" s="12">
        <v>0.17241791000000001</v>
      </c>
      <c r="R131" s="12">
        <v>0.12867007999999999</v>
      </c>
      <c r="S131" s="13">
        <v>57.02122524</v>
      </c>
      <c r="T131" s="11">
        <v>2.6973506469999999</v>
      </c>
      <c r="U131" s="11">
        <v>118.0896103</v>
      </c>
      <c r="V131" s="13">
        <v>431179.17489999998</v>
      </c>
      <c r="W131" s="13">
        <v>496162.56</v>
      </c>
      <c r="X131" s="13">
        <v>26.575780000000002</v>
      </c>
      <c r="Y131" s="14">
        <f>+Table1[[#This Row],[Generation Cost 
LCOE (USD/MWh)]]+Table1[[#This Row],[Transmission Cost
LCOT (USD/MWh)]]</f>
        <v>83.597005240000001</v>
      </c>
    </row>
    <row r="132" spans="1:25" x14ac:dyDescent="0.3">
      <c r="A132" s="7">
        <v>131</v>
      </c>
      <c r="B132" s="8">
        <v>3841</v>
      </c>
      <c r="C132" s="9">
        <v>48.280113</v>
      </c>
      <c r="D132" s="9">
        <v>-121.5331</v>
      </c>
      <c r="E132" s="10" t="s">
        <v>42</v>
      </c>
      <c r="F132" s="10" t="s">
        <v>4</v>
      </c>
      <c r="G132" s="10" t="s">
        <v>35</v>
      </c>
      <c r="H132" s="10">
        <v>-8</v>
      </c>
      <c r="I132" s="11">
        <v>395.72727270000001</v>
      </c>
      <c r="J132" s="11">
        <v>3.1458075000000001</v>
      </c>
      <c r="K132" s="11" t="str">
        <f>IF(Table1[[#This Row],[Solar 
Resource]]&lt;3,"Low", IF(Table1[[#This Row],[Solar 
Resource]]&lt;4, "Moderate","High"))</f>
        <v>Moderate</v>
      </c>
      <c r="L132" s="11">
        <v>1.0173581</v>
      </c>
      <c r="M132" s="11">
        <v>6.451811169</v>
      </c>
      <c r="N132" s="11">
        <v>207.03574180000001</v>
      </c>
      <c r="O132" s="11">
        <v>277.42788030000003</v>
      </c>
      <c r="P132" s="11">
        <f>Table1[[#This Row],[Installed Capacity 
(AC -MW)]]/Table1[[#This Row],[Installed Capacity 
(DC -MW)]]</f>
        <v>0.74626869360108794</v>
      </c>
      <c r="Q132" s="12">
        <v>0.17652255</v>
      </c>
      <c r="R132" s="12">
        <v>0.13173325</v>
      </c>
      <c r="S132" s="13">
        <v>55.665608450000001</v>
      </c>
      <c r="T132" s="11">
        <v>3.4455844120000001</v>
      </c>
      <c r="U132" s="11">
        <v>127.494383</v>
      </c>
      <c r="V132" s="13">
        <v>461741.48460000003</v>
      </c>
      <c r="W132" s="13">
        <v>535645</v>
      </c>
      <c r="X132" s="13">
        <v>28.023427999999999</v>
      </c>
      <c r="Y132" s="14">
        <f>+Table1[[#This Row],[Generation Cost 
LCOE (USD/MWh)]]+Table1[[#This Row],[Transmission Cost
LCOT (USD/MWh)]]</f>
        <v>83.689036450000003</v>
      </c>
    </row>
    <row r="133" spans="1:25" x14ac:dyDescent="0.3">
      <c r="A133" s="7">
        <v>132</v>
      </c>
      <c r="B133" s="8">
        <v>3842</v>
      </c>
      <c r="C133" s="9">
        <v>48.306060000000002</v>
      </c>
      <c r="D133" s="9">
        <v>-121.37452999999999</v>
      </c>
      <c r="E133" s="10" t="s">
        <v>42</v>
      </c>
      <c r="F133" s="10" t="s">
        <v>4</v>
      </c>
      <c r="G133" s="10" t="s">
        <v>34</v>
      </c>
      <c r="H133" s="10">
        <v>-8</v>
      </c>
      <c r="I133" s="11">
        <v>532</v>
      </c>
      <c r="J133" s="11">
        <v>3.1499999000000001</v>
      </c>
      <c r="K133" s="11" t="str">
        <f>IF(Table1[[#This Row],[Solar 
Resource]]&lt;3,"Low", IF(Table1[[#This Row],[Solar 
Resource]]&lt;4, "Moderate","High"))</f>
        <v>Moderate</v>
      </c>
      <c r="L133" s="11">
        <v>1.0159853999999999</v>
      </c>
      <c r="M133" s="11">
        <v>7.4843997999999995E-2</v>
      </c>
      <c r="N133" s="11">
        <v>2.4017102220000002</v>
      </c>
      <c r="O133" s="11">
        <v>3.21829192</v>
      </c>
      <c r="P133" s="11">
        <f>Table1[[#This Row],[Installed Capacity 
(AC -MW)]]/Table1[[#This Row],[Installed Capacity 
(DC -MW)]]</f>
        <v>0.74626860511771109</v>
      </c>
      <c r="Q133" s="12">
        <v>0.17748958000000001</v>
      </c>
      <c r="R133" s="12">
        <v>0.13245488999999999</v>
      </c>
      <c r="S133" s="13">
        <v>80.36761654</v>
      </c>
      <c r="T133" s="11">
        <v>14.876681809999999</v>
      </c>
      <c r="U133" s="11">
        <v>130.1981298</v>
      </c>
      <c r="V133" s="13">
        <v>471091.4644</v>
      </c>
      <c r="W133" s="13">
        <v>641931.25</v>
      </c>
      <c r="X133" s="13">
        <v>33.401046999999998</v>
      </c>
      <c r="Y133" s="14">
        <f>+Table1[[#This Row],[Generation Cost 
LCOE (USD/MWh)]]+Table1[[#This Row],[Transmission Cost
LCOT (USD/MWh)]]</f>
        <v>113.76866354000001</v>
      </c>
    </row>
    <row r="134" spans="1:25" x14ac:dyDescent="0.3">
      <c r="A134" s="7">
        <v>133</v>
      </c>
      <c r="B134" s="8">
        <v>3848</v>
      </c>
      <c r="C134" s="9">
        <v>48.458435000000001</v>
      </c>
      <c r="D134" s="9">
        <v>-120.42010500000001</v>
      </c>
      <c r="E134" s="10" t="s">
        <v>42</v>
      </c>
      <c r="F134" s="10" t="s">
        <v>4</v>
      </c>
      <c r="G134" s="10" t="s">
        <v>29</v>
      </c>
      <c r="H134" s="10">
        <v>-8</v>
      </c>
      <c r="I134" s="11">
        <v>1092</v>
      </c>
      <c r="J134" s="11">
        <v>3.8359999999999999</v>
      </c>
      <c r="K134" s="11" t="str">
        <f>IF(Table1[[#This Row],[Solar 
Resource]]&lt;3,"Low", IF(Table1[[#This Row],[Solar 
Resource]]&lt;4, "Moderate","High"))</f>
        <v>Moderate</v>
      </c>
      <c r="L134" s="11">
        <v>1.0075521000000001</v>
      </c>
      <c r="M134" s="11">
        <v>1.0044000000000001E-2</v>
      </c>
      <c r="N134" s="11">
        <v>0.32230744300000003</v>
      </c>
      <c r="O134" s="11">
        <v>0.43189200300000002</v>
      </c>
      <c r="P134" s="11">
        <f>Table1[[#This Row],[Installed Capacity 
(AC -MW)]]/Table1[[#This Row],[Installed Capacity 
(DC -MW)]]</f>
        <v>0.74626860595054823</v>
      </c>
      <c r="Q134" s="12">
        <v>0.22951008000000001</v>
      </c>
      <c r="R134" s="12">
        <v>0.17127621000000001</v>
      </c>
      <c r="S134" s="13">
        <v>78.072598659999997</v>
      </c>
      <c r="T134" s="11">
        <v>19.327707780000001</v>
      </c>
      <c r="U134" s="11">
        <v>244.4309868</v>
      </c>
      <c r="V134" s="13">
        <v>791780.65980000002</v>
      </c>
      <c r="W134" s="13">
        <v>954831.7</v>
      </c>
      <c r="X134" s="13">
        <v>38.42107</v>
      </c>
      <c r="Y134" s="14">
        <f>+Table1[[#This Row],[Generation Cost 
LCOE (USD/MWh)]]+Table1[[#This Row],[Transmission Cost
LCOT (USD/MWh)]]</f>
        <v>116.49366866</v>
      </c>
    </row>
    <row r="135" spans="1:25" x14ac:dyDescent="0.3">
      <c r="A135" s="7">
        <v>134</v>
      </c>
      <c r="B135" s="8">
        <v>3849</v>
      </c>
      <c r="C135" s="9">
        <v>48.483280000000001</v>
      </c>
      <c r="D135" s="9">
        <v>-120.26053</v>
      </c>
      <c r="E135" s="10" t="s">
        <v>42</v>
      </c>
      <c r="F135" s="10" t="s">
        <v>4</v>
      </c>
      <c r="G135" s="10" t="s">
        <v>29</v>
      </c>
      <c r="H135" s="10">
        <v>-8</v>
      </c>
      <c r="I135" s="11">
        <v>737.09090909999998</v>
      </c>
      <c r="J135" s="11">
        <v>3.7957776000000001</v>
      </c>
      <c r="K135" s="11" t="str">
        <f>IF(Table1[[#This Row],[Solar 
Resource]]&lt;3,"Low", IF(Table1[[#This Row],[Solar 
Resource]]&lt;4, "Moderate","High"))</f>
        <v>Moderate</v>
      </c>
      <c r="L135" s="11">
        <v>1.0057202999999999</v>
      </c>
      <c r="M135" s="11">
        <v>7.5730140199999996</v>
      </c>
      <c r="N135" s="11">
        <v>243.01461219999999</v>
      </c>
      <c r="O135" s="11">
        <v>325.6396029</v>
      </c>
      <c r="P135" s="11">
        <f>Table1[[#This Row],[Installed Capacity 
(AC -MW)]]/Table1[[#This Row],[Installed Capacity 
(DC -MW)]]</f>
        <v>0.7462686050339733</v>
      </c>
      <c r="Q135" s="12">
        <v>0.22591646000000001</v>
      </c>
      <c r="R135" s="12">
        <v>0.16859436</v>
      </c>
      <c r="S135" s="13">
        <v>43.10146975</v>
      </c>
      <c r="T135" s="11">
        <v>5.2237467500000001</v>
      </c>
      <c r="U135" s="11">
        <v>244.4309868</v>
      </c>
      <c r="V135" s="13">
        <v>791780.65980000002</v>
      </c>
      <c r="W135" s="13">
        <v>847947.4</v>
      </c>
      <c r="X135" s="13">
        <v>34.662939999999999</v>
      </c>
      <c r="Y135" s="14">
        <f>+Table1[[#This Row],[Generation Cost 
LCOE (USD/MWh)]]+Table1[[#This Row],[Transmission Cost
LCOT (USD/MWh)]]</f>
        <v>77.764409749999999</v>
      </c>
    </row>
    <row r="136" spans="1:25" x14ac:dyDescent="0.3">
      <c r="A136" s="7">
        <v>135</v>
      </c>
      <c r="B136" s="8">
        <v>3850</v>
      </c>
      <c r="C136" s="9">
        <v>48.507964999999999</v>
      </c>
      <c r="D136" s="9">
        <v>-120.10082</v>
      </c>
      <c r="E136" s="10" t="s">
        <v>42</v>
      </c>
      <c r="F136" s="10" t="s">
        <v>4</v>
      </c>
      <c r="G136" s="10" t="s">
        <v>29</v>
      </c>
      <c r="H136" s="10">
        <v>-8</v>
      </c>
      <c r="I136" s="11">
        <v>906.90909090000002</v>
      </c>
      <c r="J136" s="11">
        <v>3.8356338000000001</v>
      </c>
      <c r="K136" s="11" t="str">
        <f>IF(Table1[[#This Row],[Solar 
Resource]]&lt;3,"Low", IF(Table1[[#This Row],[Solar 
Resource]]&lt;4, "Moderate","High"))</f>
        <v>Moderate</v>
      </c>
      <c r="L136" s="11">
        <v>1.0042515999999999</v>
      </c>
      <c r="M136" s="11">
        <v>3.2289841190000002</v>
      </c>
      <c r="N136" s="11">
        <v>103.6166351</v>
      </c>
      <c r="O136" s="11">
        <v>138.84631709999999</v>
      </c>
      <c r="P136" s="11">
        <f>Table1[[#This Row],[Installed Capacity 
(AC -MW)]]/Table1[[#This Row],[Installed Capacity 
(DC -MW)]]</f>
        <v>0.74626851661735583</v>
      </c>
      <c r="Q136" s="12">
        <v>0.22891808</v>
      </c>
      <c r="R136" s="12">
        <v>0.17083439</v>
      </c>
      <c r="S136" s="13">
        <v>42.487296919999999</v>
      </c>
      <c r="T136" s="11">
        <v>7.6383051919999998</v>
      </c>
      <c r="U136" s="11">
        <v>244.4309868</v>
      </c>
      <c r="V136" s="13">
        <v>791780.65980000002</v>
      </c>
      <c r="W136" s="13">
        <v>875426.8</v>
      </c>
      <c r="X136" s="13">
        <v>35.317030000000003</v>
      </c>
      <c r="Y136" s="14">
        <f>+Table1[[#This Row],[Generation Cost 
LCOE (USD/MWh)]]+Table1[[#This Row],[Transmission Cost
LCOT (USD/MWh)]]</f>
        <v>77.804326919999994</v>
      </c>
    </row>
    <row r="137" spans="1:25" x14ac:dyDescent="0.3">
      <c r="A137" s="7">
        <v>136</v>
      </c>
      <c r="B137" s="8">
        <v>3851</v>
      </c>
      <c r="C137" s="9">
        <v>48.532494</v>
      </c>
      <c r="D137" s="9">
        <v>-119.94098</v>
      </c>
      <c r="E137" s="10" t="s">
        <v>42</v>
      </c>
      <c r="F137" s="10" t="s">
        <v>4</v>
      </c>
      <c r="G137" s="10" t="s">
        <v>29</v>
      </c>
      <c r="H137" s="10">
        <v>-8</v>
      </c>
      <c r="I137" s="11">
        <v>1229.5</v>
      </c>
      <c r="J137" s="11">
        <v>3.6942153000000002</v>
      </c>
      <c r="K137" s="11" t="str">
        <f>IF(Table1[[#This Row],[Solar 
Resource]]&lt;3,"Low", IF(Table1[[#This Row],[Solar 
Resource]]&lt;4, "Moderate","High"))</f>
        <v>Moderate</v>
      </c>
      <c r="L137" s="11">
        <v>1.0021485000000001</v>
      </c>
      <c r="M137" s="11">
        <v>1.3889879650000001</v>
      </c>
      <c r="N137" s="11">
        <v>44.571998790000002</v>
      </c>
      <c r="O137" s="11">
        <v>59.726482509999997</v>
      </c>
      <c r="P137" s="11">
        <f>Table1[[#This Row],[Installed Capacity 
(AC -MW)]]/Table1[[#This Row],[Installed Capacity 
(DC -MW)]]</f>
        <v>0.74626860509552562</v>
      </c>
      <c r="Q137" s="12">
        <v>0.22331084000000001</v>
      </c>
      <c r="R137" s="12">
        <v>0.16664992000000001</v>
      </c>
      <c r="S137" s="13">
        <v>45.610620920000002</v>
      </c>
      <c r="T137" s="11">
        <v>16.95417531</v>
      </c>
      <c r="U137" s="11">
        <v>236.189818</v>
      </c>
      <c r="V137" s="13">
        <v>762033.62650000001</v>
      </c>
      <c r="W137" s="13">
        <v>936177.44</v>
      </c>
      <c r="X137" s="13">
        <v>38.716200000000001</v>
      </c>
      <c r="Y137" s="14">
        <f>+Table1[[#This Row],[Generation Cost 
LCOE (USD/MWh)]]+Table1[[#This Row],[Transmission Cost
LCOT (USD/MWh)]]</f>
        <v>84.326820920000003</v>
      </c>
    </row>
    <row r="138" spans="1:25" x14ac:dyDescent="0.3">
      <c r="A138" s="7">
        <v>137</v>
      </c>
      <c r="B138" s="8">
        <v>3852</v>
      </c>
      <c r="C138" s="9">
        <v>48.55686</v>
      </c>
      <c r="D138" s="9">
        <v>-119.78099</v>
      </c>
      <c r="E138" s="10" t="s">
        <v>42</v>
      </c>
      <c r="F138" s="10" t="s">
        <v>4</v>
      </c>
      <c r="G138" s="10" t="s">
        <v>29</v>
      </c>
      <c r="H138" s="10">
        <v>-8</v>
      </c>
      <c r="I138" s="11">
        <v>1030.230769</v>
      </c>
      <c r="J138" s="11">
        <v>3.7062282999999998</v>
      </c>
      <c r="K138" s="11" t="str">
        <f>IF(Table1[[#This Row],[Solar 
Resource]]&lt;3,"Low", IF(Table1[[#This Row],[Solar 
Resource]]&lt;4, "Moderate","High"))</f>
        <v>Moderate</v>
      </c>
      <c r="L138" s="11">
        <v>1.0006025000000001</v>
      </c>
      <c r="M138" s="11">
        <v>7.2203401979999997</v>
      </c>
      <c r="N138" s="11">
        <v>231.69746789999999</v>
      </c>
      <c r="O138" s="11">
        <v>310.47462849999999</v>
      </c>
      <c r="P138" s="11">
        <f>Table1[[#This Row],[Installed Capacity 
(AC -MW)]]/Table1[[#This Row],[Installed Capacity 
(DC -MW)]]</f>
        <v>0.74626860500454706</v>
      </c>
      <c r="Q138" s="12">
        <v>0.22271601999999999</v>
      </c>
      <c r="R138" s="12">
        <v>0.16620599</v>
      </c>
      <c r="S138" s="13">
        <v>43.545290190000003</v>
      </c>
      <c r="T138" s="11">
        <v>18.144915569999998</v>
      </c>
      <c r="U138" s="11">
        <v>202.26337649999999</v>
      </c>
      <c r="V138" s="13">
        <v>575072.62199999997</v>
      </c>
      <c r="W138" s="13">
        <v>733222.44</v>
      </c>
      <c r="X138" s="13">
        <v>30.403858</v>
      </c>
      <c r="Y138" s="14">
        <f>+Table1[[#This Row],[Generation Cost 
LCOE (USD/MWh)]]+Table1[[#This Row],[Transmission Cost
LCOT (USD/MWh)]]</f>
        <v>73.949148190000003</v>
      </c>
    </row>
    <row r="139" spans="1:25" x14ac:dyDescent="0.3">
      <c r="A139" s="7">
        <v>138</v>
      </c>
      <c r="B139" s="8">
        <v>3853</v>
      </c>
      <c r="C139" s="9">
        <v>48.581069999999997</v>
      </c>
      <c r="D139" s="9">
        <v>-119.62085999999999</v>
      </c>
      <c r="E139" s="10" t="s">
        <v>42</v>
      </c>
      <c r="F139" s="10" t="s">
        <v>4</v>
      </c>
      <c r="G139" s="10" t="s">
        <v>29</v>
      </c>
      <c r="H139" s="10">
        <v>-8</v>
      </c>
      <c r="I139" s="11">
        <v>678.26666669999997</v>
      </c>
      <c r="J139" s="11">
        <v>3.7823981999999998</v>
      </c>
      <c r="K139" s="11" t="str">
        <f>IF(Table1[[#This Row],[Solar 
Resource]]&lt;3,"Low", IF(Table1[[#This Row],[Solar 
Resource]]&lt;4, "Moderate","High"))</f>
        <v>Moderate</v>
      </c>
      <c r="L139" s="11">
        <v>0.99868584000000005</v>
      </c>
      <c r="M139" s="11">
        <v>15.20758784</v>
      </c>
      <c r="N139" s="11">
        <v>488.00470869999998</v>
      </c>
      <c r="O139" s="11">
        <v>653.92627719999996</v>
      </c>
      <c r="P139" s="11">
        <f>Table1[[#This Row],[Installed Capacity 
(AC -MW)]]/Table1[[#This Row],[Installed Capacity 
(DC -MW)]]</f>
        <v>0.74626869375788407</v>
      </c>
      <c r="Q139" s="12">
        <v>0.2263058</v>
      </c>
      <c r="R139" s="12">
        <v>0.16888496</v>
      </c>
      <c r="S139" s="13">
        <v>42.789849050000001</v>
      </c>
      <c r="T139" s="11">
        <v>6.0966103829999998</v>
      </c>
      <c r="U139" s="11">
        <v>204.06977259999999</v>
      </c>
      <c r="V139" s="13">
        <v>580791.50450000004</v>
      </c>
      <c r="W139" s="13">
        <v>675405.2</v>
      </c>
      <c r="X139" s="13">
        <v>27.562151</v>
      </c>
      <c r="Y139" s="14">
        <f>+Table1[[#This Row],[Generation Cost 
LCOE (USD/MWh)]]+Table1[[#This Row],[Transmission Cost
LCOT (USD/MWh)]]</f>
        <v>70.352000050000001</v>
      </c>
    </row>
    <row r="140" spans="1:25" x14ac:dyDescent="0.3">
      <c r="A140" s="7">
        <v>139</v>
      </c>
      <c r="B140" s="8">
        <v>3854</v>
      </c>
      <c r="C140" s="9">
        <v>48.605117999999997</v>
      </c>
      <c r="D140" s="9">
        <v>-119.46059</v>
      </c>
      <c r="E140" s="10" t="s">
        <v>42</v>
      </c>
      <c r="F140" s="10" t="s">
        <v>4</v>
      </c>
      <c r="G140" s="10" t="s">
        <v>29</v>
      </c>
      <c r="H140" s="10">
        <v>-8</v>
      </c>
      <c r="I140" s="11">
        <v>553.64705879999997</v>
      </c>
      <c r="J140" s="11">
        <v>3.8263867</v>
      </c>
      <c r="K140" s="11" t="str">
        <f>IF(Table1[[#This Row],[Solar 
Resource]]&lt;3,"Low", IF(Table1[[#This Row],[Solar 
Resource]]&lt;4, "Moderate","High"))</f>
        <v>Moderate</v>
      </c>
      <c r="L140" s="11">
        <v>0.99718313999999997</v>
      </c>
      <c r="M140" s="11">
        <v>20.614662160000002</v>
      </c>
      <c r="N140" s="11">
        <v>661.51523239999995</v>
      </c>
      <c r="O140" s="11">
        <v>886.43047279999996</v>
      </c>
      <c r="P140" s="11">
        <f>Table1[[#This Row],[Installed Capacity 
(AC -MW)]]/Table1[[#This Row],[Installed Capacity 
(DC -MW)]]</f>
        <v>0.74626860503841652</v>
      </c>
      <c r="Q140" s="12">
        <v>0.22860684000000001</v>
      </c>
      <c r="R140" s="12">
        <v>0.17060211</v>
      </c>
      <c r="S140" s="13">
        <v>42.308938089999998</v>
      </c>
      <c r="T140" s="11">
        <v>2.9827922060000001</v>
      </c>
      <c r="U140" s="11">
        <v>210.59454529999999</v>
      </c>
      <c r="V140" s="13">
        <v>602922.71759999997</v>
      </c>
      <c r="W140" s="13">
        <v>665170</v>
      </c>
      <c r="X140" s="13">
        <v>26.87125</v>
      </c>
      <c r="Y140" s="14">
        <f>+Table1[[#This Row],[Generation Cost 
LCOE (USD/MWh)]]+Table1[[#This Row],[Transmission Cost
LCOT (USD/MWh)]]</f>
        <v>69.180188090000001</v>
      </c>
    </row>
    <row r="141" spans="1:25" x14ac:dyDescent="0.3">
      <c r="A141" s="7">
        <v>140</v>
      </c>
      <c r="B141" s="8">
        <v>3855</v>
      </c>
      <c r="C141" s="9">
        <v>48.629013</v>
      </c>
      <c r="D141" s="9">
        <v>-119.300186</v>
      </c>
      <c r="E141" s="10" t="s">
        <v>42</v>
      </c>
      <c r="F141" s="10" t="s">
        <v>4</v>
      </c>
      <c r="G141" s="10" t="s">
        <v>29</v>
      </c>
      <c r="H141" s="10">
        <v>-8</v>
      </c>
      <c r="I141" s="11">
        <v>1015.833333</v>
      </c>
      <c r="J141" s="11">
        <v>3.8212837999999998</v>
      </c>
      <c r="K141" s="11" t="str">
        <f>IF(Table1[[#This Row],[Solar 
Resource]]&lt;3,"Low", IF(Table1[[#This Row],[Solar 
Resource]]&lt;4, "Moderate","High"))</f>
        <v>Moderate</v>
      </c>
      <c r="L141" s="11">
        <v>0.99548199999999998</v>
      </c>
      <c r="M141" s="11">
        <v>20.683836469999999</v>
      </c>
      <c r="N141" s="11">
        <v>663.73500509999997</v>
      </c>
      <c r="O141" s="11">
        <v>889.40496840000003</v>
      </c>
      <c r="P141" s="11">
        <f>Table1[[#This Row],[Installed Capacity 
(AC -MW)]]/Table1[[#This Row],[Installed Capacity 
(DC -MW)]]</f>
        <v>0.74626860505853676</v>
      </c>
      <c r="Q141" s="12">
        <v>0.22955538</v>
      </c>
      <c r="R141" s="12">
        <v>0.17131001000000001</v>
      </c>
      <c r="S141" s="13">
        <v>42.077499779999997</v>
      </c>
      <c r="T141" s="11">
        <v>14.80587012</v>
      </c>
      <c r="U141" s="11">
        <v>222.68497389999999</v>
      </c>
      <c r="V141" s="13">
        <v>646338.61620000005</v>
      </c>
      <c r="W141" s="13">
        <v>751583.2</v>
      </c>
      <c r="X141" s="13">
        <v>30.236671000000001</v>
      </c>
      <c r="Y141" s="14">
        <f>+Table1[[#This Row],[Generation Cost 
LCOE (USD/MWh)]]+Table1[[#This Row],[Transmission Cost
LCOT (USD/MWh)]]</f>
        <v>72.314170779999998</v>
      </c>
    </row>
    <row r="142" spans="1:25" x14ac:dyDescent="0.3">
      <c r="A142" s="7">
        <v>141</v>
      </c>
      <c r="B142" s="8">
        <v>3856</v>
      </c>
      <c r="C142" s="9">
        <v>48.652740000000001</v>
      </c>
      <c r="D142" s="9">
        <v>-119.139656</v>
      </c>
      <c r="E142" s="10" t="s">
        <v>42</v>
      </c>
      <c r="F142" s="10" t="s">
        <v>4</v>
      </c>
      <c r="G142" s="10" t="s">
        <v>29</v>
      </c>
      <c r="H142" s="10">
        <v>-8</v>
      </c>
      <c r="I142" s="11">
        <v>1043.125</v>
      </c>
      <c r="J142" s="11">
        <v>3.7305899999999999</v>
      </c>
      <c r="K142" s="11" t="str">
        <f>IF(Table1[[#This Row],[Solar 
Resource]]&lt;3,"Low", IF(Table1[[#This Row],[Solar 
Resource]]&lt;4, "Moderate","High"))</f>
        <v>Moderate</v>
      </c>
      <c r="L142" s="11">
        <v>0.99391025</v>
      </c>
      <c r="M142" s="11">
        <v>21.181583060000001</v>
      </c>
      <c r="N142" s="11">
        <v>679.70738819999997</v>
      </c>
      <c r="O142" s="11">
        <v>910.80807140000002</v>
      </c>
      <c r="P142" s="11">
        <f>Table1[[#This Row],[Installed Capacity 
(AC -MW)]]/Table1[[#This Row],[Installed Capacity 
(DC -MW)]]</f>
        <v>0.74626851643422965</v>
      </c>
      <c r="Q142" s="12">
        <v>0.22317835999999999</v>
      </c>
      <c r="R142" s="12">
        <v>0.166551</v>
      </c>
      <c r="S142" s="13">
        <v>43.226007099999997</v>
      </c>
      <c r="T142" s="11">
        <v>25.204389590000002</v>
      </c>
      <c r="U142" s="11">
        <v>222.68497389999999</v>
      </c>
      <c r="V142" s="13">
        <v>646338.61620000005</v>
      </c>
      <c r="W142" s="13">
        <v>799427.44</v>
      </c>
      <c r="X142" s="13">
        <v>33.080449999999999</v>
      </c>
      <c r="Y142" s="14">
        <f>+Table1[[#This Row],[Generation Cost 
LCOE (USD/MWh)]]+Table1[[#This Row],[Transmission Cost
LCOT (USD/MWh)]]</f>
        <v>76.306457099999989</v>
      </c>
    </row>
    <row r="143" spans="1:25" x14ac:dyDescent="0.3">
      <c r="A143" s="7">
        <v>142</v>
      </c>
      <c r="B143" s="8">
        <v>3857</v>
      </c>
      <c r="C143" s="9">
        <v>48.676310000000001</v>
      </c>
      <c r="D143" s="9">
        <v>-118.97898000000001</v>
      </c>
      <c r="E143" s="10" t="s">
        <v>42</v>
      </c>
      <c r="F143" s="10" t="s">
        <v>4</v>
      </c>
      <c r="G143" s="10" t="s">
        <v>29</v>
      </c>
      <c r="H143" s="10">
        <v>-8</v>
      </c>
      <c r="I143" s="11">
        <v>1268.1111109999999</v>
      </c>
      <c r="J143" s="11">
        <v>3.6513051999999999</v>
      </c>
      <c r="K143" s="11" t="str">
        <f>IF(Table1[[#This Row],[Solar 
Resource]]&lt;3,"Low", IF(Table1[[#This Row],[Solar 
Resource]]&lt;4, "Moderate","High"))</f>
        <v>Moderate</v>
      </c>
      <c r="L143" s="11">
        <v>0.99248004000000001</v>
      </c>
      <c r="M143" s="11">
        <v>18.659402050000001</v>
      </c>
      <c r="N143" s="11">
        <v>598.77188660000002</v>
      </c>
      <c r="O143" s="11">
        <v>802.35428820000004</v>
      </c>
      <c r="P143" s="11">
        <f>Table1[[#This Row],[Installed Capacity 
(AC -MW)]]/Table1[[#This Row],[Installed Capacity 
(DC -MW)]]</f>
        <v>0.74626869377526928</v>
      </c>
      <c r="Q143" s="12">
        <v>0.21792491999999999</v>
      </c>
      <c r="R143" s="12">
        <v>0.16263053999999999</v>
      </c>
      <c r="S143" s="13">
        <v>44.217913950000003</v>
      </c>
      <c r="T143" s="11">
        <v>23.639759720000001</v>
      </c>
      <c r="U143" s="11">
        <v>214.36001289999999</v>
      </c>
      <c r="V143" s="13">
        <v>902286.40449999995</v>
      </c>
      <c r="W143" s="13">
        <v>1096466.5</v>
      </c>
      <c r="X143" s="13">
        <v>46.465744000000001</v>
      </c>
      <c r="Y143" s="14">
        <f>+Table1[[#This Row],[Generation Cost 
LCOE (USD/MWh)]]+Table1[[#This Row],[Transmission Cost
LCOT (USD/MWh)]]</f>
        <v>90.683657949999997</v>
      </c>
    </row>
    <row r="144" spans="1:25" x14ac:dyDescent="0.3">
      <c r="A144" s="7">
        <v>143</v>
      </c>
      <c r="B144" s="8">
        <v>3858</v>
      </c>
      <c r="C144" s="9">
        <v>48.699722000000001</v>
      </c>
      <c r="D144" s="9">
        <v>-118.81818</v>
      </c>
      <c r="E144" s="10" t="s">
        <v>42</v>
      </c>
      <c r="F144" s="10" t="s">
        <v>4</v>
      </c>
      <c r="G144" s="10" t="s">
        <v>14</v>
      </c>
      <c r="H144" s="10">
        <v>-8</v>
      </c>
      <c r="I144" s="11">
        <v>1158.4705879999999</v>
      </c>
      <c r="J144" s="11">
        <v>3.5881707999999999</v>
      </c>
      <c r="K144" s="11" t="str">
        <f>IF(Table1[[#This Row],[Solar 
Resource]]&lt;3,"Low", IF(Table1[[#This Row],[Solar 
Resource]]&lt;4, "Moderate","High"))</f>
        <v>Moderate</v>
      </c>
      <c r="L144" s="11">
        <v>0.99109285999999996</v>
      </c>
      <c r="M144" s="11">
        <v>15.359868240000001</v>
      </c>
      <c r="N144" s="11">
        <v>492.8913187</v>
      </c>
      <c r="O144" s="11">
        <v>660.47433420000004</v>
      </c>
      <c r="P144" s="11">
        <f>Table1[[#This Row],[Installed Capacity 
(AC -MW)]]/Table1[[#This Row],[Installed Capacity 
(DC -MW)]]</f>
        <v>0.74626869384260774</v>
      </c>
      <c r="Q144" s="12">
        <v>0.21225215</v>
      </c>
      <c r="R144" s="12">
        <v>0.15839712</v>
      </c>
      <c r="S144" s="13">
        <v>45.349778139999998</v>
      </c>
      <c r="T144" s="11">
        <v>11.435941550000001</v>
      </c>
      <c r="U144" s="11">
        <v>214.36001289999999</v>
      </c>
      <c r="V144" s="13">
        <v>902286.40449999995</v>
      </c>
      <c r="W144" s="13">
        <v>1010963.7</v>
      </c>
      <c r="X144" s="13">
        <v>43.987360000000002</v>
      </c>
      <c r="Y144" s="14">
        <f>+Table1[[#This Row],[Generation Cost 
LCOE (USD/MWh)]]+Table1[[#This Row],[Transmission Cost
LCOT (USD/MWh)]]</f>
        <v>89.337138140000008</v>
      </c>
    </row>
    <row r="145" spans="1:25" x14ac:dyDescent="0.3">
      <c r="A145" s="7">
        <v>144</v>
      </c>
      <c r="B145" s="8">
        <v>3859</v>
      </c>
      <c r="C145" s="9">
        <v>48.722973000000003</v>
      </c>
      <c r="D145" s="9">
        <v>-118.65723</v>
      </c>
      <c r="E145" s="10" t="s">
        <v>42</v>
      </c>
      <c r="F145" s="10" t="s">
        <v>4</v>
      </c>
      <c r="G145" s="10" t="s">
        <v>14</v>
      </c>
      <c r="H145" s="10">
        <v>-8</v>
      </c>
      <c r="I145" s="11">
        <v>957</v>
      </c>
      <c r="J145" s="11">
        <v>3.5947901999999998</v>
      </c>
      <c r="K145" s="11" t="str">
        <f>IF(Table1[[#This Row],[Solar 
Resource]]&lt;3,"Low", IF(Table1[[#This Row],[Solar 
Resource]]&lt;4, "Moderate","High"))</f>
        <v>Moderate</v>
      </c>
      <c r="L145" s="11">
        <v>0.990089</v>
      </c>
      <c r="M145" s="11">
        <v>13.95654324</v>
      </c>
      <c r="N145" s="11">
        <v>447.85919230000002</v>
      </c>
      <c r="O145" s="11">
        <v>600.13135920000002</v>
      </c>
      <c r="P145" s="11">
        <f>Table1[[#This Row],[Installed Capacity 
(AC -MW)]]/Table1[[#This Row],[Installed Capacity 
(DC -MW)]]</f>
        <v>0.74626860508841741</v>
      </c>
      <c r="Q145" s="12">
        <v>0.209679</v>
      </c>
      <c r="R145" s="12">
        <v>0.15647686</v>
      </c>
      <c r="S145" s="13">
        <v>45.869726839999998</v>
      </c>
      <c r="T145" s="11">
        <v>9.6284480450000007</v>
      </c>
      <c r="U145" s="11">
        <v>214.36001289999999</v>
      </c>
      <c r="V145" s="13">
        <v>902286.40449999995</v>
      </c>
      <c r="W145" s="13">
        <v>981043.56</v>
      </c>
      <c r="X145" s="13">
        <v>43.209353999999998</v>
      </c>
      <c r="Y145" s="14">
        <f>+Table1[[#This Row],[Generation Cost 
LCOE (USD/MWh)]]+Table1[[#This Row],[Transmission Cost
LCOT (USD/MWh)]]</f>
        <v>89.079080839999989</v>
      </c>
    </row>
    <row r="146" spans="1:25" x14ac:dyDescent="0.3">
      <c r="A146" s="7">
        <v>145</v>
      </c>
      <c r="B146" s="8">
        <v>3860</v>
      </c>
      <c r="C146" s="9">
        <v>48.746062999999999</v>
      </c>
      <c r="D146" s="9">
        <v>-118.496155</v>
      </c>
      <c r="E146" s="10" t="s">
        <v>42</v>
      </c>
      <c r="F146" s="10" t="s">
        <v>4</v>
      </c>
      <c r="G146" s="10" t="s">
        <v>14</v>
      </c>
      <c r="H146" s="10">
        <v>-8</v>
      </c>
      <c r="I146" s="11">
        <v>1333.916667</v>
      </c>
      <c r="J146" s="11">
        <v>3.6002667000000002</v>
      </c>
      <c r="K146" s="11" t="str">
        <f>IF(Table1[[#This Row],[Solar 
Resource]]&lt;3,"Low", IF(Table1[[#This Row],[Solar 
Resource]]&lt;4, "Moderate","High"))</f>
        <v>Moderate</v>
      </c>
      <c r="L146" s="11">
        <v>0.98942569999999996</v>
      </c>
      <c r="M146" s="11">
        <v>2.014145906</v>
      </c>
      <c r="N146" s="11">
        <v>64.633043479999998</v>
      </c>
      <c r="O146" s="11">
        <v>86.608273960000005</v>
      </c>
      <c r="P146" s="11">
        <f>Table1[[#This Row],[Installed Capacity 
(AC -MW)]]/Table1[[#This Row],[Installed Capacity 
(DC -MW)]]</f>
        <v>0.7462686937953612</v>
      </c>
      <c r="Q146" s="12">
        <v>0.21047898000000001</v>
      </c>
      <c r="R146" s="12">
        <v>0.15707386000000001</v>
      </c>
      <c r="S146" s="13">
        <v>46.041349859999997</v>
      </c>
      <c r="T146" s="11">
        <v>12.307707779999999</v>
      </c>
      <c r="U146" s="11">
        <v>210.88089600000001</v>
      </c>
      <c r="V146" s="13">
        <v>888574.15130000003</v>
      </c>
      <c r="W146" s="13">
        <v>1028752.6</v>
      </c>
      <c r="X146" s="13">
        <v>45.138449999999999</v>
      </c>
      <c r="Y146" s="14">
        <f>+Table1[[#This Row],[Generation Cost 
LCOE (USD/MWh)]]+Table1[[#This Row],[Transmission Cost
LCOT (USD/MWh)]]</f>
        <v>91.179799860000003</v>
      </c>
    </row>
    <row r="147" spans="1:25" x14ac:dyDescent="0.3">
      <c r="A147" s="7">
        <v>146</v>
      </c>
      <c r="B147" s="8">
        <v>3861</v>
      </c>
      <c r="C147" s="9">
        <v>48.768990000000002</v>
      </c>
      <c r="D147" s="9">
        <v>-118.334946</v>
      </c>
      <c r="E147" s="10" t="s">
        <v>42</v>
      </c>
      <c r="F147" s="10" t="s">
        <v>4</v>
      </c>
      <c r="G147" s="10" t="s">
        <v>14</v>
      </c>
      <c r="H147" s="10">
        <v>-8</v>
      </c>
      <c r="I147" s="11">
        <v>1246.727273</v>
      </c>
      <c r="J147" s="11">
        <v>3.5304066999999999</v>
      </c>
      <c r="K147" s="11" t="str">
        <f>IF(Table1[[#This Row],[Solar 
Resource]]&lt;3,"Low", IF(Table1[[#This Row],[Solar 
Resource]]&lt;4, "Moderate","High"))</f>
        <v>Moderate</v>
      </c>
      <c r="L147" s="11">
        <v>0.98814709999999994</v>
      </c>
      <c r="M147" s="11">
        <v>2.2660560790000002</v>
      </c>
      <c r="N147" s="11">
        <v>72.716719889999993</v>
      </c>
      <c r="O147" s="11">
        <v>97.440411400000002</v>
      </c>
      <c r="P147" s="11">
        <f>Table1[[#This Row],[Installed Capacity 
(AC -MW)]]/Table1[[#This Row],[Installed Capacity 
(DC -MW)]]</f>
        <v>0.74626860503998238</v>
      </c>
      <c r="Q147" s="12">
        <v>0.20798878000000001</v>
      </c>
      <c r="R147" s="12">
        <v>0.15521549000000001</v>
      </c>
      <c r="S147" s="13">
        <v>46.171166880000001</v>
      </c>
      <c r="T147" s="11">
        <v>24.722409079999998</v>
      </c>
      <c r="U147" s="11">
        <v>210.88089600000001</v>
      </c>
      <c r="V147" s="13">
        <v>888574.15130000003</v>
      </c>
      <c r="W147" s="13">
        <v>1164203</v>
      </c>
      <c r="X147" s="13">
        <v>51.693176000000001</v>
      </c>
      <c r="Y147" s="14">
        <f>+Table1[[#This Row],[Generation Cost 
LCOE (USD/MWh)]]+Table1[[#This Row],[Transmission Cost
LCOT (USD/MWh)]]</f>
        <v>97.864342880000009</v>
      </c>
    </row>
    <row r="148" spans="1:25" x14ac:dyDescent="0.3">
      <c r="A148" s="7">
        <v>147</v>
      </c>
      <c r="B148" s="8">
        <v>3862</v>
      </c>
      <c r="C148" s="9">
        <v>48.791763000000003</v>
      </c>
      <c r="D148" s="9">
        <v>-118.17359999999999</v>
      </c>
      <c r="E148" s="10" t="s">
        <v>42</v>
      </c>
      <c r="F148" s="10" t="s">
        <v>4</v>
      </c>
      <c r="G148" s="10" t="s">
        <v>14</v>
      </c>
      <c r="H148" s="10">
        <v>-8</v>
      </c>
      <c r="I148" s="11">
        <v>739.70588239999995</v>
      </c>
      <c r="J148" s="11">
        <v>3.5095917999999999</v>
      </c>
      <c r="K148" s="11" t="str">
        <f>IF(Table1[[#This Row],[Solar 
Resource]]&lt;3,"Low", IF(Table1[[#This Row],[Solar 
Resource]]&lt;4, "Moderate","High"))</f>
        <v>Moderate</v>
      </c>
      <c r="L148" s="11">
        <v>0.98739920000000003</v>
      </c>
      <c r="M148" s="11">
        <v>10.930463530000001</v>
      </c>
      <c r="N148" s="11">
        <v>350.75365599999998</v>
      </c>
      <c r="O148" s="11">
        <v>470.00993160000002</v>
      </c>
      <c r="P148" s="11">
        <f>Table1[[#This Row],[Installed Capacity 
(AC -MW)]]/Table1[[#This Row],[Installed Capacity 
(DC -MW)]]</f>
        <v>0.74626860501855818</v>
      </c>
      <c r="Q148" s="12">
        <v>0.20181394</v>
      </c>
      <c r="R148" s="12">
        <v>0.15060741999999999</v>
      </c>
      <c r="S148" s="13">
        <v>47.555540479999998</v>
      </c>
      <c r="T148" s="11">
        <v>21.59314934</v>
      </c>
      <c r="U148" s="11">
        <v>164.66328559999999</v>
      </c>
      <c r="V148" s="13">
        <v>625184.16429999995</v>
      </c>
      <c r="W148" s="13">
        <v>811387.4</v>
      </c>
      <c r="X148" s="13">
        <v>37.129703999999997</v>
      </c>
      <c r="Y148" s="14">
        <f>+Table1[[#This Row],[Generation Cost 
LCOE (USD/MWh)]]+Table1[[#This Row],[Transmission Cost
LCOT (USD/MWh)]]</f>
        <v>84.685244479999994</v>
      </c>
    </row>
    <row r="149" spans="1:25" x14ac:dyDescent="0.3">
      <c r="A149" s="7">
        <v>148</v>
      </c>
      <c r="B149" s="8">
        <v>3863</v>
      </c>
      <c r="C149" s="9">
        <v>48.814365000000002</v>
      </c>
      <c r="D149" s="9">
        <v>-118.01213</v>
      </c>
      <c r="E149" s="10" t="s">
        <v>42</v>
      </c>
      <c r="F149" s="10" t="s">
        <v>4</v>
      </c>
      <c r="G149" s="10" t="s">
        <v>37</v>
      </c>
      <c r="H149" s="10">
        <v>-8</v>
      </c>
      <c r="I149" s="11">
        <v>716.63157890000002</v>
      </c>
      <c r="J149" s="11">
        <v>3.5545640000000001</v>
      </c>
      <c r="K149" s="11" t="str">
        <f>IF(Table1[[#This Row],[Solar 
Resource]]&lt;3,"Low", IF(Table1[[#This Row],[Solar 
Resource]]&lt;4, "Moderate","High"))</f>
        <v>Moderate</v>
      </c>
      <c r="L149" s="11">
        <v>0.98675215000000005</v>
      </c>
      <c r="M149" s="11">
        <v>14.82632029</v>
      </c>
      <c r="N149" s="11">
        <v>475.77000299999997</v>
      </c>
      <c r="O149" s="11">
        <v>637.53177240000002</v>
      </c>
      <c r="P149" s="11">
        <f>Table1[[#This Row],[Installed Capacity 
(AC -MW)]]/Table1[[#This Row],[Installed Capacity 
(DC -MW)]]</f>
        <v>0.74626869372949856</v>
      </c>
      <c r="Q149" s="12">
        <v>0.20430810999999999</v>
      </c>
      <c r="R149" s="12">
        <v>0.15246876000000001</v>
      </c>
      <c r="S149" s="13">
        <v>46.950789800000003</v>
      </c>
      <c r="T149" s="11">
        <v>30.73696752</v>
      </c>
      <c r="U149" s="11">
        <v>164.66328559999999</v>
      </c>
      <c r="V149" s="13">
        <v>625184.16429999995</v>
      </c>
      <c r="W149" s="13">
        <v>870018.6</v>
      </c>
      <c r="X149" s="13">
        <v>39.326687</v>
      </c>
      <c r="Y149" s="14">
        <f>+Table1[[#This Row],[Generation Cost 
LCOE (USD/MWh)]]+Table1[[#This Row],[Transmission Cost
LCOT (USD/MWh)]]</f>
        <v>86.277476800000002</v>
      </c>
    </row>
    <row r="150" spans="1:25" x14ac:dyDescent="0.3">
      <c r="A150" s="7">
        <v>149</v>
      </c>
      <c r="B150" s="8">
        <v>3864</v>
      </c>
      <c r="C150" s="9">
        <v>48.83681</v>
      </c>
      <c r="D150" s="9">
        <v>-117.850525</v>
      </c>
      <c r="E150" s="10" t="s">
        <v>42</v>
      </c>
      <c r="F150" s="10" t="s">
        <v>4</v>
      </c>
      <c r="G150" s="10" t="s">
        <v>37</v>
      </c>
      <c r="H150" s="10">
        <v>-8</v>
      </c>
      <c r="I150" s="11">
        <v>759.63157890000002</v>
      </c>
      <c r="J150" s="11">
        <v>3.5354407000000001</v>
      </c>
      <c r="K150" s="11" t="str">
        <f>IF(Table1[[#This Row],[Solar 
Resource]]&lt;3,"Low", IF(Table1[[#This Row],[Solar 
Resource]]&lt;4, "Moderate","High"))</f>
        <v>Moderate</v>
      </c>
      <c r="L150" s="11">
        <v>0.98637425999999995</v>
      </c>
      <c r="M150" s="11">
        <v>18.379872949999999</v>
      </c>
      <c r="N150" s="11">
        <v>589.80178220000005</v>
      </c>
      <c r="O150" s="11">
        <v>790.33453680000002</v>
      </c>
      <c r="P150" s="11">
        <f>Table1[[#This Row],[Installed Capacity 
(AC -MW)]]/Table1[[#This Row],[Installed Capacity 
(DC -MW)]]</f>
        <v>0.74626851635265656</v>
      </c>
      <c r="Q150" s="12">
        <v>0.20313154</v>
      </c>
      <c r="R150" s="12">
        <v>0.15159072000000001</v>
      </c>
      <c r="S150" s="13">
        <v>47.208519000000003</v>
      </c>
      <c r="T150" s="11">
        <v>17.896753239999999</v>
      </c>
      <c r="U150" s="11">
        <v>180.31643500000001</v>
      </c>
      <c r="V150" s="13">
        <v>692800.91630000004</v>
      </c>
      <c r="W150" s="13">
        <v>835772.44</v>
      </c>
      <c r="X150" s="13">
        <v>37.997509999999998</v>
      </c>
      <c r="Y150" s="14">
        <f>+Table1[[#This Row],[Generation Cost 
LCOE (USD/MWh)]]+Table1[[#This Row],[Transmission Cost
LCOT (USD/MWh)]]</f>
        <v>85.206029000000001</v>
      </c>
    </row>
    <row r="151" spans="1:25" x14ac:dyDescent="0.3">
      <c r="A151" s="7">
        <v>150</v>
      </c>
      <c r="B151" s="8">
        <v>3865</v>
      </c>
      <c r="C151" s="9">
        <v>48.859096999999998</v>
      </c>
      <c r="D151" s="9">
        <v>-117.6888</v>
      </c>
      <c r="E151" s="10" t="s">
        <v>42</v>
      </c>
      <c r="F151" s="10" t="s">
        <v>4</v>
      </c>
      <c r="G151" s="10" t="s">
        <v>37</v>
      </c>
      <c r="H151" s="10">
        <v>-8</v>
      </c>
      <c r="I151" s="11">
        <v>902.73684209999999</v>
      </c>
      <c r="J151" s="11">
        <v>3.4922705000000001</v>
      </c>
      <c r="K151" s="11" t="str">
        <f>IF(Table1[[#This Row],[Solar 
Resource]]&lt;3,"Low", IF(Table1[[#This Row],[Solar 
Resource]]&lt;4, "Moderate","High"))</f>
        <v>Moderate</v>
      </c>
      <c r="L151" s="11">
        <v>0.98603034000000001</v>
      </c>
      <c r="M151" s="11">
        <v>12.92290137</v>
      </c>
      <c r="N151" s="11">
        <v>414.69013910000001</v>
      </c>
      <c r="O151" s="11">
        <v>555.68475880000005</v>
      </c>
      <c r="P151" s="11">
        <f>Table1[[#This Row],[Installed Capacity 
(AC -MW)]]/Table1[[#This Row],[Installed Capacity 
(DC -MW)]]</f>
        <v>0.74626869377436655</v>
      </c>
      <c r="Q151" s="12">
        <v>0.20119570000000001</v>
      </c>
      <c r="R151" s="12">
        <v>0.15014604000000001</v>
      </c>
      <c r="S151" s="13">
        <v>47.649698010000002</v>
      </c>
      <c r="T151" s="11">
        <v>7.0455844120000002</v>
      </c>
      <c r="U151" s="11">
        <v>180.31643500000001</v>
      </c>
      <c r="V151" s="13">
        <v>692800.91630000004</v>
      </c>
      <c r="W151" s="13">
        <v>769095</v>
      </c>
      <c r="X151" s="13">
        <v>35.302520000000001</v>
      </c>
      <c r="Y151" s="14">
        <f>+Table1[[#This Row],[Generation Cost 
LCOE (USD/MWh)]]+Table1[[#This Row],[Transmission Cost
LCOT (USD/MWh)]]</f>
        <v>82.952218009999996</v>
      </c>
    </row>
    <row r="152" spans="1:25" x14ac:dyDescent="0.3">
      <c r="A152" s="7">
        <v>151</v>
      </c>
      <c r="B152" s="8">
        <v>3866</v>
      </c>
      <c r="C152" s="9">
        <v>48.881217999999997</v>
      </c>
      <c r="D152" s="9">
        <v>-117.52692999999999</v>
      </c>
      <c r="E152" s="10" t="s">
        <v>42</v>
      </c>
      <c r="F152" s="10" t="s">
        <v>4</v>
      </c>
      <c r="G152" s="10" t="s">
        <v>37</v>
      </c>
      <c r="H152" s="10">
        <v>-8</v>
      </c>
      <c r="I152" s="11">
        <v>1006.1111110000001</v>
      </c>
      <c r="J152" s="11">
        <v>3.4496435999999999</v>
      </c>
      <c r="K152" s="11" t="str">
        <f>IF(Table1[[#This Row],[Solar 
Resource]]&lt;3,"Low", IF(Table1[[#This Row],[Solar 
Resource]]&lt;4, "Moderate","High"))</f>
        <v>Moderate</v>
      </c>
      <c r="L152" s="11">
        <v>0.98622500000000002</v>
      </c>
      <c r="M152" s="11">
        <v>2.107620099</v>
      </c>
      <c r="N152" s="11">
        <v>67.632580579999996</v>
      </c>
      <c r="O152" s="11">
        <v>90.627664249999995</v>
      </c>
      <c r="P152" s="11">
        <f>Table1[[#This Row],[Installed Capacity 
(AC -MW)]]/Table1[[#This Row],[Installed Capacity 
(DC -MW)]]</f>
        <v>0.74626860506338166</v>
      </c>
      <c r="Q152" s="12">
        <v>0.19869617000000001</v>
      </c>
      <c r="R152" s="12">
        <v>0.14828071000000001</v>
      </c>
      <c r="S152" s="13">
        <v>48.414274550000002</v>
      </c>
      <c r="T152" s="11">
        <v>13.778590899999999</v>
      </c>
      <c r="U152" s="11">
        <v>180.31643500000001</v>
      </c>
      <c r="V152" s="13">
        <v>692800.91630000004</v>
      </c>
      <c r="W152" s="13">
        <v>839766</v>
      </c>
      <c r="X152" s="13">
        <v>39.031320000000001</v>
      </c>
      <c r="Y152" s="14">
        <f>+Table1[[#This Row],[Generation Cost 
LCOE (USD/MWh)]]+Table1[[#This Row],[Transmission Cost
LCOT (USD/MWh)]]</f>
        <v>87.44559455000001</v>
      </c>
    </row>
    <row r="153" spans="1:25" x14ac:dyDescent="0.3">
      <c r="A153" s="7">
        <v>152</v>
      </c>
      <c r="B153" s="8">
        <v>3867</v>
      </c>
      <c r="C153" s="9">
        <v>48.903179999999999</v>
      </c>
      <c r="D153" s="9">
        <v>-117.36494999999999</v>
      </c>
      <c r="E153" s="10" t="s">
        <v>42</v>
      </c>
      <c r="F153" s="10" t="s">
        <v>4</v>
      </c>
      <c r="G153" s="10" t="s">
        <v>30</v>
      </c>
      <c r="H153" s="10">
        <v>-8</v>
      </c>
      <c r="I153" s="11">
        <v>855.4</v>
      </c>
      <c r="J153" s="11">
        <v>3.3928091999999999</v>
      </c>
      <c r="K153" s="11" t="str">
        <f>IF(Table1[[#This Row],[Solar 
Resource]]&lt;3,"Low", IF(Table1[[#This Row],[Solar 
Resource]]&lt;4, "Moderate","High"))</f>
        <v>Moderate</v>
      </c>
      <c r="L153" s="11">
        <v>0.98569859999999998</v>
      </c>
      <c r="M153" s="11">
        <v>5.5935364749999996</v>
      </c>
      <c r="N153" s="11">
        <v>179.49404709999999</v>
      </c>
      <c r="O153" s="11">
        <v>240.52206839999999</v>
      </c>
      <c r="P153" s="11">
        <f>Table1[[#This Row],[Installed Capacity 
(AC -MW)]]/Table1[[#This Row],[Installed Capacity 
(DC -MW)]]</f>
        <v>0.74626851620738843</v>
      </c>
      <c r="Q153" s="12">
        <v>0.19433254999999999</v>
      </c>
      <c r="R153" s="12">
        <v>0.14502427000000001</v>
      </c>
      <c r="S153" s="13">
        <v>49.31948062</v>
      </c>
      <c r="T153" s="11">
        <v>1.191837662</v>
      </c>
      <c r="U153" s="11">
        <v>180.3808506</v>
      </c>
      <c r="V153" s="13">
        <v>721825.78269999998</v>
      </c>
      <c r="W153" s="13">
        <v>775748.9</v>
      </c>
      <c r="X153" s="13">
        <v>36.865490000000001</v>
      </c>
      <c r="Y153" s="14">
        <f>+Table1[[#This Row],[Generation Cost 
LCOE (USD/MWh)]]+Table1[[#This Row],[Transmission Cost
LCOT (USD/MWh)]]</f>
        <v>86.184970620000001</v>
      </c>
    </row>
    <row r="154" spans="1:25" x14ac:dyDescent="0.3">
      <c r="A154" s="7">
        <v>153</v>
      </c>
      <c r="B154" s="8">
        <v>3869</v>
      </c>
      <c r="C154" s="9">
        <v>48.94661</v>
      </c>
      <c r="D154" s="9">
        <v>-117.04059599999999</v>
      </c>
      <c r="E154" s="10" t="s">
        <v>42</v>
      </c>
      <c r="F154" s="10" t="s">
        <v>4</v>
      </c>
      <c r="G154" s="10" t="s">
        <v>30</v>
      </c>
      <c r="H154" s="10">
        <v>-8</v>
      </c>
      <c r="I154" s="11">
        <v>1538.5</v>
      </c>
      <c r="J154" s="11">
        <v>3.3368570000000002</v>
      </c>
      <c r="K154" s="11" t="str">
        <f>IF(Table1[[#This Row],[Solar 
Resource]]&lt;3,"Low", IF(Table1[[#This Row],[Solar 
Resource]]&lt;4, "Moderate","High"))</f>
        <v>Moderate</v>
      </c>
      <c r="L154" s="11">
        <v>0.98398390000000002</v>
      </c>
      <c r="M154" s="11">
        <v>0.18144001200000001</v>
      </c>
      <c r="N154" s="11">
        <v>5.8223283520000004</v>
      </c>
      <c r="O154" s="11">
        <v>7.8019205310000004</v>
      </c>
      <c r="P154" s="11">
        <f>Table1[[#This Row],[Installed Capacity 
(AC -MW)]]/Table1[[#This Row],[Installed Capacity 
(DC -MW)]]</f>
        <v>0.74626860512942594</v>
      </c>
      <c r="Q154" s="12">
        <v>0.19399079999999999</v>
      </c>
      <c r="R154" s="12">
        <v>0.14476924999999999</v>
      </c>
      <c r="S154" s="13">
        <v>64.70421571</v>
      </c>
      <c r="T154" s="11">
        <v>32.859233740000001</v>
      </c>
      <c r="U154" s="11">
        <v>178.06533759999999</v>
      </c>
      <c r="V154" s="13">
        <v>713194.2929</v>
      </c>
      <c r="W154" s="13">
        <v>1159912</v>
      </c>
      <c r="X154" s="13">
        <v>55.218975</v>
      </c>
      <c r="Y154" s="14">
        <f>+Table1[[#This Row],[Generation Cost 
LCOE (USD/MWh)]]+Table1[[#This Row],[Transmission Cost
LCOT (USD/MWh)]]</f>
        <v>119.92319071</v>
      </c>
    </row>
    <row r="155" spans="1:25" x14ac:dyDescent="0.3">
      <c r="A155" s="7">
        <v>154</v>
      </c>
      <c r="B155" s="8">
        <v>3870</v>
      </c>
      <c r="C155" s="9">
        <v>48.968082000000003</v>
      </c>
      <c r="D155" s="9">
        <v>-116.87823</v>
      </c>
      <c r="E155" s="10" t="s">
        <v>42</v>
      </c>
      <c r="F155" s="10" t="s">
        <v>1</v>
      </c>
      <c r="G155" s="10" t="s">
        <v>10</v>
      </c>
      <c r="H155" s="10">
        <v>-8</v>
      </c>
      <c r="I155" s="11">
        <v>1535.5</v>
      </c>
      <c r="J155" s="11">
        <v>3.3785763000000002</v>
      </c>
      <c r="K155" s="11" t="str">
        <f>IF(Table1[[#This Row],[Solar 
Resource]]&lt;3,"Low", IF(Table1[[#This Row],[Solar 
Resource]]&lt;4, "Moderate","High"))</f>
        <v>Moderate</v>
      </c>
      <c r="L155" s="11">
        <v>0.98402080000000003</v>
      </c>
      <c r="M155" s="11">
        <v>0.18176398899999999</v>
      </c>
      <c r="N155" s="11">
        <v>5.8327246129999999</v>
      </c>
      <c r="O155" s="11">
        <v>7.815851522</v>
      </c>
      <c r="P155" s="11">
        <f>Table1[[#This Row],[Installed Capacity 
(AC -MW)]]/Table1[[#This Row],[Installed Capacity 
(DC -MW)]]</f>
        <v>0.74626860510106807</v>
      </c>
      <c r="Q155" s="12">
        <v>0.19660775</v>
      </c>
      <c r="R155" s="12">
        <v>0.14672218000000001</v>
      </c>
      <c r="S155" s="13">
        <v>63.832179979999999</v>
      </c>
      <c r="T155" s="11">
        <v>30.19057141</v>
      </c>
      <c r="U155" s="11">
        <v>460.80964260000002</v>
      </c>
      <c r="V155" s="13">
        <v>1780734.7180000001</v>
      </c>
      <c r="W155" s="13">
        <v>1910327.2</v>
      </c>
      <c r="X155" s="13">
        <v>89.732864000000006</v>
      </c>
      <c r="Y155" s="14">
        <f>+Table1[[#This Row],[Generation Cost 
LCOE (USD/MWh)]]+Table1[[#This Row],[Transmission Cost
LCOT (USD/MWh)]]</f>
        <v>153.56504398000001</v>
      </c>
    </row>
    <row r="156" spans="1:25" x14ac:dyDescent="0.3">
      <c r="A156" s="7">
        <v>155</v>
      </c>
      <c r="B156" s="8">
        <v>3871</v>
      </c>
      <c r="C156" s="9">
        <v>48.98939</v>
      </c>
      <c r="D156" s="9">
        <v>-116.71574</v>
      </c>
      <c r="E156" s="10" t="s">
        <v>42</v>
      </c>
      <c r="F156" s="10" t="s">
        <v>1</v>
      </c>
      <c r="G156" s="10" t="s">
        <v>10</v>
      </c>
      <c r="H156" s="10">
        <v>-8</v>
      </c>
      <c r="I156" s="11">
        <v>1584.333333</v>
      </c>
      <c r="J156" s="11">
        <v>3.4279687000000001</v>
      </c>
      <c r="K156" s="11" t="str">
        <f>IF(Table1[[#This Row],[Solar 
Resource]]&lt;3,"Low", IF(Table1[[#This Row],[Solar 
Resource]]&lt;4, "Moderate","High"))</f>
        <v>Moderate</v>
      </c>
      <c r="L156" s="11">
        <v>0.98409329999999995</v>
      </c>
      <c r="M156" s="11">
        <v>0.62143201000000003</v>
      </c>
      <c r="N156" s="11">
        <v>19.941473559999999</v>
      </c>
      <c r="O156" s="11">
        <v>26.721576429999999</v>
      </c>
      <c r="P156" s="11">
        <f>Table1[[#This Row],[Installed Capacity 
(AC -MW)]]/Table1[[#This Row],[Installed Capacity 
(DC -MW)]]</f>
        <v>0.7462686047823115</v>
      </c>
      <c r="Q156" s="12">
        <v>0.19943080999999999</v>
      </c>
      <c r="R156" s="12">
        <v>0.14882893999999999</v>
      </c>
      <c r="S156" s="13">
        <v>54.91160077</v>
      </c>
      <c r="T156" s="11">
        <v>18.097493499999999</v>
      </c>
      <c r="U156" s="11">
        <v>460.80964260000002</v>
      </c>
      <c r="V156" s="13">
        <v>1780734.7180000001</v>
      </c>
      <c r="W156" s="13">
        <v>1859235.5</v>
      </c>
      <c r="X156" s="13">
        <v>86.096710000000002</v>
      </c>
      <c r="Y156" s="14">
        <f>+Table1[[#This Row],[Generation Cost 
LCOE (USD/MWh)]]+Table1[[#This Row],[Transmission Cost
LCOT (USD/MWh)]]</f>
        <v>141.00831077000001</v>
      </c>
    </row>
    <row r="157" spans="1:25" x14ac:dyDescent="0.3">
      <c r="A157" s="7">
        <v>156</v>
      </c>
      <c r="B157" s="8">
        <v>4203</v>
      </c>
      <c r="C157" s="9">
        <v>47.693159999999999</v>
      </c>
      <c r="D157" s="9">
        <v>-124.31364000000001</v>
      </c>
      <c r="E157" s="10" t="s">
        <v>42</v>
      </c>
      <c r="F157" s="10" t="s">
        <v>4</v>
      </c>
      <c r="G157" s="10" t="s">
        <v>21</v>
      </c>
      <c r="H157" s="10">
        <v>-8</v>
      </c>
      <c r="I157" s="11">
        <v>165.93333329999999</v>
      </c>
      <c r="J157" s="11">
        <v>3.1055236000000002</v>
      </c>
      <c r="K157" s="11" t="str">
        <f>IF(Table1[[#This Row],[Solar 
Resource]]&lt;3,"Low", IF(Table1[[#This Row],[Solar 
Resource]]&lt;4, "Moderate","High"))</f>
        <v>Moderate</v>
      </c>
      <c r="L157" s="11">
        <v>1.0209611999999999</v>
      </c>
      <c r="M157" s="11">
        <v>29.750896579999999</v>
      </c>
      <c r="N157" s="11">
        <v>954.69288400000005</v>
      </c>
      <c r="O157" s="11">
        <v>1279.2885530000001</v>
      </c>
      <c r="P157" s="11">
        <f>Table1[[#This Row],[Installed Capacity 
(AC -MW)]]/Table1[[#This Row],[Installed Capacity 
(DC -MW)]]</f>
        <v>0.74626860512524262</v>
      </c>
      <c r="Q157" s="12">
        <v>0.17969987000000001</v>
      </c>
      <c r="R157" s="12">
        <v>0.13410438999999999</v>
      </c>
      <c r="S157" s="13">
        <v>54.834536559999997</v>
      </c>
      <c r="T157" s="11">
        <v>39.438279199999997</v>
      </c>
      <c r="U157" s="11">
        <v>406.99887639999997</v>
      </c>
      <c r="V157" s="13">
        <v>1529207.7609999999</v>
      </c>
      <c r="W157" s="13">
        <v>1833532.4</v>
      </c>
      <c r="X157" s="13">
        <v>94.229129999999998</v>
      </c>
      <c r="Y157" s="14">
        <f>+Table1[[#This Row],[Generation Cost 
LCOE (USD/MWh)]]+Table1[[#This Row],[Transmission Cost
LCOT (USD/MWh)]]</f>
        <v>149.06366656</v>
      </c>
    </row>
    <row r="158" spans="1:25" x14ac:dyDescent="0.3">
      <c r="A158" s="7">
        <v>157</v>
      </c>
      <c r="B158" s="8">
        <v>4204</v>
      </c>
      <c r="C158" s="9">
        <v>47.72184</v>
      </c>
      <c r="D158" s="9">
        <v>-124.158035</v>
      </c>
      <c r="E158" s="10" t="s">
        <v>42</v>
      </c>
      <c r="F158" s="10" t="s">
        <v>4</v>
      </c>
      <c r="G158" s="10" t="s">
        <v>21</v>
      </c>
      <c r="H158" s="10">
        <v>-8</v>
      </c>
      <c r="I158" s="11">
        <v>255.55555559999999</v>
      </c>
      <c r="J158" s="11">
        <v>3.0643729999999998</v>
      </c>
      <c r="K158" s="11" t="str">
        <f>IF(Table1[[#This Row],[Solar 
Resource]]&lt;3,"Low", IF(Table1[[#This Row],[Solar 
Resource]]&lt;4, "Moderate","High"))</f>
        <v>Moderate</v>
      </c>
      <c r="L158" s="11">
        <v>1.0208394999999999</v>
      </c>
      <c r="M158" s="11">
        <v>20.45039392</v>
      </c>
      <c r="N158" s="11">
        <v>656.24393859999998</v>
      </c>
      <c r="O158" s="11">
        <v>879.36693860000003</v>
      </c>
      <c r="P158" s="11">
        <f>Table1[[#This Row],[Installed Capacity 
(AC -MW)]]/Table1[[#This Row],[Installed Capacity 
(DC -MW)]]</f>
        <v>0.7462686050544225</v>
      </c>
      <c r="Q158" s="12">
        <v>0.17826117999999999</v>
      </c>
      <c r="R158" s="12">
        <v>0.13303073000000001</v>
      </c>
      <c r="S158" s="13">
        <v>55.271887929999998</v>
      </c>
      <c r="T158" s="11">
        <v>40.040045429999999</v>
      </c>
      <c r="U158" s="11">
        <v>406.99887639999997</v>
      </c>
      <c r="V158" s="13">
        <v>1529207.7609999999</v>
      </c>
      <c r="W158" s="13">
        <v>1851878.5</v>
      </c>
      <c r="X158" s="13">
        <v>95.940094000000002</v>
      </c>
      <c r="Y158" s="14">
        <f>+Table1[[#This Row],[Generation Cost 
LCOE (USD/MWh)]]+Table1[[#This Row],[Transmission Cost
LCOT (USD/MWh)]]</f>
        <v>151.21198193000001</v>
      </c>
    </row>
    <row r="159" spans="1:25" x14ac:dyDescent="0.3">
      <c r="A159" s="7">
        <v>158</v>
      </c>
      <c r="B159" s="8">
        <v>4205</v>
      </c>
      <c r="C159" s="9">
        <v>47.750362000000003</v>
      </c>
      <c r="D159" s="9">
        <v>-124.00227</v>
      </c>
      <c r="E159" s="10" t="s">
        <v>42</v>
      </c>
      <c r="F159" s="10" t="s">
        <v>4</v>
      </c>
      <c r="G159" s="10" t="s">
        <v>21</v>
      </c>
      <c r="H159" s="10">
        <v>-8</v>
      </c>
      <c r="I159" s="11">
        <v>472.07692309999999</v>
      </c>
      <c r="J159" s="11">
        <v>3.0543399999999998</v>
      </c>
      <c r="K159" s="11" t="str">
        <f>IF(Table1[[#This Row],[Solar 
Resource]]&lt;3,"Low", IF(Table1[[#This Row],[Solar 
Resource]]&lt;4, "Moderate","High"))</f>
        <v>Moderate</v>
      </c>
      <c r="L159" s="11">
        <v>1.0207870000000001</v>
      </c>
      <c r="M159" s="11">
        <v>2.4572161289999999</v>
      </c>
      <c r="N159" s="11">
        <v>78.850950490000002</v>
      </c>
      <c r="O159" s="11">
        <v>105.66029349999999</v>
      </c>
      <c r="P159" s="11">
        <f>Table1[[#This Row],[Installed Capacity 
(AC -MW)]]/Table1[[#This Row],[Installed Capacity 
(DC -MW)]]</f>
        <v>0.74626851656436111</v>
      </c>
      <c r="Q159" s="12">
        <v>0.17657880000000001</v>
      </c>
      <c r="R159" s="12">
        <v>0.13177520000000001</v>
      </c>
      <c r="S159" s="13">
        <v>55.79622698</v>
      </c>
      <c r="T159" s="11">
        <v>46.345986979999999</v>
      </c>
      <c r="U159" s="11">
        <v>406.99887639999997</v>
      </c>
      <c r="V159" s="13">
        <v>1529207.7609999999</v>
      </c>
      <c r="W159" s="13">
        <v>1911540.1</v>
      </c>
      <c r="X159" s="13">
        <v>99.974500000000006</v>
      </c>
      <c r="Y159" s="14">
        <f>+Table1[[#This Row],[Generation Cost 
LCOE (USD/MWh)]]+Table1[[#This Row],[Transmission Cost
LCOT (USD/MWh)]]</f>
        <v>155.77072698000001</v>
      </c>
    </row>
    <row r="160" spans="1:25" x14ac:dyDescent="0.3">
      <c r="A160" s="7">
        <v>159</v>
      </c>
      <c r="B160" s="8">
        <v>4212</v>
      </c>
      <c r="C160" s="9">
        <v>47.945746999999997</v>
      </c>
      <c r="D160" s="9">
        <v>-122.90765</v>
      </c>
      <c r="E160" s="10" t="s">
        <v>42</v>
      </c>
      <c r="F160" s="10" t="s">
        <v>4</v>
      </c>
      <c r="G160" s="10" t="s">
        <v>21</v>
      </c>
      <c r="H160" s="10">
        <v>-8</v>
      </c>
      <c r="I160" s="11">
        <v>287.73333330000003</v>
      </c>
      <c r="J160" s="11">
        <v>3.1246295000000002</v>
      </c>
      <c r="K160" s="11" t="str">
        <f>IF(Table1[[#This Row],[Solar 
Resource]]&lt;3,"Low", IF(Table1[[#This Row],[Solar 
Resource]]&lt;4, "Moderate","High"))</f>
        <v>Moderate</v>
      </c>
      <c r="L160" s="11">
        <v>1.0208553</v>
      </c>
      <c r="M160" s="11">
        <v>29.025863529999999</v>
      </c>
      <c r="N160" s="11">
        <v>931.42701009999996</v>
      </c>
      <c r="O160" s="11">
        <v>1248.112132</v>
      </c>
      <c r="P160" s="11">
        <f>Table1[[#This Row],[Installed Capacity 
(AC -MW)]]/Table1[[#This Row],[Installed Capacity 
(DC -MW)]]</f>
        <v>0.74626869350870151</v>
      </c>
      <c r="Q160" s="12">
        <v>0.17805344000000001</v>
      </c>
      <c r="R160" s="12">
        <v>0.13287570000000001</v>
      </c>
      <c r="S160" s="13">
        <v>55.337044540000001</v>
      </c>
      <c r="T160" s="11">
        <v>4.8328636329999997</v>
      </c>
      <c r="U160" s="11">
        <v>276.27618810000001</v>
      </c>
      <c r="V160" s="13">
        <v>918057.79330000002</v>
      </c>
      <c r="W160" s="13">
        <v>983969.6</v>
      </c>
      <c r="X160" s="13">
        <v>51.035891999999997</v>
      </c>
      <c r="Y160" s="14">
        <f>+Table1[[#This Row],[Generation Cost 
LCOE (USD/MWh)]]+Table1[[#This Row],[Transmission Cost
LCOT (USD/MWh)]]</f>
        <v>106.37293654</v>
      </c>
    </row>
    <row r="161" spans="1:25" x14ac:dyDescent="0.3">
      <c r="A161" s="7">
        <v>160</v>
      </c>
      <c r="B161" s="8">
        <v>4213</v>
      </c>
      <c r="C161" s="9">
        <v>47.973044999999999</v>
      </c>
      <c r="D161" s="9">
        <v>-122.75067</v>
      </c>
      <c r="E161" s="10" t="s">
        <v>42</v>
      </c>
      <c r="F161" s="10" t="s">
        <v>4</v>
      </c>
      <c r="G161" s="10" t="s">
        <v>21</v>
      </c>
      <c r="H161" s="10">
        <v>-8</v>
      </c>
      <c r="I161" s="11">
        <v>112.58333330000001</v>
      </c>
      <c r="J161" s="11">
        <v>3.1890304</v>
      </c>
      <c r="K161" s="11" t="str">
        <f>IF(Table1[[#This Row],[Solar 
Resource]]&lt;3,"Low", IF(Table1[[#This Row],[Solar 
Resource]]&lt;4, "Moderate","High"))</f>
        <v>Moderate</v>
      </c>
      <c r="L161" s="11">
        <v>1.0208781</v>
      </c>
      <c r="M161" s="11">
        <v>37.297422949999998</v>
      </c>
      <c r="N161" s="11">
        <v>1196.8575189999999</v>
      </c>
      <c r="O161" s="11">
        <v>1603.7891870000001</v>
      </c>
      <c r="P161" s="11">
        <f>Table1[[#This Row],[Installed Capacity 
(AC -MW)]]/Table1[[#This Row],[Installed Capacity 
(DC -MW)]]</f>
        <v>0.74626860481507906</v>
      </c>
      <c r="Q161" s="12">
        <v>0.18119709000000001</v>
      </c>
      <c r="R161" s="12">
        <v>0.1352217</v>
      </c>
      <c r="S161" s="13">
        <v>54.377935890000003</v>
      </c>
      <c r="T161" s="11">
        <v>0.61455844100000001</v>
      </c>
      <c r="U161" s="11">
        <v>297.92580500000003</v>
      </c>
      <c r="V161" s="13">
        <v>1007130.361</v>
      </c>
      <c r="W161" s="13">
        <v>1051107.1000000001</v>
      </c>
      <c r="X161" s="13">
        <v>53.572285000000001</v>
      </c>
      <c r="Y161" s="14">
        <f>+Table1[[#This Row],[Generation Cost 
LCOE (USD/MWh)]]+Table1[[#This Row],[Transmission Cost
LCOT (USD/MWh)]]</f>
        <v>107.95022089</v>
      </c>
    </row>
    <row r="162" spans="1:25" x14ac:dyDescent="0.3">
      <c r="A162" s="7">
        <v>161</v>
      </c>
      <c r="B162" s="8">
        <v>4215</v>
      </c>
      <c r="C162" s="9">
        <v>48.027175999999997</v>
      </c>
      <c r="D162" s="9">
        <v>-122.43625</v>
      </c>
      <c r="E162" s="10" t="s">
        <v>42</v>
      </c>
      <c r="F162" s="10" t="s">
        <v>4</v>
      </c>
      <c r="G162" s="10" t="s">
        <v>20</v>
      </c>
      <c r="H162" s="10">
        <v>-8</v>
      </c>
      <c r="I162" s="11">
        <v>71</v>
      </c>
      <c r="J162" s="11">
        <v>3.2421787000000002</v>
      </c>
      <c r="K162" s="11" t="str">
        <f>IF(Table1[[#This Row],[Solar 
Resource]]&lt;3,"Low", IF(Table1[[#This Row],[Solar 
Resource]]&lt;4, "Moderate","High"))</f>
        <v>Moderate</v>
      </c>
      <c r="L162" s="11">
        <v>1.020869</v>
      </c>
      <c r="M162" s="11">
        <v>22.77217705</v>
      </c>
      <c r="N162" s="11">
        <v>730.7490014</v>
      </c>
      <c r="O162" s="11">
        <v>979.20361319999995</v>
      </c>
      <c r="P162" s="11">
        <f>Table1[[#This Row],[Installed Capacity 
(AC -MW)]]/Table1[[#This Row],[Installed Capacity 
(DC -MW)]]</f>
        <v>0.74626869381327154</v>
      </c>
      <c r="Q162" s="12">
        <v>0.18299869999999999</v>
      </c>
      <c r="R162" s="12">
        <v>0.13656619</v>
      </c>
      <c r="S162" s="13">
        <v>53.842211659999997</v>
      </c>
      <c r="T162" s="11">
        <v>0.92183766199999995</v>
      </c>
      <c r="U162" s="11">
        <v>246.5093895</v>
      </c>
      <c r="V162" s="13">
        <v>980807.25139999995</v>
      </c>
      <c r="W162" s="13">
        <v>1006299.8</v>
      </c>
      <c r="X162" s="13">
        <v>50.783638000000003</v>
      </c>
      <c r="Y162" s="14">
        <f>+Table1[[#This Row],[Generation Cost 
LCOE (USD/MWh)]]+Table1[[#This Row],[Transmission Cost
LCOT (USD/MWh)]]</f>
        <v>104.62584966</v>
      </c>
    </row>
    <row r="163" spans="1:25" x14ac:dyDescent="0.3">
      <c r="A163" s="7">
        <v>162</v>
      </c>
      <c r="B163" s="8">
        <v>4216</v>
      </c>
      <c r="C163" s="9">
        <v>48.054009999999998</v>
      </c>
      <c r="D163" s="9">
        <v>-122.27880999999999</v>
      </c>
      <c r="E163" s="10" t="s">
        <v>42</v>
      </c>
      <c r="F163" s="10" t="s">
        <v>4</v>
      </c>
      <c r="G163" s="10" t="s">
        <v>35</v>
      </c>
      <c r="H163" s="10">
        <v>-8</v>
      </c>
      <c r="I163" s="11">
        <v>57.875</v>
      </c>
      <c r="J163" s="11">
        <v>3.1775372000000002</v>
      </c>
      <c r="K163" s="11" t="str">
        <f>IF(Table1[[#This Row],[Solar 
Resource]]&lt;3,"Low", IF(Table1[[#This Row],[Solar 
Resource]]&lt;4, "Moderate","High"))</f>
        <v>Moderate</v>
      </c>
      <c r="L163" s="11">
        <v>1.0207417000000001</v>
      </c>
      <c r="M163" s="11">
        <v>20.44018784</v>
      </c>
      <c r="N163" s="11">
        <v>655.91643009999996</v>
      </c>
      <c r="O163" s="11">
        <v>878.92807719999996</v>
      </c>
      <c r="P163" s="11">
        <f>Table1[[#This Row],[Installed Capacity 
(AC -MW)]]/Table1[[#This Row],[Installed Capacity 
(DC -MW)]]</f>
        <v>0.74626860503711756</v>
      </c>
      <c r="Q163" s="12">
        <v>0.17904527000000001</v>
      </c>
      <c r="R163" s="12">
        <v>0.13361587999999999</v>
      </c>
      <c r="S163" s="13">
        <v>55.025653579999997</v>
      </c>
      <c r="T163" s="11">
        <v>7.4157272660000002</v>
      </c>
      <c r="U163" s="11">
        <v>73.079279170000007</v>
      </c>
      <c r="V163" s="13">
        <v>263117.59019999998</v>
      </c>
      <c r="W163" s="13">
        <v>293953.7</v>
      </c>
      <c r="X163" s="13">
        <v>15.162138000000001</v>
      </c>
      <c r="Y163" s="14">
        <f>+Table1[[#This Row],[Generation Cost 
LCOE (USD/MWh)]]+Table1[[#This Row],[Transmission Cost
LCOT (USD/MWh)]]</f>
        <v>70.187791579999995</v>
      </c>
    </row>
    <row r="164" spans="1:25" x14ac:dyDescent="0.3">
      <c r="A164" s="7">
        <v>163</v>
      </c>
      <c r="B164" s="8">
        <v>4217</v>
      </c>
      <c r="C164" s="9">
        <v>48.080689999999997</v>
      </c>
      <c r="D164" s="9">
        <v>-122.12121999999999</v>
      </c>
      <c r="E164" s="10" t="s">
        <v>42</v>
      </c>
      <c r="F164" s="10" t="s">
        <v>4</v>
      </c>
      <c r="G164" s="10" t="s">
        <v>35</v>
      </c>
      <c r="H164" s="10">
        <v>-8</v>
      </c>
      <c r="I164" s="11">
        <v>82</v>
      </c>
      <c r="J164" s="11">
        <v>3.0693188</v>
      </c>
      <c r="K164" s="11" t="str">
        <f>IF(Table1[[#This Row],[Solar 
Resource]]&lt;3,"Low", IF(Table1[[#This Row],[Solar 
Resource]]&lt;4, "Moderate","High"))</f>
        <v>Moderate</v>
      </c>
      <c r="L164" s="11">
        <v>1.0201085000000001</v>
      </c>
      <c r="M164" s="11">
        <v>24.478765580000001</v>
      </c>
      <c r="N164" s="11">
        <v>785.51266569999996</v>
      </c>
      <c r="O164" s="11">
        <v>1052.58692</v>
      </c>
      <c r="P164" s="11">
        <f>Table1[[#This Row],[Installed Capacity 
(AC -MW)]]/Table1[[#This Row],[Installed Capacity 
(DC -MW)]]</f>
        <v>0.74626869361059511</v>
      </c>
      <c r="Q164" s="12">
        <v>0.17280804999999999</v>
      </c>
      <c r="R164" s="12">
        <v>0.12896124</v>
      </c>
      <c r="S164" s="13">
        <v>56.983728640000002</v>
      </c>
      <c r="T164" s="11">
        <v>1.2509545440000001</v>
      </c>
      <c r="U164" s="11">
        <v>72.098324629999993</v>
      </c>
      <c r="V164" s="13">
        <v>271978.26750000002</v>
      </c>
      <c r="W164" s="13">
        <v>303728.28000000003</v>
      </c>
      <c r="X164" s="13">
        <v>16.231762</v>
      </c>
      <c r="Y164" s="14">
        <f>+Table1[[#This Row],[Generation Cost 
LCOE (USD/MWh)]]+Table1[[#This Row],[Transmission Cost
LCOT (USD/MWh)]]</f>
        <v>73.215490639999999</v>
      </c>
    </row>
    <row r="165" spans="1:25" x14ac:dyDescent="0.3">
      <c r="A165" s="7">
        <v>164</v>
      </c>
      <c r="B165" s="8">
        <v>4218</v>
      </c>
      <c r="C165" s="9">
        <v>48.107210000000002</v>
      </c>
      <c r="D165" s="9">
        <v>-121.96348999999999</v>
      </c>
      <c r="E165" s="10" t="s">
        <v>42</v>
      </c>
      <c r="F165" s="10" t="s">
        <v>4</v>
      </c>
      <c r="G165" s="10" t="s">
        <v>35</v>
      </c>
      <c r="H165" s="10">
        <v>-8</v>
      </c>
      <c r="I165" s="11">
        <v>275.10526320000002</v>
      </c>
      <c r="J165" s="11">
        <v>2.9906788</v>
      </c>
      <c r="K165" s="11" t="str">
        <f>IF(Table1[[#This Row],[Solar 
Resource]]&lt;3,"Low", IF(Table1[[#This Row],[Solar 
Resource]]&lt;4, "Moderate","High"))</f>
        <v>Low</v>
      </c>
      <c r="L165" s="11">
        <v>1.0196403999999999</v>
      </c>
      <c r="M165" s="11">
        <v>30.038766939999999</v>
      </c>
      <c r="N165" s="11">
        <v>963.93062889999999</v>
      </c>
      <c r="O165" s="11">
        <v>1291.6669790000001</v>
      </c>
      <c r="P165" s="11">
        <f>Table1[[#This Row],[Installed Capacity 
(AC -MW)]]/Table1[[#This Row],[Installed Capacity 
(DC -MW)]]</f>
        <v>0.74626869353451197</v>
      </c>
      <c r="Q165" s="12">
        <v>0.16868601999999999</v>
      </c>
      <c r="R165" s="12">
        <v>0.12588508000000001</v>
      </c>
      <c r="S165" s="13">
        <v>58.354988290000001</v>
      </c>
      <c r="T165" s="11">
        <v>3.0046298679999999</v>
      </c>
      <c r="U165" s="11">
        <v>87.706701240000001</v>
      </c>
      <c r="V165" s="13">
        <v>318105.04729999998</v>
      </c>
      <c r="W165" s="13">
        <v>365449.03</v>
      </c>
      <c r="X165" s="13">
        <v>20.007470000000001</v>
      </c>
      <c r="Y165" s="14">
        <f>+Table1[[#This Row],[Generation Cost 
LCOE (USD/MWh)]]+Table1[[#This Row],[Transmission Cost
LCOT (USD/MWh)]]</f>
        <v>78.362458290000006</v>
      </c>
    </row>
    <row r="166" spans="1:25" x14ac:dyDescent="0.3">
      <c r="A166" s="7">
        <v>165</v>
      </c>
      <c r="B166" s="8">
        <v>4219</v>
      </c>
      <c r="C166" s="9">
        <v>48.133575</v>
      </c>
      <c r="D166" s="9">
        <v>-121.80562</v>
      </c>
      <c r="E166" s="10" t="s">
        <v>42</v>
      </c>
      <c r="F166" s="10" t="s">
        <v>4</v>
      </c>
      <c r="G166" s="10" t="s">
        <v>35</v>
      </c>
      <c r="H166" s="10">
        <v>-8</v>
      </c>
      <c r="I166" s="11">
        <v>585.1</v>
      </c>
      <c r="J166" s="11">
        <v>2.9603510000000002</v>
      </c>
      <c r="K166" s="11" t="str">
        <f>IF(Table1[[#This Row],[Solar 
Resource]]&lt;3,"Low", IF(Table1[[#This Row],[Solar 
Resource]]&lt;4, "Moderate","High"))</f>
        <v>Low</v>
      </c>
      <c r="L166" s="11">
        <v>1.0190345000000001</v>
      </c>
      <c r="M166" s="11">
        <v>10.15934392</v>
      </c>
      <c r="N166" s="11">
        <v>326.00877489999999</v>
      </c>
      <c r="O166" s="11">
        <v>436.85178860000002</v>
      </c>
      <c r="P166" s="11">
        <f>Table1[[#This Row],[Installed Capacity 
(AC -MW)]]/Table1[[#This Row],[Installed Capacity 
(DC -MW)]]</f>
        <v>0.74626860506803927</v>
      </c>
      <c r="Q166" s="12">
        <v>0.16835226</v>
      </c>
      <c r="R166" s="12">
        <v>0.125636</v>
      </c>
      <c r="S166" s="13">
        <v>58.443190610000002</v>
      </c>
      <c r="T166" s="11">
        <v>15.401240250000001</v>
      </c>
      <c r="U166" s="11">
        <v>87.706701240000001</v>
      </c>
      <c r="V166" s="13">
        <v>318105.04729999998</v>
      </c>
      <c r="W166" s="13">
        <v>464206.6</v>
      </c>
      <c r="X166" s="13">
        <v>25.464596</v>
      </c>
      <c r="Y166" s="14">
        <f>+Table1[[#This Row],[Generation Cost 
LCOE (USD/MWh)]]+Table1[[#This Row],[Transmission Cost
LCOT (USD/MWh)]]</f>
        <v>83.907786610000002</v>
      </c>
    </row>
    <row r="167" spans="1:25" x14ac:dyDescent="0.3">
      <c r="A167" s="7">
        <v>166</v>
      </c>
      <c r="B167" s="8">
        <v>4221</v>
      </c>
      <c r="C167" s="9">
        <v>48.185844000000003</v>
      </c>
      <c r="D167" s="9">
        <v>-121.48941000000001</v>
      </c>
      <c r="E167" s="10" t="s">
        <v>42</v>
      </c>
      <c r="F167" s="10" t="s">
        <v>4</v>
      </c>
      <c r="G167" s="10" t="s">
        <v>35</v>
      </c>
      <c r="H167" s="10">
        <v>-8</v>
      </c>
      <c r="I167" s="11">
        <v>552</v>
      </c>
      <c r="J167" s="11">
        <v>3.1128716000000001</v>
      </c>
      <c r="K167" s="11" t="str">
        <f>IF(Table1[[#This Row],[Solar 
Resource]]&lt;3,"Low", IF(Table1[[#This Row],[Solar 
Resource]]&lt;4, "Moderate","High"))</f>
        <v>Moderate</v>
      </c>
      <c r="L167" s="11">
        <v>1.0175107999999999</v>
      </c>
      <c r="M167" s="11">
        <v>0.27993597999999997</v>
      </c>
      <c r="N167" s="11">
        <v>8.9830207069999997</v>
      </c>
      <c r="O167" s="11">
        <v>12.037247150000001</v>
      </c>
      <c r="P167" s="11">
        <f>Table1[[#This Row],[Installed Capacity 
(AC -MW)]]/Table1[[#This Row],[Installed Capacity 
(DC -MW)]]</f>
        <v>0.7462686937519597</v>
      </c>
      <c r="Q167" s="12">
        <v>0.17575109</v>
      </c>
      <c r="R167" s="12">
        <v>0.13115756000000001</v>
      </c>
      <c r="S167" s="13">
        <v>69.955107409999997</v>
      </c>
      <c r="T167" s="11">
        <v>15.2313831</v>
      </c>
      <c r="U167" s="11">
        <v>123.6360778</v>
      </c>
      <c r="V167" s="13">
        <v>448426.6568</v>
      </c>
      <c r="W167" s="13">
        <v>618991.69999999995</v>
      </c>
      <c r="X167" s="13">
        <v>32.526040000000002</v>
      </c>
      <c r="Y167" s="14">
        <f>+Table1[[#This Row],[Generation Cost 
LCOE (USD/MWh)]]+Table1[[#This Row],[Transmission Cost
LCOT (USD/MWh)]]</f>
        <v>102.48114741000001</v>
      </c>
    </row>
    <row r="168" spans="1:25" x14ac:dyDescent="0.3">
      <c r="A168" s="7">
        <v>167</v>
      </c>
      <c r="B168" s="8">
        <v>4228</v>
      </c>
      <c r="C168" s="9">
        <v>48.363840000000003</v>
      </c>
      <c r="D168" s="9">
        <v>-120.37815999999999</v>
      </c>
      <c r="E168" s="10" t="s">
        <v>42</v>
      </c>
      <c r="F168" s="10" t="s">
        <v>4</v>
      </c>
      <c r="G168" s="10" t="s">
        <v>29</v>
      </c>
      <c r="H168" s="10">
        <v>-8</v>
      </c>
      <c r="I168" s="11">
        <v>1110</v>
      </c>
      <c r="J168" s="11">
        <v>3.8095870000000001</v>
      </c>
      <c r="K168" s="11" t="str">
        <f>IF(Table1[[#This Row],[Solar 
Resource]]&lt;3,"Low", IF(Table1[[#This Row],[Solar 
Resource]]&lt;4, "Moderate","High"))</f>
        <v>Moderate</v>
      </c>
      <c r="L168" s="11">
        <v>1.0074719000000001</v>
      </c>
      <c r="M168" s="11">
        <v>0.90493201000000001</v>
      </c>
      <c r="N168" s="11">
        <v>29.03886099</v>
      </c>
      <c r="O168" s="11">
        <v>38.912076429999999</v>
      </c>
      <c r="P168" s="11">
        <f>Table1[[#This Row],[Installed Capacity 
(AC -MW)]]/Table1[[#This Row],[Installed Capacity 
(DC -MW)]]</f>
        <v>0.74626860486971969</v>
      </c>
      <c r="Q168" s="12">
        <v>0.22817071</v>
      </c>
      <c r="R168" s="12">
        <v>0.17027664000000001</v>
      </c>
      <c r="S168" s="13">
        <v>46.95367186</v>
      </c>
      <c r="T168" s="11">
        <v>22.990571410000001</v>
      </c>
      <c r="U168" s="11">
        <v>224.81144140000001</v>
      </c>
      <c r="V168" s="13">
        <v>717372.23459999997</v>
      </c>
      <c r="W168" s="13">
        <v>872383.5</v>
      </c>
      <c r="X168" s="13">
        <v>35.309531999999997</v>
      </c>
      <c r="Y168" s="14">
        <f>+Table1[[#This Row],[Generation Cost 
LCOE (USD/MWh)]]+Table1[[#This Row],[Transmission Cost
LCOT (USD/MWh)]]</f>
        <v>82.263203860000004</v>
      </c>
    </row>
    <row r="169" spans="1:25" x14ac:dyDescent="0.3">
      <c r="A169" s="7">
        <v>168</v>
      </c>
      <c r="B169" s="8">
        <v>4229</v>
      </c>
      <c r="C169" s="9">
        <v>48.388634000000003</v>
      </c>
      <c r="D169" s="9">
        <v>-120.21884</v>
      </c>
      <c r="E169" s="10" t="s">
        <v>42</v>
      </c>
      <c r="F169" s="10" t="s">
        <v>4</v>
      </c>
      <c r="G169" s="10" t="s">
        <v>29</v>
      </c>
      <c r="H169" s="10">
        <v>-8</v>
      </c>
      <c r="I169" s="11">
        <v>822.33333330000005</v>
      </c>
      <c r="J169" s="11">
        <v>3.8172252000000002</v>
      </c>
      <c r="K169" s="11" t="str">
        <f>IF(Table1[[#This Row],[Solar 
Resource]]&lt;3,"Low", IF(Table1[[#This Row],[Solar 
Resource]]&lt;4, "Moderate","High"))</f>
        <v>Moderate</v>
      </c>
      <c r="L169" s="11">
        <v>1.0054727999999999</v>
      </c>
      <c r="M169" s="11">
        <v>4.3190817629999998</v>
      </c>
      <c r="N169" s="11">
        <v>138.5973903</v>
      </c>
      <c r="O169" s="11">
        <v>185.72051579999999</v>
      </c>
      <c r="P169" s="11">
        <f>Table1[[#This Row],[Installed Capacity 
(AC -MW)]]/Table1[[#This Row],[Installed Capacity 
(DC -MW)]]</f>
        <v>0.74626860529104777</v>
      </c>
      <c r="Q169" s="12">
        <v>0.22743672000000001</v>
      </c>
      <c r="R169" s="12">
        <v>0.16972888999999999</v>
      </c>
      <c r="S169" s="13">
        <v>42.805058770000002</v>
      </c>
      <c r="T169" s="11">
        <v>10.11947402</v>
      </c>
      <c r="U169" s="11">
        <v>224.81144140000001</v>
      </c>
      <c r="V169" s="13">
        <v>717372.23459999997</v>
      </c>
      <c r="W169" s="13">
        <v>807487.75</v>
      </c>
      <c r="X169" s="13">
        <v>32.788364000000001</v>
      </c>
      <c r="Y169" s="14">
        <f>+Table1[[#This Row],[Generation Cost 
LCOE (USD/MWh)]]+Table1[[#This Row],[Transmission Cost
LCOT (USD/MWh)]]</f>
        <v>75.593422770000004</v>
      </c>
    </row>
    <row r="170" spans="1:25" x14ac:dyDescent="0.3">
      <c r="A170" s="7">
        <v>169</v>
      </c>
      <c r="B170" s="8">
        <v>4230</v>
      </c>
      <c r="C170" s="9">
        <v>48.413277000000001</v>
      </c>
      <c r="D170" s="9">
        <v>-120.05937</v>
      </c>
      <c r="E170" s="10" t="s">
        <v>42</v>
      </c>
      <c r="F170" s="10" t="s">
        <v>4</v>
      </c>
      <c r="G170" s="10" t="s">
        <v>29</v>
      </c>
      <c r="H170" s="10">
        <v>-8</v>
      </c>
      <c r="I170" s="11">
        <v>828.58333330000005</v>
      </c>
      <c r="J170" s="11">
        <v>3.8451966999999998</v>
      </c>
      <c r="K170" s="11" t="str">
        <f>IF(Table1[[#This Row],[Solar 
Resource]]&lt;3,"Low", IF(Table1[[#This Row],[Solar 
Resource]]&lt;4, "Moderate","High"))</f>
        <v>Moderate</v>
      </c>
      <c r="L170" s="11">
        <v>1.0039899000000001</v>
      </c>
      <c r="M170" s="11">
        <v>4.2043859799999996</v>
      </c>
      <c r="N170" s="11">
        <v>134.91685419999999</v>
      </c>
      <c r="O170" s="11">
        <v>180.7885971</v>
      </c>
      <c r="P170" s="11">
        <f>Table1[[#This Row],[Installed Capacity 
(AC -MW)]]/Table1[[#This Row],[Installed Capacity 
(DC -MW)]]</f>
        <v>0.74626860523384186</v>
      </c>
      <c r="Q170" s="12">
        <v>0.22917973999999999</v>
      </c>
      <c r="R170" s="12">
        <v>0.17102966999999999</v>
      </c>
      <c r="S170" s="13">
        <v>42.430062290000002</v>
      </c>
      <c r="T170" s="11">
        <v>3.33</v>
      </c>
      <c r="U170" s="11">
        <v>230.9351882</v>
      </c>
      <c r="V170" s="13">
        <v>739488.86609999998</v>
      </c>
      <c r="W170" s="13">
        <v>808936.7</v>
      </c>
      <c r="X170" s="13">
        <v>32.597380000000001</v>
      </c>
      <c r="Y170" s="14">
        <f>+Table1[[#This Row],[Generation Cost 
LCOE (USD/MWh)]]+Table1[[#This Row],[Transmission Cost
LCOT (USD/MWh)]]</f>
        <v>75.02744229000001</v>
      </c>
    </row>
    <row r="171" spans="1:25" x14ac:dyDescent="0.3">
      <c r="A171" s="7">
        <v>170</v>
      </c>
      <c r="B171" s="8">
        <v>4231</v>
      </c>
      <c r="C171" s="9">
        <v>48.437759999999997</v>
      </c>
      <c r="D171" s="9">
        <v>-119.89978000000001</v>
      </c>
      <c r="E171" s="10" t="s">
        <v>42</v>
      </c>
      <c r="F171" s="10" t="s">
        <v>4</v>
      </c>
      <c r="G171" s="10" t="s">
        <v>29</v>
      </c>
      <c r="H171" s="10">
        <v>-8</v>
      </c>
      <c r="I171" s="11">
        <v>1467.142857</v>
      </c>
      <c r="J171" s="11">
        <v>3.8633690000000001</v>
      </c>
      <c r="K171" s="11" t="str">
        <f>IF(Table1[[#This Row],[Solar 
Resource]]&lt;3,"Low", IF(Table1[[#This Row],[Solar 
Resource]]&lt;4, "Moderate","High"))</f>
        <v>Moderate</v>
      </c>
      <c r="L171" s="11">
        <v>1.0017450000000001</v>
      </c>
      <c r="M171" s="11">
        <v>1.288224069</v>
      </c>
      <c r="N171" s="11">
        <v>41.338525789999998</v>
      </c>
      <c r="O171" s="11">
        <v>55.393634980000002</v>
      </c>
      <c r="P171" s="11">
        <f>Table1[[#This Row],[Installed Capacity 
(AC -MW)]]/Table1[[#This Row],[Installed Capacity 
(DC -MW)]]</f>
        <v>0.7462685163182623</v>
      </c>
      <c r="Q171" s="12">
        <v>0.23606368999999999</v>
      </c>
      <c r="R171" s="12">
        <v>0.17616688999999999</v>
      </c>
      <c r="S171" s="13">
        <v>43.483279289999999</v>
      </c>
      <c r="T171" s="11">
        <v>6.1237467499999996</v>
      </c>
      <c r="U171" s="11">
        <v>208.2774804</v>
      </c>
      <c r="V171" s="13">
        <v>632849.00670000003</v>
      </c>
      <c r="W171" s="13">
        <v>754917.1</v>
      </c>
      <c r="X171" s="13">
        <v>29.533470000000001</v>
      </c>
      <c r="Y171" s="14">
        <f>+Table1[[#This Row],[Generation Cost 
LCOE (USD/MWh)]]+Table1[[#This Row],[Transmission Cost
LCOT (USD/MWh)]]</f>
        <v>73.016749290000007</v>
      </c>
    </row>
    <row r="172" spans="1:25" x14ac:dyDescent="0.3">
      <c r="A172" s="7">
        <v>171</v>
      </c>
      <c r="B172" s="8">
        <v>4232</v>
      </c>
      <c r="C172" s="9">
        <v>48.462082000000002</v>
      </c>
      <c r="D172" s="9">
        <v>-119.740036</v>
      </c>
      <c r="E172" s="10" t="s">
        <v>42</v>
      </c>
      <c r="F172" s="10" t="s">
        <v>4</v>
      </c>
      <c r="G172" s="10" t="s">
        <v>29</v>
      </c>
      <c r="H172" s="10">
        <v>-8</v>
      </c>
      <c r="I172" s="11">
        <v>1003.235294</v>
      </c>
      <c r="J172" s="11">
        <v>3.7669169999999998</v>
      </c>
      <c r="K172" s="11" t="str">
        <f>IF(Table1[[#This Row],[Solar 
Resource]]&lt;3,"Low", IF(Table1[[#This Row],[Solar 
Resource]]&lt;4, "Moderate","High"))</f>
        <v>Moderate</v>
      </c>
      <c r="L172" s="11">
        <v>1.0000252000000001</v>
      </c>
      <c r="M172" s="11">
        <v>5.2988584349999996</v>
      </c>
      <c r="N172" s="11">
        <v>170.03796259999999</v>
      </c>
      <c r="O172" s="11">
        <v>227.85091270000001</v>
      </c>
      <c r="P172" s="11">
        <f>Table1[[#This Row],[Installed Capacity 
(AC -MW)]]/Table1[[#This Row],[Installed Capacity 
(DC -MW)]]</f>
        <v>0.74626851648332226</v>
      </c>
      <c r="Q172" s="12">
        <v>0.22690229000000001</v>
      </c>
      <c r="R172" s="12">
        <v>0.16933007999999999</v>
      </c>
      <c r="S172" s="13">
        <v>42.722455940000003</v>
      </c>
      <c r="T172" s="11">
        <v>19.449688299999998</v>
      </c>
      <c r="U172" s="11">
        <v>186.63316219999999</v>
      </c>
      <c r="V172" s="13">
        <v>527671.37029999995</v>
      </c>
      <c r="W172" s="13">
        <v>663098.1</v>
      </c>
      <c r="X172" s="13">
        <v>26.988785</v>
      </c>
      <c r="Y172" s="14">
        <f>+Table1[[#This Row],[Generation Cost 
LCOE (USD/MWh)]]+Table1[[#This Row],[Transmission Cost
LCOT (USD/MWh)]]</f>
        <v>69.71124094000001</v>
      </c>
    </row>
    <row r="173" spans="1:25" x14ac:dyDescent="0.3">
      <c r="A173" s="7">
        <v>172</v>
      </c>
      <c r="B173" s="8">
        <v>4233</v>
      </c>
      <c r="C173" s="9">
        <v>48.486243999999999</v>
      </c>
      <c r="D173" s="9">
        <v>-119.58017</v>
      </c>
      <c r="E173" s="10" t="s">
        <v>42</v>
      </c>
      <c r="F173" s="10" t="s">
        <v>4</v>
      </c>
      <c r="G173" s="10" t="s">
        <v>29</v>
      </c>
      <c r="H173" s="10">
        <v>-8</v>
      </c>
      <c r="I173" s="11">
        <v>514.33333330000005</v>
      </c>
      <c r="J173" s="11">
        <v>3.823744</v>
      </c>
      <c r="K173" s="11" t="str">
        <f>IF(Table1[[#This Row],[Solar 
Resource]]&lt;3,"Low", IF(Table1[[#This Row],[Solar 
Resource]]&lt;4, "Moderate","High"))</f>
        <v>Moderate</v>
      </c>
      <c r="L173" s="11">
        <v>0.99819267</v>
      </c>
      <c r="M173" s="11">
        <v>27.713663530000002</v>
      </c>
      <c r="N173" s="11">
        <v>889.31899190000001</v>
      </c>
      <c r="O173" s="11">
        <v>1191.6875319999999</v>
      </c>
      <c r="P173" s="11">
        <f>Table1[[#This Row],[Installed Capacity 
(AC -MW)]]/Table1[[#This Row],[Installed Capacity 
(DC -MW)]]</f>
        <v>0.74626860483088453</v>
      </c>
      <c r="Q173" s="12">
        <v>0.22832163</v>
      </c>
      <c r="R173" s="12">
        <v>0.17038928</v>
      </c>
      <c r="S173" s="13">
        <v>42.39556262</v>
      </c>
      <c r="T173" s="11">
        <v>9.5166103829999997</v>
      </c>
      <c r="U173" s="11">
        <v>186.63316219999999</v>
      </c>
      <c r="V173" s="13">
        <v>527671.37029999995</v>
      </c>
      <c r="W173" s="13">
        <v>598283.80000000005</v>
      </c>
      <c r="X173" s="13">
        <v>24.199401999999999</v>
      </c>
      <c r="Y173" s="14">
        <f>+Table1[[#This Row],[Generation Cost 
LCOE (USD/MWh)]]+Table1[[#This Row],[Transmission Cost
LCOT (USD/MWh)]]</f>
        <v>66.594964619999999</v>
      </c>
    </row>
    <row r="174" spans="1:25" x14ac:dyDescent="0.3">
      <c r="A174" s="7">
        <v>173</v>
      </c>
      <c r="B174" s="8">
        <v>4234</v>
      </c>
      <c r="C174" s="9">
        <v>48.510249999999999</v>
      </c>
      <c r="D174" s="9">
        <v>-119.42015000000001</v>
      </c>
      <c r="E174" s="10" t="s">
        <v>42</v>
      </c>
      <c r="F174" s="10" t="s">
        <v>4</v>
      </c>
      <c r="G174" s="10" t="s">
        <v>29</v>
      </c>
      <c r="H174" s="10">
        <v>-8</v>
      </c>
      <c r="I174" s="11">
        <v>708.05555560000005</v>
      </c>
      <c r="J174" s="11">
        <v>3.8511896000000001</v>
      </c>
      <c r="K174" s="11" t="str">
        <f>IF(Table1[[#This Row],[Solar 
Resource]]&lt;3,"Low", IF(Table1[[#This Row],[Solar 
Resource]]&lt;4, "Moderate","High"))</f>
        <v>Moderate</v>
      </c>
      <c r="L174" s="11">
        <v>0.9963012</v>
      </c>
      <c r="M174" s="11">
        <v>22.598189210000001</v>
      </c>
      <c r="N174" s="11">
        <v>725.16580920000001</v>
      </c>
      <c r="O174" s="11">
        <v>971.72213599999998</v>
      </c>
      <c r="P174" s="11">
        <f>Table1[[#This Row],[Installed Capacity 
(AC -MW)]]/Table1[[#This Row],[Installed Capacity 
(DC -MW)]]</f>
        <v>0.74626869383162842</v>
      </c>
      <c r="Q174" s="12">
        <v>0.23135533999999999</v>
      </c>
      <c r="R174" s="12">
        <v>0.17265326</v>
      </c>
      <c r="S174" s="13">
        <v>41.777185600000003</v>
      </c>
      <c r="T174" s="11">
        <v>7.1291883089999999</v>
      </c>
      <c r="U174" s="11">
        <v>193.9641882</v>
      </c>
      <c r="V174" s="13">
        <v>547208.44689999998</v>
      </c>
      <c r="W174" s="13">
        <v>644653.1</v>
      </c>
      <c r="X174" s="13">
        <v>25.733034</v>
      </c>
      <c r="Y174" s="14">
        <f>+Table1[[#This Row],[Generation Cost 
LCOE (USD/MWh)]]+Table1[[#This Row],[Transmission Cost
LCOT (USD/MWh)]]</f>
        <v>67.510219599999999</v>
      </c>
    </row>
    <row r="175" spans="1:25" x14ac:dyDescent="0.3">
      <c r="A175" s="7">
        <v>174</v>
      </c>
      <c r="B175" s="8">
        <v>4235</v>
      </c>
      <c r="C175" s="9">
        <v>48.534095999999998</v>
      </c>
      <c r="D175" s="9">
        <v>-119.26</v>
      </c>
      <c r="E175" s="10" t="s">
        <v>42</v>
      </c>
      <c r="F175" s="10" t="s">
        <v>4</v>
      </c>
      <c r="G175" s="10" t="s">
        <v>29</v>
      </c>
      <c r="H175" s="10">
        <v>-8</v>
      </c>
      <c r="I175" s="11">
        <v>1209.117647</v>
      </c>
      <c r="J175" s="11">
        <v>3.8312463999999999</v>
      </c>
      <c r="K175" s="11" t="str">
        <f>IF(Table1[[#This Row],[Solar 
Resource]]&lt;3,"Low", IF(Table1[[#This Row],[Solar 
Resource]]&lt;4, "Moderate","High"))</f>
        <v>Moderate</v>
      </c>
      <c r="L175" s="11">
        <v>0.99475029999999998</v>
      </c>
      <c r="M175" s="11">
        <v>32.588568240000001</v>
      </c>
      <c r="N175" s="11">
        <v>1045.7524900000001</v>
      </c>
      <c r="O175" s="11">
        <v>1401.308434</v>
      </c>
      <c r="P175" s="11">
        <f>Table1[[#This Row],[Installed Capacity 
(AC -MW)]]/Table1[[#This Row],[Installed Capacity 
(DC -MW)]]</f>
        <v>0.74626860484591939</v>
      </c>
      <c r="Q175" s="12">
        <v>0.23137126999999999</v>
      </c>
      <c r="R175" s="12">
        <v>0.17266512000000001</v>
      </c>
      <c r="S175" s="13">
        <v>41.723105740000001</v>
      </c>
      <c r="T175" s="11">
        <v>19.729831149999999</v>
      </c>
      <c r="U175" s="11">
        <v>208.51175309999999</v>
      </c>
      <c r="V175" s="13">
        <v>595717.60900000005</v>
      </c>
      <c r="W175" s="13">
        <v>750941</v>
      </c>
      <c r="X175" s="13">
        <v>29.97373</v>
      </c>
      <c r="Y175" s="14">
        <f>+Table1[[#This Row],[Generation Cost 
LCOE (USD/MWh)]]+Table1[[#This Row],[Transmission Cost
LCOT (USD/MWh)]]</f>
        <v>71.696835739999997</v>
      </c>
    </row>
    <row r="176" spans="1:25" x14ac:dyDescent="0.3">
      <c r="A176" s="7">
        <v>175</v>
      </c>
      <c r="B176" s="8">
        <v>4236</v>
      </c>
      <c r="C176" s="9">
        <v>48.557785000000003</v>
      </c>
      <c r="D176" s="9">
        <v>-119.09972</v>
      </c>
      <c r="E176" s="10" t="s">
        <v>42</v>
      </c>
      <c r="F176" s="10" t="s">
        <v>4</v>
      </c>
      <c r="G176" s="10" t="s">
        <v>29</v>
      </c>
      <c r="H176" s="10">
        <v>-8</v>
      </c>
      <c r="I176" s="11">
        <v>1101.333333</v>
      </c>
      <c r="J176" s="11">
        <v>3.7099761999999998</v>
      </c>
      <c r="K176" s="11" t="str">
        <f>IF(Table1[[#This Row],[Solar 
Resource]]&lt;3,"Low", IF(Table1[[#This Row],[Solar 
Resource]]&lt;4, "Moderate","High"))</f>
        <v>Moderate</v>
      </c>
      <c r="L176" s="11">
        <v>0.99317200000000005</v>
      </c>
      <c r="M176" s="11">
        <v>16.180964209999999</v>
      </c>
      <c r="N176" s="11">
        <v>519.23992209999994</v>
      </c>
      <c r="O176" s="11">
        <v>695.78146100000004</v>
      </c>
      <c r="P176" s="11">
        <f>Table1[[#This Row],[Installed Capacity 
(AC -MW)]]/Table1[[#This Row],[Installed Capacity 
(DC -MW)]]</f>
        <v>0.74626869384207395</v>
      </c>
      <c r="Q176" s="12">
        <v>0.22272719999999999</v>
      </c>
      <c r="R176" s="12">
        <v>0.16621432999999999</v>
      </c>
      <c r="S176" s="13">
        <v>43.288249010000001</v>
      </c>
      <c r="T176" s="11">
        <v>36.141811670000003</v>
      </c>
      <c r="U176" s="11">
        <v>217.58211019999999</v>
      </c>
      <c r="V176" s="13">
        <v>629496.50529999996</v>
      </c>
      <c r="W176" s="13">
        <v>868961.8</v>
      </c>
      <c r="X176" s="13">
        <v>36.030630000000002</v>
      </c>
      <c r="Y176" s="14">
        <f>+Table1[[#This Row],[Generation Cost 
LCOE (USD/MWh)]]+Table1[[#This Row],[Transmission Cost
LCOT (USD/MWh)]]</f>
        <v>79.318879010000003</v>
      </c>
    </row>
    <row r="177" spans="1:25" x14ac:dyDescent="0.3">
      <c r="A177" s="7">
        <v>176</v>
      </c>
      <c r="B177" s="8">
        <v>4237</v>
      </c>
      <c r="C177" s="9">
        <v>48.581310000000002</v>
      </c>
      <c r="D177" s="9">
        <v>-118.9393</v>
      </c>
      <c r="E177" s="10" t="s">
        <v>42</v>
      </c>
      <c r="F177" s="10" t="s">
        <v>4</v>
      </c>
      <c r="G177" s="10" t="s">
        <v>29</v>
      </c>
      <c r="H177" s="10">
        <v>-8</v>
      </c>
      <c r="I177" s="11">
        <v>1153</v>
      </c>
      <c r="J177" s="11">
        <v>3.6668452999999999</v>
      </c>
      <c r="K177" s="11" t="str">
        <f>IF(Table1[[#This Row],[Solar 
Resource]]&lt;3,"Low", IF(Table1[[#This Row],[Solar 
Resource]]&lt;4, "Moderate","High"))</f>
        <v>Moderate</v>
      </c>
      <c r="L177" s="11">
        <v>0.99166065000000003</v>
      </c>
      <c r="M177" s="11">
        <v>17.56371489</v>
      </c>
      <c r="N177" s="11">
        <v>563.61177459999999</v>
      </c>
      <c r="O177" s="11">
        <v>755.23974039999996</v>
      </c>
      <c r="P177" s="11">
        <f>Table1[[#This Row],[Installed Capacity 
(AC -MW)]]/Table1[[#This Row],[Installed Capacity 
(DC -MW)]]</f>
        <v>0.74626869383421557</v>
      </c>
      <c r="Q177" s="12">
        <v>0.21775015</v>
      </c>
      <c r="R177" s="12">
        <v>0.16250010000000001</v>
      </c>
      <c r="S177" s="13">
        <v>44.224655030000001</v>
      </c>
      <c r="T177" s="11">
        <v>22.437779209999999</v>
      </c>
      <c r="U177" s="11">
        <v>214.36001289999999</v>
      </c>
      <c r="V177" s="13">
        <v>902286.40449999995</v>
      </c>
      <c r="W177" s="13">
        <v>1092907.5</v>
      </c>
      <c r="X177" s="13">
        <v>46.352093000000004</v>
      </c>
      <c r="Y177" s="14">
        <f>+Table1[[#This Row],[Generation Cost 
LCOE (USD/MWh)]]+Table1[[#This Row],[Transmission Cost
LCOT (USD/MWh)]]</f>
        <v>90.576748030000005</v>
      </c>
    </row>
    <row r="178" spans="1:25" x14ac:dyDescent="0.3">
      <c r="A178" s="7">
        <v>177</v>
      </c>
      <c r="B178" s="8">
        <v>4238</v>
      </c>
      <c r="C178" s="9">
        <v>48.604680000000002</v>
      </c>
      <c r="D178" s="9">
        <v>-118.77875</v>
      </c>
      <c r="E178" s="10" t="s">
        <v>42</v>
      </c>
      <c r="F178" s="10" t="s">
        <v>4</v>
      </c>
      <c r="G178" s="10" t="s">
        <v>14</v>
      </c>
      <c r="H178" s="10">
        <v>-8</v>
      </c>
      <c r="I178" s="11">
        <v>1063.4117650000001</v>
      </c>
      <c r="J178" s="11">
        <v>3.6013853999999998</v>
      </c>
      <c r="K178" s="11" t="str">
        <f>IF(Table1[[#This Row],[Solar 
Resource]]&lt;3,"Low", IF(Table1[[#This Row],[Solar 
Resource]]&lt;4, "Moderate","High"))</f>
        <v>Moderate</v>
      </c>
      <c r="L178" s="11">
        <v>0.99037759999999997</v>
      </c>
      <c r="M178" s="11">
        <v>18.856313530000001</v>
      </c>
      <c r="N178" s="11">
        <v>605.09061599999995</v>
      </c>
      <c r="O178" s="11">
        <v>810.82148159999997</v>
      </c>
      <c r="P178" s="11">
        <f>Table1[[#This Row],[Installed Capacity 
(AC -MW)]]/Table1[[#This Row],[Installed Capacity 
(DC -MW)]]</f>
        <v>0.74626860502754588</v>
      </c>
      <c r="Q178" s="12">
        <v>0.21209744</v>
      </c>
      <c r="R178" s="12">
        <v>0.15828167000000001</v>
      </c>
      <c r="S178" s="13">
        <v>45.357094859999997</v>
      </c>
      <c r="T178" s="11">
        <v>10.58116882</v>
      </c>
      <c r="U178" s="11">
        <v>214.36001289999999</v>
      </c>
      <c r="V178" s="13">
        <v>902286.40449999995</v>
      </c>
      <c r="W178" s="13">
        <v>989481.94</v>
      </c>
      <c r="X178" s="13">
        <v>43.084083999999997</v>
      </c>
      <c r="Y178" s="14">
        <f>+Table1[[#This Row],[Generation Cost 
LCOE (USD/MWh)]]+Table1[[#This Row],[Transmission Cost
LCOT (USD/MWh)]]</f>
        <v>88.441178859999994</v>
      </c>
    </row>
    <row r="179" spans="1:25" x14ac:dyDescent="0.3">
      <c r="A179" s="7">
        <v>178</v>
      </c>
      <c r="B179" s="8">
        <v>4239</v>
      </c>
      <c r="C179" s="9">
        <v>48.627884000000002</v>
      </c>
      <c r="D179" s="9">
        <v>-118.618065</v>
      </c>
      <c r="E179" s="10" t="s">
        <v>42</v>
      </c>
      <c r="F179" s="10" t="s">
        <v>4</v>
      </c>
      <c r="G179" s="10" t="s">
        <v>14</v>
      </c>
      <c r="H179" s="10">
        <v>-8</v>
      </c>
      <c r="I179" s="11">
        <v>1144.25</v>
      </c>
      <c r="J179" s="11">
        <v>3.6360215999999999</v>
      </c>
      <c r="K179" s="11" t="str">
        <f>IF(Table1[[#This Row],[Solar 
Resource]]&lt;3,"Low", IF(Table1[[#This Row],[Solar 
Resource]]&lt;4, "Moderate","High"))</f>
        <v>Moderate</v>
      </c>
      <c r="L179" s="11">
        <v>0.98913633999999995</v>
      </c>
      <c r="M179" s="11">
        <v>10.193202360000001</v>
      </c>
      <c r="N179" s="11">
        <v>327.09527680000002</v>
      </c>
      <c r="O179" s="11">
        <v>438.30770130000002</v>
      </c>
      <c r="P179" s="11">
        <f>Table1[[#This Row],[Installed Capacity 
(AC -MW)]]/Table1[[#This Row],[Installed Capacity 
(DC -MW)]]</f>
        <v>0.74626860497739556</v>
      </c>
      <c r="Q179" s="12">
        <v>0.21315788999999999</v>
      </c>
      <c r="R179" s="12">
        <v>0.15907304999999999</v>
      </c>
      <c r="S179" s="13">
        <v>45.08695642</v>
      </c>
      <c r="T179" s="11">
        <v>6.1738181770000002</v>
      </c>
      <c r="U179" s="11">
        <v>214.36001289999999</v>
      </c>
      <c r="V179" s="13">
        <v>902286.40449999995</v>
      </c>
      <c r="W179" s="13">
        <v>982583.25</v>
      </c>
      <c r="X179" s="13">
        <v>42.57085</v>
      </c>
      <c r="Y179" s="14">
        <f>+Table1[[#This Row],[Generation Cost 
LCOE (USD/MWh)]]+Table1[[#This Row],[Transmission Cost
LCOT (USD/MWh)]]</f>
        <v>87.65780642</v>
      </c>
    </row>
    <row r="180" spans="1:25" x14ac:dyDescent="0.3">
      <c r="A180" s="7">
        <v>179</v>
      </c>
      <c r="B180" s="8">
        <v>4240</v>
      </c>
      <c r="C180" s="9">
        <v>48.650931999999997</v>
      </c>
      <c r="D180" s="9">
        <v>-118.457245</v>
      </c>
      <c r="E180" s="10" t="s">
        <v>42</v>
      </c>
      <c r="F180" s="10" t="s">
        <v>4</v>
      </c>
      <c r="G180" s="10" t="s">
        <v>14</v>
      </c>
      <c r="H180" s="10">
        <v>-8</v>
      </c>
      <c r="I180" s="11">
        <v>1508.2</v>
      </c>
      <c r="J180" s="11">
        <v>3.5812550000000001</v>
      </c>
      <c r="K180" s="11" t="str">
        <f>IF(Table1[[#This Row],[Solar 
Resource]]&lt;3,"Low", IF(Table1[[#This Row],[Solar 
Resource]]&lt;4, "Moderate","High"))</f>
        <v>Moderate</v>
      </c>
      <c r="L180" s="11">
        <v>0.98760139999999996</v>
      </c>
      <c r="M180" s="11">
        <v>0.83268002500000005</v>
      </c>
      <c r="N180" s="11">
        <v>26.720327300000001</v>
      </c>
      <c r="O180" s="11">
        <v>35.80524106</v>
      </c>
      <c r="P180" s="11">
        <f>Table1[[#This Row],[Installed Capacity 
(AC -MW)]]/Table1[[#This Row],[Installed Capacity 
(DC -MW)]]</f>
        <v>0.74626860506884685</v>
      </c>
      <c r="Q180" s="12">
        <v>0.21219681000000001</v>
      </c>
      <c r="R180" s="12">
        <v>0.15835584999999999</v>
      </c>
      <c r="S180" s="13">
        <v>50.133637729999997</v>
      </c>
      <c r="T180" s="11">
        <v>3.882792206</v>
      </c>
      <c r="U180" s="11">
        <v>193.3558376</v>
      </c>
      <c r="V180" s="13">
        <v>784966.10019999999</v>
      </c>
      <c r="W180" s="13">
        <v>888028.94</v>
      </c>
      <c r="X180" s="13">
        <v>38.648502000000001</v>
      </c>
      <c r="Y180" s="14">
        <f>+Table1[[#This Row],[Generation Cost 
LCOE (USD/MWh)]]+Table1[[#This Row],[Transmission Cost
LCOT (USD/MWh)]]</f>
        <v>88.782139729999997</v>
      </c>
    </row>
    <row r="181" spans="1:25" x14ac:dyDescent="0.3">
      <c r="A181" s="7">
        <v>180</v>
      </c>
      <c r="B181" s="8">
        <v>4241</v>
      </c>
      <c r="C181" s="9">
        <v>48.673817</v>
      </c>
      <c r="D181" s="9">
        <v>-118.296295</v>
      </c>
      <c r="E181" s="10" t="s">
        <v>42</v>
      </c>
      <c r="F181" s="10" t="s">
        <v>4</v>
      </c>
      <c r="G181" s="10" t="s">
        <v>14</v>
      </c>
      <c r="H181" s="10">
        <v>-8</v>
      </c>
      <c r="I181" s="11">
        <v>1175.818182</v>
      </c>
      <c r="J181" s="11">
        <v>3.5596104</v>
      </c>
      <c r="K181" s="11" t="str">
        <f>IF(Table1[[#This Row],[Solar 
Resource]]&lt;3,"Low", IF(Table1[[#This Row],[Solar 
Resource]]&lt;4, "Moderate","High"))</f>
        <v>Moderate</v>
      </c>
      <c r="L181" s="11">
        <v>0.98710209999999998</v>
      </c>
      <c r="M181" s="11">
        <v>2.0642039699999999</v>
      </c>
      <c r="N181" s="11">
        <v>66.239376550000003</v>
      </c>
      <c r="O181" s="11">
        <v>88.760770719999996</v>
      </c>
      <c r="P181" s="11">
        <f>Table1[[#This Row],[Installed Capacity 
(AC -MW)]]/Table1[[#This Row],[Installed Capacity 
(DC -MW)]]</f>
        <v>0.74626860506828196</v>
      </c>
      <c r="Q181" s="12">
        <v>0.20912337</v>
      </c>
      <c r="R181" s="12">
        <v>0.15606223</v>
      </c>
      <c r="S181" s="13">
        <v>46.133947859999999</v>
      </c>
      <c r="T181" s="11">
        <v>9.9266818099999998</v>
      </c>
      <c r="U181" s="11">
        <v>187.60113630000001</v>
      </c>
      <c r="V181" s="13">
        <v>744020.59649999999</v>
      </c>
      <c r="W181" s="13">
        <v>925951.3</v>
      </c>
      <c r="X181" s="13">
        <v>40.891212000000003</v>
      </c>
      <c r="Y181" s="14">
        <f>+Table1[[#This Row],[Generation Cost 
LCOE (USD/MWh)]]+Table1[[#This Row],[Transmission Cost
LCOT (USD/MWh)]]</f>
        <v>87.025159860000002</v>
      </c>
    </row>
    <row r="182" spans="1:25" x14ac:dyDescent="0.3">
      <c r="A182" s="7">
        <v>181</v>
      </c>
      <c r="B182" s="8">
        <v>4242</v>
      </c>
      <c r="C182" s="9">
        <v>48.696539999999999</v>
      </c>
      <c r="D182" s="9">
        <v>-118.13521</v>
      </c>
      <c r="E182" s="10" t="s">
        <v>42</v>
      </c>
      <c r="F182" s="10" t="s">
        <v>4</v>
      </c>
      <c r="G182" s="10" t="s">
        <v>14</v>
      </c>
      <c r="H182" s="10">
        <v>-8</v>
      </c>
      <c r="I182" s="11">
        <v>782.94117649999998</v>
      </c>
      <c r="J182" s="11">
        <v>3.5677037</v>
      </c>
      <c r="K182" s="11" t="str">
        <f>IF(Table1[[#This Row],[Solar 
Resource]]&lt;3,"Low", IF(Table1[[#This Row],[Solar 
Resource]]&lt;4, "Moderate","High"))</f>
        <v>Moderate</v>
      </c>
      <c r="L182" s="11">
        <v>0.98641676</v>
      </c>
      <c r="M182" s="11">
        <v>13.47046216</v>
      </c>
      <c r="N182" s="11">
        <v>432.26106920000001</v>
      </c>
      <c r="O182" s="11">
        <v>579.22987279999995</v>
      </c>
      <c r="P182" s="11">
        <f>Table1[[#This Row],[Installed Capacity 
(AC -MW)]]/Table1[[#This Row],[Installed Capacity 
(DC -MW)]]</f>
        <v>0.74626860508842185</v>
      </c>
      <c r="Q182" s="12">
        <v>0.20566654000000001</v>
      </c>
      <c r="R182" s="12">
        <v>0.15348249999999999</v>
      </c>
      <c r="S182" s="13">
        <v>46.628222010000002</v>
      </c>
      <c r="T182" s="11">
        <v>8.5819805149999997</v>
      </c>
      <c r="U182" s="11">
        <v>164.66328559999999</v>
      </c>
      <c r="V182" s="13">
        <v>625184.16429999995</v>
      </c>
      <c r="W182" s="13">
        <v>729367.25</v>
      </c>
      <c r="X182" s="13">
        <v>32.751185999999997</v>
      </c>
      <c r="Y182" s="14">
        <f>+Table1[[#This Row],[Generation Cost 
LCOE (USD/MWh)]]+Table1[[#This Row],[Transmission Cost
LCOT (USD/MWh)]]</f>
        <v>79.379408009999992</v>
      </c>
    </row>
    <row r="183" spans="1:25" x14ac:dyDescent="0.3">
      <c r="A183" s="7">
        <v>182</v>
      </c>
      <c r="B183" s="8">
        <v>4243</v>
      </c>
      <c r="C183" s="9">
        <v>48.719110000000001</v>
      </c>
      <c r="D183" s="9">
        <v>-117.974</v>
      </c>
      <c r="E183" s="10" t="s">
        <v>42</v>
      </c>
      <c r="F183" s="10" t="s">
        <v>4</v>
      </c>
      <c r="G183" s="10" t="s">
        <v>37</v>
      </c>
      <c r="H183" s="10">
        <v>-8</v>
      </c>
      <c r="I183" s="11">
        <v>733.5</v>
      </c>
      <c r="J183" s="11">
        <v>3.6002822000000001</v>
      </c>
      <c r="K183" s="11" t="str">
        <f>IF(Table1[[#This Row],[Solar 
Resource]]&lt;3,"Low", IF(Table1[[#This Row],[Solar 
Resource]]&lt;4, "Moderate","High"))</f>
        <v>Moderate</v>
      </c>
      <c r="L183" s="11">
        <v>0.98590520000000004</v>
      </c>
      <c r="M183" s="11">
        <v>21.098556080000002</v>
      </c>
      <c r="N183" s="11">
        <v>677.04317060000005</v>
      </c>
      <c r="O183" s="11">
        <v>907.23791140000003</v>
      </c>
      <c r="P183" s="11">
        <f>Table1[[#This Row],[Installed Capacity 
(AC -MW)]]/Table1[[#This Row],[Installed Capacity 
(DC -MW)]]</f>
        <v>0.74626860506217596</v>
      </c>
      <c r="Q183" s="12">
        <v>0.2072446</v>
      </c>
      <c r="R183" s="12">
        <v>0.15466017000000001</v>
      </c>
      <c r="S183" s="13">
        <v>46.254309599999999</v>
      </c>
      <c r="T183" s="11">
        <v>19.600357129999999</v>
      </c>
      <c r="U183" s="11">
        <v>148.3082272</v>
      </c>
      <c r="V183" s="13">
        <v>532574.30720000004</v>
      </c>
      <c r="W183" s="13">
        <v>659245.4</v>
      </c>
      <c r="X183" s="13">
        <v>29.377054000000001</v>
      </c>
      <c r="Y183" s="14">
        <f>+Table1[[#This Row],[Generation Cost 
LCOE (USD/MWh)]]+Table1[[#This Row],[Transmission Cost
LCOT (USD/MWh)]]</f>
        <v>75.6313636</v>
      </c>
    </row>
    <row r="184" spans="1:25" x14ac:dyDescent="0.3">
      <c r="A184" s="7">
        <v>183</v>
      </c>
      <c r="B184" s="8">
        <v>4244</v>
      </c>
      <c r="C184" s="9">
        <v>48.741509999999998</v>
      </c>
      <c r="D184" s="9">
        <v>-117.81265</v>
      </c>
      <c r="E184" s="10" t="s">
        <v>42</v>
      </c>
      <c r="F184" s="10" t="s">
        <v>4</v>
      </c>
      <c r="G184" s="10" t="s">
        <v>37</v>
      </c>
      <c r="H184" s="10">
        <v>-8</v>
      </c>
      <c r="I184" s="11">
        <v>1030.666667</v>
      </c>
      <c r="J184" s="11">
        <v>3.5614924000000001</v>
      </c>
      <c r="K184" s="11" t="str">
        <f>IF(Table1[[#This Row],[Solar 
Resource]]&lt;3,"Low", IF(Table1[[#This Row],[Solar 
Resource]]&lt;4, "Moderate","High"))</f>
        <v>Moderate</v>
      </c>
      <c r="L184" s="11">
        <v>0.98544586000000001</v>
      </c>
      <c r="M184" s="11">
        <v>11.05066824</v>
      </c>
      <c r="N184" s="11">
        <v>354.61097109999997</v>
      </c>
      <c r="O184" s="11">
        <v>475.17873420000001</v>
      </c>
      <c r="P184" s="11">
        <f>Table1[[#This Row],[Installed Capacity 
(AC -MW)]]/Table1[[#This Row],[Installed Capacity 
(DC -MW)]]</f>
        <v>0.74626860500610337</v>
      </c>
      <c r="Q184" s="12">
        <v>0.20634055000000001</v>
      </c>
      <c r="R184" s="12">
        <v>0.15398549</v>
      </c>
      <c r="S184" s="13">
        <v>46.439960300000003</v>
      </c>
      <c r="T184" s="11">
        <v>14.54601297</v>
      </c>
      <c r="U184" s="11">
        <v>170.97077909999999</v>
      </c>
      <c r="V184" s="13">
        <v>649925.46849999996</v>
      </c>
      <c r="W184" s="13">
        <v>782920.25</v>
      </c>
      <c r="X184" s="13">
        <v>35.041069999999998</v>
      </c>
      <c r="Y184" s="14">
        <f>+Table1[[#This Row],[Generation Cost 
LCOE (USD/MWh)]]+Table1[[#This Row],[Transmission Cost
LCOT (USD/MWh)]]</f>
        <v>81.4810303</v>
      </c>
    </row>
    <row r="185" spans="1:25" x14ac:dyDescent="0.3">
      <c r="A185" s="7">
        <v>184</v>
      </c>
      <c r="B185" s="8">
        <v>4245</v>
      </c>
      <c r="C185" s="9">
        <v>48.763751999999997</v>
      </c>
      <c r="D185" s="9">
        <v>-117.651184</v>
      </c>
      <c r="E185" s="10" t="s">
        <v>42</v>
      </c>
      <c r="F185" s="10" t="s">
        <v>4</v>
      </c>
      <c r="G185" s="10" t="s">
        <v>37</v>
      </c>
      <c r="H185" s="10">
        <v>-8</v>
      </c>
      <c r="I185" s="11">
        <v>986.1875</v>
      </c>
      <c r="J185" s="11">
        <v>3.4866744999999999</v>
      </c>
      <c r="K185" s="11" t="str">
        <f>IF(Table1[[#This Row],[Solar 
Resource]]&lt;3,"Low", IF(Table1[[#This Row],[Solar 
Resource]]&lt;4, "Moderate","High"))</f>
        <v>Moderate</v>
      </c>
      <c r="L185" s="11">
        <v>0.98517719999999998</v>
      </c>
      <c r="M185" s="11">
        <v>12.35784529</v>
      </c>
      <c r="N185" s="11">
        <v>396.55774159999999</v>
      </c>
      <c r="O185" s="11">
        <v>531.38734739999995</v>
      </c>
      <c r="P185" s="11">
        <f>Table1[[#This Row],[Installed Capacity 
(AC -MW)]]/Table1[[#This Row],[Installed Capacity 
(DC -MW)]]</f>
        <v>0.74626869371334981</v>
      </c>
      <c r="Q185" s="12">
        <v>0.20181076000000001</v>
      </c>
      <c r="R185" s="12">
        <v>0.15060501000000001</v>
      </c>
      <c r="S185" s="13">
        <v>47.472193169999997</v>
      </c>
      <c r="T185" s="11">
        <v>0.94367532399999998</v>
      </c>
      <c r="U185" s="11">
        <v>173.72724669999999</v>
      </c>
      <c r="V185" s="13">
        <v>665671.19140000001</v>
      </c>
      <c r="W185" s="13">
        <v>715089.2</v>
      </c>
      <c r="X185" s="13">
        <v>32.72354</v>
      </c>
      <c r="Y185" s="14">
        <f>+Table1[[#This Row],[Generation Cost 
LCOE (USD/MWh)]]+Table1[[#This Row],[Transmission Cost
LCOT (USD/MWh)]]</f>
        <v>80.195733169999997</v>
      </c>
    </row>
    <row r="186" spans="1:25" x14ac:dyDescent="0.3">
      <c r="A186" s="7">
        <v>185</v>
      </c>
      <c r="B186" s="8">
        <v>4246</v>
      </c>
      <c r="C186" s="9">
        <v>48.785834999999999</v>
      </c>
      <c r="D186" s="9">
        <v>-117.48959000000001</v>
      </c>
      <c r="E186" s="10" t="s">
        <v>42</v>
      </c>
      <c r="F186" s="10" t="s">
        <v>4</v>
      </c>
      <c r="G186" s="10" t="s">
        <v>30</v>
      </c>
      <c r="H186" s="10">
        <v>-8</v>
      </c>
      <c r="I186" s="11">
        <v>1114.058824</v>
      </c>
      <c r="J186" s="11">
        <v>3.4259157</v>
      </c>
      <c r="K186" s="11" t="str">
        <f>IF(Table1[[#This Row],[Solar 
Resource]]&lt;3,"Low", IF(Table1[[#This Row],[Solar 
Resource]]&lt;4, "Moderate","High"))</f>
        <v>Moderate</v>
      </c>
      <c r="L186" s="11">
        <v>0.98492866999999995</v>
      </c>
      <c r="M186" s="11">
        <v>10.16971216</v>
      </c>
      <c r="N186" s="11">
        <v>326.34148699999997</v>
      </c>
      <c r="O186" s="11">
        <v>437.2976228</v>
      </c>
      <c r="P186" s="11">
        <f>Table1[[#This Row],[Installed Capacity 
(AC -MW)]]/Table1[[#This Row],[Installed Capacity 
(DC -MW)]]</f>
        <v>0.74626860514458748</v>
      </c>
      <c r="Q186" s="12">
        <v>0.19826826</v>
      </c>
      <c r="R186" s="12">
        <v>0.14796139999999999</v>
      </c>
      <c r="S186" s="13">
        <v>48.310798349999999</v>
      </c>
      <c r="T186" s="11">
        <v>0.09</v>
      </c>
      <c r="U186" s="11">
        <v>170.14953890000001</v>
      </c>
      <c r="V186" s="13">
        <v>694339.41020000004</v>
      </c>
      <c r="W186" s="13">
        <v>731606.4</v>
      </c>
      <c r="X186" s="13">
        <v>34.077576000000001</v>
      </c>
      <c r="Y186" s="14">
        <f>+Table1[[#This Row],[Generation Cost 
LCOE (USD/MWh)]]+Table1[[#This Row],[Transmission Cost
LCOT (USD/MWh)]]</f>
        <v>82.388374349999992</v>
      </c>
    </row>
    <row r="187" spans="1:25" x14ac:dyDescent="0.3">
      <c r="A187" s="7">
        <v>186</v>
      </c>
      <c r="B187" s="8">
        <v>4247</v>
      </c>
      <c r="C187" s="9">
        <v>48.807755</v>
      </c>
      <c r="D187" s="9">
        <v>-117.32786</v>
      </c>
      <c r="E187" s="10" t="s">
        <v>42</v>
      </c>
      <c r="F187" s="10" t="s">
        <v>4</v>
      </c>
      <c r="G187" s="10" t="s">
        <v>30</v>
      </c>
      <c r="H187" s="10">
        <v>-8</v>
      </c>
      <c r="I187" s="11">
        <v>956.72727269999996</v>
      </c>
      <c r="J187" s="11">
        <v>3.3993878</v>
      </c>
      <c r="K187" s="11" t="str">
        <f>IF(Table1[[#This Row],[Solar 
Resource]]&lt;3,"Low", IF(Table1[[#This Row],[Solar 
Resource]]&lt;4, "Moderate","High"))</f>
        <v>Moderate</v>
      </c>
      <c r="L187" s="11">
        <v>0.98514000000000002</v>
      </c>
      <c r="M187" s="11">
        <v>2.5027378420000002</v>
      </c>
      <c r="N187" s="11">
        <v>80.311740700000001</v>
      </c>
      <c r="O187" s="11">
        <v>107.6177272</v>
      </c>
      <c r="P187" s="11">
        <f>Table1[[#This Row],[Installed Capacity 
(AC -MW)]]/Table1[[#This Row],[Installed Capacity 
(DC -MW)]]</f>
        <v>0.74626869373245786</v>
      </c>
      <c r="Q187" s="12">
        <v>0.19535073999999999</v>
      </c>
      <c r="R187" s="12">
        <v>0.14578414000000001</v>
      </c>
      <c r="S187" s="13">
        <v>49.040577480000003</v>
      </c>
      <c r="T187" s="11">
        <v>9.5538896040000001</v>
      </c>
      <c r="U187" s="11">
        <v>176.6061493</v>
      </c>
      <c r="V187" s="13">
        <v>710044.14049999998</v>
      </c>
      <c r="W187" s="13">
        <v>852479.5</v>
      </c>
      <c r="X187" s="13">
        <v>40.300766000000003</v>
      </c>
      <c r="Y187" s="14">
        <f>+Table1[[#This Row],[Generation Cost 
LCOE (USD/MWh)]]+Table1[[#This Row],[Transmission Cost
LCOT (USD/MWh)]]</f>
        <v>89.341343480000006</v>
      </c>
    </row>
    <row r="188" spans="1:25" x14ac:dyDescent="0.3">
      <c r="A188" s="7">
        <v>187</v>
      </c>
      <c r="B188" s="8">
        <v>4248</v>
      </c>
      <c r="C188" s="9">
        <v>48.829509999999999</v>
      </c>
      <c r="D188" s="9">
        <v>-117.16601</v>
      </c>
      <c r="E188" s="10" t="s">
        <v>42</v>
      </c>
      <c r="F188" s="10" t="s">
        <v>4</v>
      </c>
      <c r="G188" s="10" t="s">
        <v>30</v>
      </c>
      <c r="H188" s="10">
        <v>-8</v>
      </c>
      <c r="I188" s="11">
        <v>1352.666667</v>
      </c>
      <c r="J188" s="11">
        <v>3.3861563000000001</v>
      </c>
      <c r="K188" s="11" t="str">
        <f>IF(Table1[[#This Row],[Solar 
Resource]]&lt;3,"Low", IF(Table1[[#This Row],[Solar 
Resource]]&lt;4, "Moderate","High"))</f>
        <v>Moderate</v>
      </c>
      <c r="L188" s="11">
        <v>0.98498993999999995</v>
      </c>
      <c r="M188" s="11">
        <v>0.13316398900000001</v>
      </c>
      <c r="N188" s="11">
        <v>4.2731724819999997</v>
      </c>
      <c r="O188" s="11">
        <v>5.7260515219999997</v>
      </c>
      <c r="P188" s="11">
        <f>Table1[[#This Row],[Installed Capacity 
(AC -MW)]]/Table1[[#This Row],[Installed Capacity 
(DC -MW)]]</f>
        <v>0.74626860509062665</v>
      </c>
      <c r="Q188" s="12">
        <v>0.19624043999999999</v>
      </c>
      <c r="R188" s="12">
        <v>0.14644809</v>
      </c>
      <c r="S188" s="13">
        <v>66.292143139999993</v>
      </c>
      <c r="T188" s="11">
        <v>18.16145453</v>
      </c>
      <c r="U188" s="11">
        <v>176.6061493</v>
      </c>
      <c r="V188" s="13">
        <v>710044.14049999998</v>
      </c>
      <c r="W188" s="13">
        <v>930142</v>
      </c>
      <c r="X188" s="13">
        <v>43.772880000000001</v>
      </c>
      <c r="Y188" s="14">
        <f>+Table1[[#This Row],[Generation Cost 
LCOE (USD/MWh)]]+Table1[[#This Row],[Transmission Cost
LCOT (USD/MWh)]]</f>
        <v>110.06502313999999</v>
      </c>
    </row>
    <row r="189" spans="1:25" x14ac:dyDescent="0.3">
      <c r="A189" s="7">
        <v>188</v>
      </c>
      <c r="B189" s="8">
        <v>4249</v>
      </c>
      <c r="C189" s="9">
        <v>48.851100000000002</v>
      </c>
      <c r="D189" s="9">
        <v>-117.00403</v>
      </c>
      <c r="E189" s="10" t="s">
        <v>42</v>
      </c>
      <c r="F189" s="10" t="s">
        <v>1</v>
      </c>
      <c r="G189" s="10" t="s">
        <v>10</v>
      </c>
      <c r="H189" s="10">
        <v>-8</v>
      </c>
      <c r="I189" s="11">
        <v>1076.363636</v>
      </c>
      <c r="J189" s="11">
        <v>3.2367742000000002</v>
      </c>
      <c r="K189" s="11" t="str">
        <f>IF(Table1[[#This Row],[Solar 
Resource]]&lt;3,"Low", IF(Table1[[#This Row],[Solar 
Resource]]&lt;4, "Moderate","High"))</f>
        <v>Moderate</v>
      </c>
      <c r="L189" s="11">
        <v>0.98336020000000002</v>
      </c>
      <c r="M189" s="11">
        <v>4.1659915649999997</v>
      </c>
      <c r="N189" s="11">
        <v>133.68481059999999</v>
      </c>
      <c r="O189" s="11">
        <v>179.13763729999999</v>
      </c>
      <c r="P189" s="11">
        <f>Table1[[#This Row],[Installed Capacity 
(AC -MW)]]/Table1[[#This Row],[Installed Capacity 
(DC -MW)]]</f>
        <v>0.74626869380955041</v>
      </c>
      <c r="Q189" s="12">
        <v>0.18580131</v>
      </c>
      <c r="R189" s="12">
        <v>0.13865769</v>
      </c>
      <c r="S189" s="13">
        <v>51.487887970000003</v>
      </c>
      <c r="T189" s="11">
        <v>48.309448019999998</v>
      </c>
      <c r="U189" s="11">
        <v>461.47692180000001</v>
      </c>
      <c r="V189" s="13">
        <v>1782526.706</v>
      </c>
      <c r="W189" s="13">
        <v>2142698.2000000002</v>
      </c>
      <c r="X189" s="13">
        <v>106.501724</v>
      </c>
      <c r="Y189" s="14">
        <f>+Table1[[#This Row],[Generation Cost 
LCOE (USD/MWh)]]+Table1[[#This Row],[Transmission Cost
LCOT (USD/MWh)]]</f>
        <v>157.98961197</v>
      </c>
    </row>
    <row r="190" spans="1:25" x14ac:dyDescent="0.3">
      <c r="A190" s="7">
        <v>189</v>
      </c>
      <c r="B190" s="8">
        <v>4250</v>
      </c>
      <c r="C190" s="9">
        <v>48.872535999999997</v>
      </c>
      <c r="D190" s="9">
        <v>-116.84193399999999</v>
      </c>
      <c r="E190" s="10" t="s">
        <v>42</v>
      </c>
      <c r="F190" s="10" t="s">
        <v>1</v>
      </c>
      <c r="G190" s="10" t="s">
        <v>10</v>
      </c>
      <c r="H190" s="10">
        <v>-8</v>
      </c>
      <c r="I190" s="11">
        <v>1409.636364</v>
      </c>
      <c r="J190" s="11">
        <v>3.2917128</v>
      </c>
      <c r="K190" s="11" t="str">
        <f>IF(Table1[[#This Row],[Solar 
Resource]]&lt;3,"Low", IF(Table1[[#This Row],[Solar 
Resource]]&lt;4, "Moderate","High"))</f>
        <v>Moderate</v>
      </c>
      <c r="L190" s="11">
        <v>0.98348000000000002</v>
      </c>
      <c r="M190" s="11">
        <v>4.0969799010000001</v>
      </c>
      <c r="N190" s="11">
        <v>131.47024149999999</v>
      </c>
      <c r="O190" s="11">
        <v>176.1701357</v>
      </c>
      <c r="P190" s="11">
        <f>Table1[[#This Row],[Installed Capacity 
(AC -MW)]]/Table1[[#This Row],[Installed Capacity 
(DC -MW)]]</f>
        <v>0.74626860550235696</v>
      </c>
      <c r="Q190" s="12">
        <v>0.19015304999999999</v>
      </c>
      <c r="R190" s="12">
        <v>0.14190526000000001</v>
      </c>
      <c r="S190" s="13">
        <v>50.314373269999997</v>
      </c>
      <c r="T190" s="11">
        <v>39.87438959</v>
      </c>
      <c r="U190" s="11">
        <v>460.80964260000002</v>
      </c>
      <c r="V190" s="13">
        <v>1780734.7180000001</v>
      </c>
      <c r="W190" s="13">
        <v>2034840.8</v>
      </c>
      <c r="X190" s="13">
        <v>98.826070000000001</v>
      </c>
      <c r="Y190" s="14">
        <f>+Table1[[#This Row],[Generation Cost 
LCOE (USD/MWh)]]+Table1[[#This Row],[Transmission Cost
LCOT (USD/MWh)]]</f>
        <v>149.14044326999999</v>
      </c>
    </row>
    <row r="191" spans="1:25" x14ac:dyDescent="0.3">
      <c r="A191" s="7">
        <v>190</v>
      </c>
      <c r="B191" s="8">
        <v>4251</v>
      </c>
      <c r="C191" s="9">
        <v>48.893805999999998</v>
      </c>
      <c r="D191" s="9">
        <v>-116.6797</v>
      </c>
      <c r="E191" s="10" t="s">
        <v>42</v>
      </c>
      <c r="F191" s="10" t="s">
        <v>1</v>
      </c>
      <c r="G191" s="10" t="s">
        <v>10</v>
      </c>
      <c r="H191" s="10">
        <v>-8</v>
      </c>
      <c r="I191" s="11">
        <v>1485.5</v>
      </c>
      <c r="J191" s="11">
        <v>3.4171109999999998</v>
      </c>
      <c r="K191" s="11" t="str">
        <f>IF(Table1[[#This Row],[Solar 
Resource]]&lt;3,"Low", IF(Table1[[#This Row],[Solar 
Resource]]&lt;4, "Moderate","High"))</f>
        <v>Moderate</v>
      </c>
      <c r="L191" s="11">
        <v>0.98383147000000004</v>
      </c>
      <c r="M191" s="11">
        <v>2.8686962770000002</v>
      </c>
      <c r="N191" s="11">
        <v>92.055150780000005</v>
      </c>
      <c r="O191" s="11">
        <v>123.3539399</v>
      </c>
      <c r="P191" s="11">
        <f>Table1[[#This Row],[Installed Capacity 
(AC -MW)]]/Table1[[#This Row],[Installed Capacity 
(DC -MW)]]</f>
        <v>0.74626842770183788</v>
      </c>
      <c r="Q191" s="12">
        <v>0.19798689</v>
      </c>
      <c r="R191" s="12">
        <v>0.14775139000000001</v>
      </c>
      <c r="S191" s="13">
        <v>48.337119610000002</v>
      </c>
      <c r="T191" s="11">
        <v>12.878590900000001</v>
      </c>
      <c r="U191" s="11">
        <v>462.00148030000003</v>
      </c>
      <c r="V191" s="13">
        <v>1785491.86</v>
      </c>
      <c r="W191" s="13">
        <v>1989368.9</v>
      </c>
      <c r="X191" s="13">
        <v>92.794719999999998</v>
      </c>
      <c r="Y191" s="14">
        <f>+Table1[[#This Row],[Generation Cost 
LCOE (USD/MWh)]]+Table1[[#This Row],[Transmission Cost
LCOT (USD/MWh)]]</f>
        <v>141.13183960999999</v>
      </c>
    </row>
    <row r="192" spans="1:25" x14ac:dyDescent="0.3">
      <c r="A192" s="7">
        <v>191</v>
      </c>
      <c r="B192" s="8">
        <v>4252</v>
      </c>
      <c r="C192" s="9">
        <v>48.914912999999999</v>
      </c>
      <c r="D192" s="9">
        <v>-116.51734999999999</v>
      </c>
      <c r="E192" s="10" t="s">
        <v>42</v>
      </c>
      <c r="F192" s="10" t="s">
        <v>1</v>
      </c>
      <c r="G192" s="10" t="s">
        <v>10</v>
      </c>
      <c r="H192" s="10">
        <v>-8</v>
      </c>
      <c r="I192" s="11">
        <v>628.57142859999999</v>
      </c>
      <c r="J192" s="11">
        <v>3.4490322999999998</v>
      </c>
      <c r="K192" s="11" t="str">
        <f>IF(Table1[[#This Row],[Solar 
Resource]]&lt;3,"Low", IF(Table1[[#This Row],[Solar 
Resource]]&lt;4, "Moderate","High"))</f>
        <v>Moderate</v>
      </c>
      <c r="L192" s="11">
        <v>0.98381174000000005</v>
      </c>
      <c r="M192" s="11">
        <v>3.95782196</v>
      </c>
      <c r="N192" s="11">
        <v>127.0047258</v>
      </c>
      <c r="O192" s="11">
        <v>170.1863443</v>
      </c>
      <c r="P192" s="11">
        <f>Table1[[#This Row],[Installed Capacity 
(AC -MW)]]/Table1[[#This Row],[Installed Capacity 
(DC -MW)]]</f>
        <v>0.74626860528903205</v>
      </c>
      <c r="Q192" s="12">
        <v>0.19645905</v>
      </c>
      <c r="R192" s="12">
        <v>0.14661123000000001</v>
      </c>
      <c r="S192" s="13">
        <v>48.712266079999999</v>
      </c>
      <c r="T192" s="11">
        <v>5.531025971</v>
      </c>
      <c r="U192" s="11">
        <v>458.34501269999998</v>
      </c>
      <c r="V192" s="13">
        <v>1760563.2309999999</v>
      </c>
      <c r="W192" s="13">
        <v>1851872.5</v>
      </c>
      <c r="X192" s="13">
        <v>87.052940000000007</v>
      </c>
      <c r="Y192" s="14">
        <f>+Table1[[#This Row],[Generation Cost 
LCOE (USD/MWh)]]+Table1[[#This Row],[Transmission Cost
LCOT (USD/MWh)]]</f>
        <v>135.76520608000001</v>
      </c>
    </row>
    <row r="193" spans="1:25" x14ac:dyDescent="0.3">
      <c r="A193" s="7">
        <v>192</v>
      </c>
      <c r="B193" s="8">
        <v>4253</v>
      </c>
      <c r="C193" s="9">
        <v>48.935856000000001</v>
      </c>
      <c r="D193" s="9">
        <v>-116.35487999999999</v>
      </c>
      <c r="E193" s="10" t="s">
        <v>42</v>
      </c>
      <c r="F193" s="10" t="s">
        <v>1</v>
      </c>
      <c r="G193" s="10" t="s">
        <v>10</v>
      </c>
      <c r="H193" s="10">
        <v>-8</v>
      </c>
      <c r="I193" s="11">
        <v>871.1333333</v>
      </c>
      <c r="J193" s="11">
        <v>3.4505672000000001</v>
      </c>
      <c r="K193" s="11" t="str">
        <f>IF(Table1[[#This Row],[Solar 
Resource]]&lt;3,"Low", IF(Table1[[#This Row],[Solar 
Resource]]&lt;4, "Moderate","High"))</f>
        <v>Moderate</v>
      </c>
      <c r="L193" s="11">
        <v>0.98393730000000001</v>
      </c>
      <c r="M193" s="11">
        <v>14.88164392</v>
      </c>
      <c r="N193" s="11">
        <v>477.54525699999999</v>
      </c>
      <c r="O193" s="11">
        <v>639.91068859999996</v>
      </c>
      <c r="P193" s="11">
        <f>Table1[[#This Row],[Installed Capacity 
(AC -MW)]]/Table1[[#This Row],[Installed Capacity 
(DC -MW)]]</f>
        <v>0.74626860514672144</v>
      </c>
      <c r="Q193" s="12">
        <v>0.19803624</v>
      </c>
      <c r="R193" s="12">
        <v>0.14778826</v>
      </c>
      <c r="S193" s="13">
        <v>48.329151850000002</v>
      </c>
      <c r="T193" s="11">
        <v>2.495512986</v>
      </c>
      <c r="U193" s="11">
        <v>445.02016859999998</v>
      </c>
      <c r="V193" s="13">
        <v>1707800.0249999999</v>
      </c>
      <c r="W193" s="13">
        <v>1775338.4</v>
      </c>
      <c r="X193" s="13">
        <v>82.790570000000002</v>
      </c>
      <c r="Y193" s="14">
        <f>+Table1[[#This Row],[Generation Cost 
LCOE (USD/MWh)]]+Table1[[#This Row],[Transmission Cost
LCOT (USD/MWh)]]</f>
        <v>131.11972185000002</v>
      </c>
    </row>
    <row r="194" spans="1:25" x14ac:dyDescent="0.3">
      <c r="A194" s="7">
        <v>193</v>
      </c>
      <c r="B194" s="8">
        <v>4254</v>
      </c>
      <c r="C194" s="9">
        <v>48.956634999999999</v>
      </c>
      <c r="D194" s="9">
        <v>-116.19228</v>
      </c>
      <c r="E194" s="10" t="s">
        <v>42</v>
      </c>
      <c r="F194" s="10" t="s">
        <v>1</v>
      </c>
      <c r="G194" s="10" t="s">
        <v>10</v>
      </c>
      <c r="H194" s="10">
        <v>-8</v>
      </c>
      <c r="I194" s="11">
        <v>1181.5714290000001</v>
      </c>
      <c r="J194" s="11">
        <v>3.4327624000000001</v>
      </c>
      <c r="K194" s="11" t="str">
        <f>IF(Table1[[#This Row],[Solar 
Resource]]&lt;3,"Low", IF(Table1[[#This Row],[Solar 
Resource]]&lt;4, "Moderate","High"))</f>
        <v>Moderate</v>
      </c>
      <c r="L194" s="11">
        <v>0.9840795</v>
      </c>
      <c r="M194" s="11">
        <v>5.5790371580000002</v>
      </c>
      <c r="N194" s="11">
        <v>179.02879189999999</v>
      </c>
      <c r="O194" s="11">
        <v>239.8985978</v>
      </c>
      <c r="P194" s="11">
        <f>Table1[[#This Row],[Installed Capacity 
(AC -MW)]]/Table1[[#This Row],[Installed Capacity 
(DC -MW)]]</f>
        <v>0.74626860490970315</v>
      </c>
      <c r="Q194" s="12">
        <v>0.19856218</v>
      </c>
      <c r="R194" s="12">
        <v>0.14818071999999999</v>
      </c>
      <c r="S194" s="13">
        <v>48.206614879999997</v>
      </c>
      <c r="T194" s="11">
        <v>34.36785063</v>
      </c>
      <c r="U194" s="11">
        <v>455.45222050000001</v>
      </c>
      <c r="V194" s="13">
        <v>1744002.97</v>
      </c>
      <c r="W194" s="13">
        <v>1852102.8</v>
      </c>
      <c r="X194" s="13">
        <v>86.141599999999997</v>
      </c>
      <c r="Y194" s="14">
        <f>+Table1[[#This Row],[Generation Cost 
LCOE (USD/MWh)]]+Table1[[#This Row],[Transmission Cost
LCOT (USD/MWh)]]</f>
        <v>134.34821488</v>
      </c>
    </row>
    <row r="195" spans="1:25" x14ac:dyDescent="0.3">
      <c r="A195" s="7">
        <v>194</v>
      </c>
      <c r="B195" s="8">
        <v>4583</v>
      </c>
      <c r="C195" s="9">
        <v>47.599772999999999</v>
      </c>
      <c r="D195" s="9">
        <v>-124.26582000000001</v>
      </c>
      <c r="E195" s="10" t="s">
        <v>42</v>
      </c>
      <c r="F195" s="10" t="s">
        <v>4</v>
      </c>
      <c r="G195" s="10" t="s">
        <v>21</v>
      </c>
      <c r="H195" s="10">
        <v>-8</v>
      </c>
      <c r="I195" s="11">
        <v>123.0526316</v>
      </c>
      <c r="J195" s="11">
        <v>3.1222759999999998</v>
      </c>
      <c r="K195" s="11" t="str">
        <f>IF(Table1[[#This Row],[Solar 
Resource]]&lt;3,"Low", IF(Table1[[#This Row],[Solar 
Resource]]&lt;4, "Moderate","High"))</f>
        <v>Moderate</v>
      </c>
      <c r="L195" s="11">
        <v>1.0209336</v>
      </c>
      <c r="M195" s="11">
        <v>31.915862839999999</v>
      </c>
      <c r="N195" s="11">
        <v>1024.165677</v>
      </c>
      <c r="O195" s="11">
        <v>1372.382102</v>
      </c>
      <c r="P195" s="11">
        <f>Table1[[#This Row],[Installed Capacity 
(AC -MW)]]/Table1[[#This Row],[Installed Capacity 
(DC -MW)]]</f>
        <v>0.74626860515556326</v>
      </c>
      <c r="Q195" s="12">
        <v>0.18254828000000001</v>
      </c>
      <c r="R195" s="12">
        <v>0.13623008</v>
      </c>
      <c r="S195" s="13">
        <v>53.977763330000002</v>
      </c>
      <c r="T195" s="11">
        <v>50.599376589999999</v>
      </c>
      <c r="U195" s="11">
        <v>264.2096037</v>
      </c>
      <c r="V195" s="13">
        <v>913839.36369999999</v>
      </c>
      <c r="W195" s="13">
        <v>1245241</v>
      </c>
      <c r="X195" s="13">
        <v>62.997030000000002</v>
      </c>
      <c r="Y195" s="14">
        <f>+Table1[[#This Row],[Generation Cost 
LCOE (USD/MWh)]]+Table1[[#This Row],[Transmission Cost
LCOT (USD/MWh)]]</f>
        <v>116.97479333000001</v>
      </c>
    </row>
    <row r="196" spans="1:25" x14ac:dyDescent="0.3">
      <c r="A196" s="7">
        <v>195</v>
      </c>
      <c r="B196" s="8">
        <v>4584</v>
      </c>
      <c r="C196" s="9">
        <v>47.628399999999999</v>
      </c>
      <c r="D196" s="9">
        <v>-124.11046</v>
      </c>
      <c r="E196" s="10" t="s">
        <v>42</v>
      </c>
      <c r="F196" s="10" t="s">
        <v>4</v>
      </c>
      <c r="G196" s="10" t="s">
        <v>21</v>
      </c>
      <c r="H196" s="10">
        <v>-8</v>
      </c>
      <c r="I196" s="11">
        <v>226.8823529</v>
      </c>
      <c r="J196" s="11">
        <v>3.0719816999999998</v>
      </c>
      <c r="K196" s="11" t="str">
        <f>IF(Table1[[#This Row],[Solar 
Resource]]&lt;3,"Low", IF(Table1[[#This Row],[Solar 
Resource]]&lt;4, "Moderate","High"))</f>
        <v>Moderate</v>
      </c>
      <c r="L196" s="11">
        <v>1.0208225</v>
      </c>
      <c r="M196" s="11">
        <v>20.103310109999999</v>
      </c>
      <c r="N196" s="11">
        <v>645.10617520000005</v>
      </c>
      <c r="O196" s="11">
        <v>864.44233459999998</v>
      </c>
      <c r="P196" s="11">
        <f>Table1[[#This Row],[Installed Capacity 
(AC -MW)]]/Table1[[#This Row],[Installed Capacity 
(DC -MW)]]</f>
        <v>0.7462686050637577</v>
      </c>
      <c r="Q196" s="12">
        <v>0.17950292000000001</v>
      </c>
      <c r="R196" s="12">
        <v>0.1339574</v>
      </c>
      <c r="S196" s="13">
        <v>54.88881344</v>
      </c>
      <c r="T196" s="11">
        <v>66.107155800000001</v>
      </c>
      <c r="U196" s="11">
        <v>271.5044479</v>
      </c>
      <c r="V196" s="13">
        <v>949583.45409999997</v>
      </c>
      <c r="W196" s="13">
        <v>1407344.9</v>
      </c>
      <c r="X196" s="13">
        <v>72.405810000000002</v>
      </c>
      <c r="Y196" s="14">
        <f>+Table1[[#This Row],[Generation Cost 
LCOE (USD/MWh)]]+Table1[[#This Row],[Transmission Cost
LCOT (USD/MWh)]]</f>
        <v>127.29462344000001</v>
      </c>
    </row>
    <row r="197" spans="1:25" x14ac:dyDescent="0.3">
      <c r="A197" s="7">
        <v>196</v>
      </c>
      <c r="B197" s="8">
        <v>4585</v>
      </c>
      <c r="C197" s="9">
        <v>47.656869999999998</v>
      </c>
      <c r="D197" s="9">
        <v>-123.95493999999999</v>
      </c>
      <c r="E197" s="10" t="s">
        <v>42</v>
      </c>
      <c r="F197" s="10" t="s">
        <v>4</v>
      </c>
      <c r="G197" s="10" t="s">
        <v>21</v>
      </c>
      <c r="H197" s="10">
        <v>-8</v>
      </c>
      <c r="I197" s="11">
        <v>437.77777780000002</v>
      </c>
      <c r="J197" s="11">
        <v>3.0723009999999999</v>
      </c>
      <c r="K197" s="11" t="str">
        <f>IF(Table1[[#This Row],[Solar 
Resource]]&lt;3,"Low", IF(Table1[[#This Row],[Solar 
Resource]]&lt;4, "Moderate","High"))</f>
        <v>Moderate</v>
      </c>
      <c r="L197" s="11">
        <v>1.0207436000000001</v>
      </c>
      <c r="M197" s="11">
        <v>1.0708200990000001</v>
      </c>
      <c r="N197" s="11">
        <v>34.362135119999998</v>
      </c>
      <c r="O197" s="11">
        <v>46.045264250000002</v>
      </c>
      <c r="P197" s="11">
        <f>Table1[[#This Row],[Installed Capacity 
(AC -MW)]]/Table1[[#This Row],[Installed Capacity 
(DC -MW)]]</f>
        <v>0.74626860502814896</v>
      </c>
      <c r="Q197" s="12">
        <v>0.17786885999999999</v>
      </c>
      <c r="R197" s="12">
        <v>0.13273794999999999</v>
      </c>
      <c r="S197" s="13">
        <v>59.76951553</v>
      </c>
      <c r="T197" s="11">
        <v>80.729279169999998</v>
      </c>
      <c r="U197" s="11">
        <v>271.5044479</v>
      </c>
      <c r="V197" s="13">
        <v>949583.45409999997</v>
      </c>
      <c r="W197" s="13">
        <v>1597426</v>
      </c>
      <c r="X197" s="13">
        <v>82.940219999999997</v>
      </c>
      <c r="Y197" s="14">
        <f>+Table1[[#This Row],[Generation Cost 
LCOE (USD/MWh)]]+Table1[[#This Row],[Transmission Cost
LCOT (USD/MWh)]]</f>
        <v>142.70973552999999</v>
      </c>
    </row>
    <row r="198" spans="1:25" x14ac:dyDescent="0.3">
      <c r="A198" s="7">
        <v>197</v>
      </c>
      <c r="B198" s="8">
        <v>4592</v>
      </c>
      <c r="C198" s="9">
        <v>47.851906</v>
      </c>
      <c r="D198" s="9">
        <v>-122.86196</v>
      </c>
      <c r="E198" s="10" t="s">
        <v>42</v>
      </c>
      <c r="F198" s="10" t="s">
        <v>4</v>
      </c>
      <c r="G198" s="10" t="s">
        <v>21</v>
      </c>
      <c r="H198" s="10">
        <v>-8</v>
      </c>
      <c r="I198" s="11">
        <v>219.30769230000001</v>
      </c>
      <c r="J198" s="11">
        <v>3.1370062999999999</v>
      </c>
      <c r="K198" s="11" t="str">
        <f>IF(Table1[[#This Row],[Solar 
Resource]]&lt;3,"Low", IF(Table1[[#This Row],[Solar 
Resource]]&lt;4, "Moderate","High"))</f>
        <v>Moderate</v>
      </c>
      <c r="L198" s="11">
        <v>1.0209657999999999</v>
      </c>
      <c r="M198" s="11">
        <v>27.642060789999999</v>
      </c>
      <c r="N198" s="11">
        <v>887.02129239999999</v>
      </c>
      <c r="O198" s="11">
        <v>1188.608614</v>
      </c>
      <c r="P198" s="11">
        <f>Table1[[#This Row],[Installed Capacity 
(AC -MW)]]/Table1[[#This Row],[Installed Capacity 
(DC -MW)]]</f>
        <v>0.74626860511714244</v>
      </c>
      <c r="Q198" s="12">
        <v>0.17839774</v>
      </c>
      <c r="R198" s="12">
        <v>0.13313264</v>
      </c>
      <c r="S198" s="13">
        <v>55.234976000000003</v>
      </c>
      <c r="T198" s="11">
        <v>0.68911688199999999</v>
      </c>
      <c r="U198" s="11">
        <v>259.5776687</v>
      </c>
      <c r="V198" s="13">
        <v>862702.61089999997</v>
      </c>
      <c r="W198" s="13">
        <v>907589.6</v>
      </c>
      <c r="X198" s="13">
        <v>46.983414000000003</v>
      </c>
      <c r="Y198" s="14">
        <f>+Table1[[#This Row],[Generation Cost 
LCOE (USD/MWh)]]+Table1[[#This Row],[Transmission Cost
LCOT (USD/MWh)]]</f>
        <v>102.21839</v>
      </c>
    </row>
    <row r="199" spans="1:25" x14ac:dyDescent="0.3">
      <c r="A199" s="7">
        <v>198</v>
      </c>
      <c r="B199" s="8">
        <v>4593</v>
      </c>
      <c r="C199" s="9">
        <v>47.879157999999997</v>
      </c>
      <c r="D199" s="9">
        <v>-122.705215</v>
      </c>
      <c r="E199" s="10" t="s">
        <v>42</v>
      </c>
      <c r="F199" s="10" t="s">
        <v>4</v>
      </c>
      <c r="G199" s="10" t="s">
        <v>21</v>
      </c>
      <c r="H199" s="10">
        <v>-8</v>
      </c>
      <c r="I199" s="11">
        <v>109.7333333</v>
      </c>
      <c r="J199" s="11">
        <v>3.1952372000000002</v>
      </c>
      <c r="K199" s="11" t="str">
        <f>IF(Table1[[#This Row],[Solar 
Resource]]&lt;3,"Low", IF(Table1[[#This Row],[Solar 
Resource]]&lt;4, "Moderate","High"))</f>
        <v>Moderate</v>
      </c>
      <c r="L199" s="11">
        <v>1.0210066</v>
      </c>
      <c r="M199" s="11">
        <v>45.179529789999997</v>
      </c>
      <c r="N199" s="11">
        <v>1449.7909529999999</v>
      </c>
      <c r="O199" s="11">
        <v>1942.719781</v>
      </c>
      <c r="P199" s="11">
        <f>Table1[[#This Row],[Installed Capacity 
(AC -MW)]]/Table1[[#This Row],[Installed Capacity 
(DC -MW)]]</f>
        <v>0.74626869360115911</v>
      </c>
      <c r="Q199" s="12">
        <v>0.18107570000000001</v>
      </c>
      <c r="R199" s="12">
        <v>0.13513114000000001</v>
      </c>
      <c r="S199" s="13">
        <v>54.419821409999997</v>
      </c>
      <c r="T199" s="11">
        <v>7.5264675299999997</v>
      </c>
      <c r="U199" s="11">
        <v>302.78315559999999</v>
      </c>
      <c r="V199" s="13">
        <v>1033069.655</v>
      </c>
      <c r="W199" s="13">
        <v>1116991.8</v>
      </c>
      <c r="X199" s="13">
        <v>56.968426000000001</v>
      </c>
      <c r="Y199" s="14">
        <f>+Table1[[#This Row],[Generation Cost 
LCOE (USD/MWh)]]+Table1[[#This Row],[Transmission Cost
LCOT (USD/MWh)]]</f>
        <v>111.38824740999999</v>
      </c>
    </row>
    <row r="200" spans="1:25" x14ac:dyDescent="0.3">
      <c r="A200" s="7">
        <v>199</v>
      </c>
      <c r="B200" s="8">
        <v>4594</v>
      </c>
      <c r="C200" s="9">
        <v>47.906253999999997</v>
      </c>
      <c r="D200" s="9">
        <v>-122.54831</v>
      </c>
      <c r="E200" s="10" t="s">
        <v>42</v>
      </c>
      <c r="F200" s="10" t="s">
        <v>4</v>
      </c>
      <c r="G200" s="10" t="s">
        <v>23</v>
      </c>
      <c r="H200" s="10">
        <v>-8</v>
      </c>
      <c r="I200" s="11">
        <v>35.666666669999998</v>
      </c>
      <c r="J200" s="11">
        <v>3.2759046999999999</v>
      </c>
      <c r="K200" s="11" t="str">
        <f>IF(Table1[[#This Row],[Solar 
Resource]]&lt;3,"Low", IF(Table1[[#This Row],[Solar 
Resource]]&lt;4, "Moderate","High"))</f>
        <v>Moderate</v>
      </c>
      <c r="L200" s="11">
        <v>1.0210718999999999</v>
      </c>
      <c r="M200" s="11">
        <v>8.783154712</v>
      </c>
      <c r="N200" s="11">
        <v>281.84748239999999</v>
      </c>
      <c r="O200" s="11">
        <v>377.67565259999998</v>
      </c>
      <c r="P200" s="11">
        <f>Table1[[#This Row],[Installed Capacity 
(AC -MW)]]/Table1[[#This Row],[Installed Capacity 
(DC -MW)]]</f>
        <v>0.74626860497811187</v>
      </c>
      <c r="Q200" s="12">
        <v>0.18457520999999999</v>
      </c>
      <c r="R200" s="12">
        <v>0.13774270999999999</v>
      </c>
      <c r="S200" s="13">
        <v>53.390718450000001</v>
      </c>
      <c r="T200" s="11">
        <v>14.25307791</v>
      </c>
      <c r="U200" s="11">
        <v>266.88466219999998</v>
      </c>
      <c r="V200" s="13">
        <v>928459.65139999997</v>
      </c>
      <c r="W200" s="13">
        <v>1012873.25</v>
      </c>
      <c r="X200" s="13">
        <v>50.678775999999999</v>
      </c>
      <c r="Y200" s="14">
        <f>+Table1[[#This Row],[Generation Cost 
LCOE (USD/MWh)]]+Table1[[#This Row],[Transmission Cost
LCOT (USD/MWh)]]</f>
        <v>104.06949445000001</v>
      </c>
    </row>
    <row r="201" spans="1:25" x14ac:dyDescent="0.3">
      <c r="A201" s="7">
        <v>200</v>
      </c>
      <c r="B201" s="8">
        <v>4595</v>
      </c>
      <c r="C201" s="9">
        <v>47.933193000000003</v>
      </c>
      <c r="D201" s="9">
        <v>-122.391266</v>
      </c>
      <c r="E201" s="10" t="s">
        <v>42</v>
      </c>
      <c r="F201" s="10" t="s">
        <v>4</v>
      </c>
      <c r="G201" s="10" t="s">
        <v>20</v>
      </c>
      <c r="H201" s="10">
        <v>-8</v>
      </c>
      <c r="I201" s="11">
        <v>83.833333330000002</v>
      </c>
      <c r="J201" s="11">
        <v>3.26953</v>
      </c>
      <c r="K201" s="11" t="str">
        <f>IF(Table1[[#This Row],[Solar 
Resource]]&lt;3,"Low", IF(Table1[[#This Row],[Solar 
Resource]]&lt;4, "Moderate","High"))</f>
        <v>Moderate</v>
      </c>
      <c r="L201" s="11">
        <v>1.0210277999999999</v>
      </c>
      <c r="M201" s="11">
        <v>10.14225205</v>
      </c>
      <c r="N201" s="11">
        <v>325.46034320000001</v>
      </c>
      <c r="O201" s="11">
        <v>436.11683820000002</v>
      </c>
      <c r="P201" s="11">
        <f>Table1[[#This Row],[Installed Capacity 
(AC -MW)]]/Table1[[#This Row],[Installed Capacity 
(DC -MW)]]</f>
        <v>0.7462686938282036</v>
      </c>
      <c r="Q201" s="12">
        <v>0.18471870000000001</v>
      </c>
      <c r="R201" s="12">
        <v>0.13784978000000001</v>
      </c>
      <c r="S201" s="13">
        <v>53.347444119999999</v>
      </c>
      <c r="T201" s="11">
        <v>15.69947402</v>
      </c>
      <c r="U201" s="11">
        <v>246.38850629999999</v>
      </c>
      <c r="V201" s="13">
        <v>981662.51260000002</v>
      </c>
      <c r="W201" s="13">
        <v>1033417.8</v>
      </c>
      <c r="X201" s="13">
        <v>51.666556999999997</v>
      </c>
      <c r="Y201" s="14">
        <f>+Table1[[#This Row],[Generation Cost 
LCOE (USD/MWh)]]+Table1[[#This Row],[Transmission Cost
LCOT (USD/MWh)]]</f>
        <v>105.01400111999999</v>
      </c>
    </row>
    <row r="202" spans="1:25" x14ac:dyDescent="0.3">
      <c r="A202" s="7">
        <v>201</v>
      </c>
      <c r="B202" s="8">
        <v>4596</v>
      </c>
      <c r="C202" s="9">
        <v>47.959975999999997</v>
      </c>
      <c r="D202" s="9">
        <v>-122.23407</v>
      </c>
      <c r="E202" s="10" t="s">
        <v>42</v>
      </c>
      <c r="F202" s="10" t="s">
        <v>4</v>
      </c>
      <c r="G202" s="10" t="s">
        <v>35</v>
      </c>
      <c r="H202" s="10">
        <v>-8</v>
      </c>
      <c r="I202" s="11">
        <v>74</v>
      </c>
      <c r="J202" s="11">
        <v>3.2258740000000001</v>
      </c>
      <c r="K202" s="11" t="str">
        <f>IF(Table1[[#This Row],[Solar 
Resource]]&lt;3,"Low", IF(Table1[[#This Row],[Solar 
Resource]]&lt;4, "Moderate","High"))</f>
        <v>Moderate</v>
      </c>
      <c r="L202" s="11">
        <v>1.0209505999999999</v>
      </c>
      <c r="M202" s="11">
        <v>7.9904878420000003</v>
      </c>
      <c r="N202" s="11">
        <v>256.41115930000001</v>
      </c>
      <c r="O202" s="11">
        <v>343.5909772</v>
      </c>
      <c r="P202" s="11">
        <f>Table1[[#This Row],[Installed Capacity 
(AC -MW)]]/Table1[[#This Row],[Installed Capacity 
(DC -MW)]]</f>
        <v>0.74626860515823812</v>
      </c>
      <c r="Q202" s="12">
        <v>0.18209877999999999</v>
      </c>
      <c r="R202" s="12">
        <v>0.13589461</v>
      </c>
      <c r="S202" s="13">
        <v>54.111717970000001</v>
      </c>
      <c r="T202" s="11">
        <v>1.558233765</v>
      </c>
      <c r="U202" s="11">
        <v>57.003266199999999</v>
      </c>
      <c r="V202" s="13">
        <v>218399.91680000001</v>
      </c>
      <c r="W202" s="13">
        <v>252927.34</v>
      </c>
      <c r="X202" s="13">
        <v>12.827237999999999</v>
      </c>
      <c r="Y202" s="14">
        <f>+Table1[[#This Row],[Generation Cost 
LCOE (USD/MWh)]]+Table1[[#This Row],[Transmission Cost
LCOT (USD/MWh)]]</f>
        <v>66.938955969999995</v>
      </c>
    </row>
    <row r="203" spans="1:25" x14ac:dyDescent="0.3">
      <c r="A203" s="7">
        <v>202</v>
      </c>
      <c r="B203" s="8">
        <v>4597</v>
      </c>
      <c r="C203" s="9">
        <v>47.986606999999999</v>
      </c>
      <c r="D203" s="9">
        <v>-122.07671999999999</v>
      </c>
      <c r="E203" s="10" t="s">
        <v>42</v>
      </c>
      <c r="F203" s="10" t="s">
        <v>4</v>
      </c>
      <c r="G203" s="10" t="s">
        <v>35</v>
      </c>
      <c r="H203" s="10">
        <v>-8</v>
      </c>
      <c r="I203" s="11">
        <v>90.944444439999998</v>
      </c>
      <c r="J203" s="11">
        <v>3.0700417</v>
      </c>
      <c r="K203" s="11" t="str">
        <f>IF(Table1[[#This Row],[Solar 
Resource]]&lt;3,"Low", IF(Table1[[#This Row],[Solar 
Resource]]&lt;4, "Moderate","High"))</f>
        <v>Moderate</v>
      </c>
      <c r="L203" s="11">
        <v>1.0206436999999999</v>
      </c>
      <c r="M203" s="11">
        <v>16.145567249999999</v>
      </c>
      <c r="N203" s="11">
        <v>518.10404940000001</v>
      </c>
      <c r="O203" s="11">
        <v>694.25939170000004</v>
      </c>
      <c r="P203" s="11">
        <f>Table1[[#This Row],[Installed Capacity 
(AC -MW)]]/Table1[[#This Row],[Installed Capacity 
(DC -MW)]]</f>
        <v>0.74626869379662719</v>
      </c>
      <c r="Q203" s="12">
        <v>0.17235771</v>
      </c>
      <c r="R203" s="12">
        <v>0.12862517000000001</v>
      </c>
      <c r="S203" s="13">
        <v>57.156332290000002</v>
      </c>
      <c r="T203" s="11">
        <v>2.1355129860000002</v>
      </c>
      <c r="U203" s="11">
        <v>60.555389570000003</v>
      </c>
      <c r="V203" s="13">
        <v>224944.39439999999</v>
      </c>
      <c r="W203" s="13">
        <v>265126.06</v>
      </c>
      <c r="X203" s="13">
        <v>14.205812999999999</v>
      </c>
      <c r="Y203" s="14">
        <f>+Table1[[#This Row],[Generation Cost 
LCOE (USD/MWh)]]+Table1[[#This Row],[Transmission Cost
LCOT (USD/MWh)]]</f>
        <v>71.362145290000001</v>
      </c>
    </row>
    <row r="204" spans="1:25" x14ac:dyDescent="0.3">
      <c r="A204" s="7">
        <v>203</v>
      </c>
      <c r="B204" s="8">
        <v>4598</v>
      </c>
      <c r="C204" s="9">
        <v>48.013080000000002</v>
      </c>
      <c r="D204" s="9">
        <v>-121.919235</v>
      </c>
      <c r="E204" s="10" t="s">
        <v>42</v>
      </c>
      <c r="F204" s="10" t="s">
        <v>4</v>
      </c>
      <c r="G204" s="10" t="s">
        <v>35</v>
      </c>
      <c r="H204" s="10">
        <v>-8</v>
      </c>
      <c r="I204" s="11">
        <v>252.52941179999999</v>
      </c>
      <c r="J204" s="11">
        <v>2.9982506999999998</v>
      </c>
      <c r="K204" s="11" t="str">
        <f>IF(Table1[[#This Row],[Solar 
Resource]]&lt;3,"Low", IF(Table1[[#This Row],[Solar 
Resource]]&lt;4, "Moderate","High"))</f>
        <v>Low</v>
      </c>
      <c r="L204" s="11">
        <v>1.0199429</v>
      </c>
      <c r="M204" s="11">
        <v>38.527650000000001</v>
      </c>
      <c r="N204" s="11">
        <v>1236.3349519999999</v>
      </c>
      <c r="O204" s="11">
        <v>1656.68895</v>
      </c>
      <c r="P204" s="11">
        <f>Table1[[#This Row],[Installed Capacity 
(AC -MW)]]/Table1[[#This Row],[Installed Capacity 
(DC -MW)]]</f>
        <v>0.74626860522006855</v>
      </c>
      <c r="Q204" s="12">
        <v>0.16898762000000001</v>
      </c>
      <c r="R204" s="12">
        <v>0.12611016999999999</v>
      </c>
      <c r="S204" s="13">
        <v>58.26450329</v>
      </c>
      <c r="T204" s="11">
        <v>11.02477272</v>
      </c>
      <c r="U204" s="11">
        <v>87.706701240000001</v>
      </c>
      <c r="V204" s="13">
        <v>318105.04729999998</v>
      </c>
      <c r="W204" s="13">
        <v>426695.16</v>
      </c>
      <c r="X204" s="13">
        <v>23.318854999999999</v>
      </c>
      <c r="Y204" s="14">
        <f>+Table1[[#This Row],[Generation Cost 
LCOE (USD/MWh)]]+Table1[[#This Row],[Transmission Cost
LCOT (USD/MWh)]]</f>
        <v>81.583358290000007</v>
      </c>
    </row>
    <row r="205" spans="1:25" x14ac:dyDescent="0.3">
      <c r="A205" s="7">
        <v>204</v>
      </c>
      <c r="B205" s="8">
        <v>4599</v>
      </c>
      <c r="C205" s="9">
        <v>48.039402000000003</v>
      </c>
      <c r="D205" s="9">
        <v>-121.7616</v>
      </c>
      <c r="E205" s="10" t="s">
        <v>42</v>
      </c>
      <c r="F205" s="10" t="s">
        <v>4</v>
      </c>
      <c r="G205" s="10" t="s">
        <v>35</v>
      </c>
      <c r="H205" s="10">
        <v>-8</v>
      </c>
      <c r="I205" s="11">
        <v>506.25</v>
      </c>
      <c r="J205" s="11">
        <v>2.9104085</v>
      </c>
      <c r="K205" s="11" t="str">
        <f>IF(Table1[[#This Row],[Solar 
Resource]]&lt;3,"Low", IF(Table1[[#This Row],[Solar 
Resource]]&lt;4, "Moderate","High"))</f>
        <v>Low</v>
      </c>
      <c r="L205" s="11">
        <v>1.0194692999999999</v>
      </c>
      <c r="M205" s="11">
        <v>8.0737560790000007</v>
      </c>
      <c r="N205" s="11">
        <v>259.08319949999998</v>
      </c>
      <c r="O205" s="11">
        <v>347.17151139999999</v>
      </c>
      <c r="P205" s="11">
        <f>Table1[[#This Row],[Installed Capacity 
(AC -MW)]]/Table1[[#This Row],[Installed Capacity 
(DC -MW)]]</f>
        <v>0.74626860497632408</v>
      </c>
      <c r="Q205" s="12">
        <v>0.16500422000000001</v>
      </c>
      <c r="R205" s="12">
        <v>0.12313747999999999</v>
      </c>
      <c r="S205" s="13">
        <v>59.649151580000002</v>
      </c>
      <c r="T205" s="11">
        <v>18.819688299999999</v>
      </c>
      <c r="U205" s="11">
        <v>87.706701240000001</v>
      </c>
      <c r="V205" s="13">
        <v>318105.04729999998</v>
      </c>
      <c r="W205" s="13">
        <v>505337.22</v>
      </c>
      <c r="X205" s="13">
        <v>28.283337</v>
      </c>
      <c r="Y205" s="14">
        <f>+Table1[[#This Row],[Generation Cost 
LCOE (USD/MWh)]]+Table1[[#This Row],[Transmission Cost
LCOT (USD/MWh)]]</f>
        <v>87.932488579999998</v>
      </c>
    </row>
    <row r="206" spans="1:25" x14ac:dyDescent="0.3">
      <c r="A206" s="7">
        <v>205</v>
      </c>
      <c r="B206" s="8">
        <v>4600</v>
      </c>
      <c r="C206" s="9">
        <v>48.065562999999997</v>
      </c>
      <c r="D206" s="9">
        <v>-121.60381</v>
      </c>
      <c r="E206" s="10" t="s">
        <v>42</v>
      </c>
      <c r="F206" s="10" t="s">
        <v>4</v>
      </c>
      <c r="G206" s="10" t="s">
        <v>35</v>
      </c>
      <c r="H206" s="10">
        <v>-8</v>
      </c>
      <c r="I206" s="11">
        <v>882</v>
      </c>
      <c r="J206" s="11">
        <v>2.9612498</v>
      </c>
      <c r="K206" s="11" t="str">
        <f>IF(Table1[[#This Row],[Solar 
Resource]]&lt;3,"Low", IF(Table1[[#This Row],[Solar 
Resource]]&lt;4, "Moderate","High"))</f>
        <v>Low</v>
      </c>
      <c r="L206" s="11">
        <v>1.0191376999999999</v>
      </c>
      <c r="M206" s="11">
        <v>0.16977599299999999</v>
      </c>
      <c r="N206" s="11">
        <v>5.4480352060000001</v>
      </c>
      <c r="O206" s="11">
        <v>7.300367681</v>
      </c>
      <c r="P206" s="11">
        <f>Table1[[#This Row],[Installed Capacity 
(AC -MW)]]/Table1[[#This Row],[Installed Capacity 
(DC -MW)]]</f>
        <v>0.74626860509767245</v>
      </c>
      <c r="Q206" s="12">
        <v>0.16943921000000001</v>
      </c>
      <c r="R206" s="12">
        <v>0.12644717</v>
      </c>
      <c r="S206" s="13">
        <v>76.869252779999997</v>
      </c>
      <c r="T206" s="11">
        <v>26.461740240000001</v>
      </c>
      <c r="U206" s="11">
        <v>85.974409019999996</v>
      </c>
      <c r="V206" s="13">
        <v>318616.24699999997</v>
      </c>
      <c r="W206" s="13">
        <v>638561.75</v>
      </c>
      <c r="X206" s="13">
        <v>34.804340000000003</v>
      </c>
      <c r="Y206" s="14">
        <f>+Table1[[#This Row],[Generation Cost 
LCOE (USD/MWh)]]+Table1[[#This Row],[Transmission Cost
LCOT (USD/MWh)]]</f>
        <v>111.67359278000001</v>
      </c>
    </row>
    <row r="207" spans="1:25" x14ac:dyDescent="0.3">
      <c r="A207" s="7">
        <v>206</v>
      </c>
      <c r="B207" s="8">
        <v>4606</v>
      </c>
      <c r="C207" s="9">
        <v>48.219265</v>
      </c>
      <c r="D207" s="9">
        <v>-120.65407</v>
      </c>
      <c r="E207" s="10" t="s">
        <v>42</v>
      </c>
      <c r="F207" s="10" t="s">
        <v>4</v>
      </c>
      <c r="G207" s="10" t="s">
        <v>11</v>
      </c>
      <c r="H207" s="10">
        <v>-8</v>
      </c>
      <c r="I207" s="11">
        <v>651</v>
      </c>
      <c r="J207" s="11">
        <v>3.7040000000000002</v>
      </c>
      <c r="K207" s="11" t="str">
        <f>IF(Table1[[#This Row],[Solar 
Resource]]&lt;3,"Low", IF(Table1[[#This Row],[Solar 
Resource]]&lt;4, "Moderate","High"))</f>
        <v>Moderate</v>
      </c>
      <c r="L207" s="11">
        <v>1.0109162</v>
      </c>
      <c r="M207" s="11">
        <v>7.4520000000000003E-3</v>
      </c>
      <c r="N207" s="11">
        <v>0.23913135999999999</v>
      </c>
      <c r="O207" s="11">
        <v>0.320436006</v>
      </c>
      <c r="P207" s="11">
        <f>Table1[[#This Row],[Installed Capacity 
(AC -MW)]]/Table1[[#This Row],[Installed Capacity 
(DC -MW)]]</f>
        <v>0.74626869491064618</v>
      </c>
      <c r="Q207" s="12">
        <v>0.21613899</v>
      </c>
      <c r="R207" s="12">
        <v>0.16129772000000001</v>
      </c>
      <c r="S207" s="13">
        <v>86.164248889999996</v>
      </c>
      <c r="T207" s="11">
        <v>121.87820120000001</v>
      </c>
      <c r="U207" s="11">
        <v>225.56872060000001</v>
      </c>
      <c r="V207" s="13">
        <v>719988.08360000001</v>
      </c>
      <c r="W207" s="13">
        <v>1730479.1</v>
      </c>
      <c r="X207" s="13">
        <v>73.939700000000002</v>
      </c>
      <c r="Y207" s="14">
        <f>+Table1[[#This Row],[Generation Cost 
LCOE (USD/MWh)]]+Table1[[#This Row],[Transmission Cost
LCOT (USD/MWh)]]</f>
        <v>160.10394889</v>
      </c>
    </row>
    <row r="208" spans="1:25" x14ac:dyDescent="0.3">
      <c r="A208" s="7">
        <v>207</v>
      </c>
      <c r="B208" s="8">
        <v>4608</v>
      </c>
      <c r="C208" s="9">
        <v>48.269240000000003</v>
      </c>
      <c r="D208" s="9">
        <v>-120.33635</v>
      </c>
      <c r="E208" s="10" t="s">
        <v>42</v>
      </c>
      <c r="F208" s="10" t="s">
        <v>4</v>
      </c>
      <c r="G208" s="10" t="s">
        <v>29</v>
      </c>
      <c r="H208" s="10">
        <v>-8</v>
      </c>
      <c r="I208" s="11">
        <v>1232.666667</v>
      </c>
      <c r="J208" s="11">
        <v>3.8108719999999998</v>
      </c>
      <c r="K208" s="11" t="str">
        <f>IF(Table1[[#This Row],[Solar 
Resource]]&lt;3,"Low", IF(Table1[[#This Row],[Solar 
Resource]]&lt;4, "Moderate","High"))</f>
        <v>Moderate</v>
      </c>
      <c r="L208" s="11">
        <v>1.0073265</v>
      </c>
      <c r="M208" s="11">
        <v>0.24138000900000001</v>
      </c>
      <c r="N208" s="11">
        <v>7.7457758810000001</v>
      </c>
      <c r="O208" s="11">
        <v>10.3793404</v>
      </c>
      <c r="P208" s="11">
        <f>Table1[[#This Row],[Installed Capacity 
(AC -MW)]]/Table1[[#This Row],[Installed Capacity 
(DC -MW)]]</f>
        <v>0.74626860498765413</v>
      </c>
      <c r="Q208" s="12">
        <v>0.22969484000000001</v>
      </c>
      <c r="R208" s="12">
        <v>0.17141408</v>
      </c>
      <c r="S208" s="13">
        <v>53.968468860000002</v>
      </c>
      <c r="T208" s="11">
        <v>25.281597390000002</v>
      </c>
      <c r="U208" s="11">
        <v>224.81144140000001</v>
      </c>
      <c r="V208" s="13">
        <v>717372.23459999997</v>
      </c>
      <c r="W208" s="13">
        <v>929879.2</v>
      </c>
      <c r="X208" s="13">
        <v>37.386920000000003</v>
      </c>
      <c r="Y208" s="14">
        <f>+Table1[[#This Row],[Generation Cost 
LCOE (USD/MWh)]]+Table1[[#This Row],[Transmission Cost
LCOT (USD/MWh)]]</f>
        <v>91.355388860000005</v>
      </c>
    </row>
    <row r="209" spans="1:25" x14ac:dyDescent="0.3">
      <c r="A209" s="7">
        <v>208</v>
      </c>
      <c r="B209" s="8">
        <v>4609</v>
      </c>
      <c r="C209" s="9">
        <v>48.293995000000002</v>
      </c>
      <c r="D209" s="9">
        <v>-120.17728</v>
      </c>
      <c r="E209" s="10" t="s">
        <v>42</v>
      </c>
      <c r="F209" s="10" t="s">
        <v>4</v>
      </c>
      <c r="G209" s="10" t="s">
        <v>29</v>
      </c>
      <c r="H209" s="10">
        <v>-8</v>
      </c>
      <c r="I209" s="11">
        <v>923.125</v>
      </c>
      <c r="J209" s="11">
        <v>3.8270970000000002</v>
      </c>
      <c r="K209" s="11" t="str">
        <f>IF(Table1[[#This Row],[Solar 
Resource]]&lt;3,"Low", IF(Table1[[#This Row],[Solar 
Resource]]&lt;4, "Moderate","High"))</f>
        <v>Moderate</v>
      </c>
      <c r="L209" s="11">
        <v>1.0052949</v>
      </c>
      <c r="M209" s="11">
        <v>1.8660780400000001</v>
      </c>
      <c r="N209" s="11">
        <v>59.881604590000002</v>
      </c>
      <c r="O209" s="11">
        <v>80.2413557</v>
      </c>
      <c r="P209" s="11">
        <f>Table1[[#This Row],[Installed Capacity 
(AC -MW)]]/Table1[[#This Row],[Installed Capacity 
(DC -MW)]]</f>
        <v>0.74626860510533477</v>
      </c>
      <c r="Q209" s="12">
        <v>0.22939356999999999</v>
      </c>
      <c r="R209" s="12">
        <v>0.17118923</v>
      </c>
      <c r="S209" s="13">
        <v>43.128089369999998</v>
      </c>
      <c r="T209" s="11">
        <v>11.26124025</v>
      </c>
      <c r="U209" s="11">
        <v>224.81144140000001</v>
      </c>
      <c r="V209" s="13">
        <v>717372.23459999997</v>
      </c>
      <c r="W209" s="13">
        <v>825902.75</v>
      </c>
      <c r="X209" s="13">
        <v>33.250033999999999</v>
      </c>
      <c r="Y209" s="14">
        <f>+Table1[[#This Row],[Generation Cost 
LCOE (USD/MWh)]]+Table1[[#This Row],[Transmission Cost
LCOT (USD/MWh)]]</f>
        <v>76.378123369999997</v>
      </c>
    </row>
    <row r="210" spans="1:25" x14ac:dyDescent="0.3">
      <c r="A210" s="7">
        <v>209</v>
      </c>
      <c r="B210" s="8">
        <v>4610</v>
      </c>
      <c r="C210" s="9">
        <v>48.318592000000002</v>
      </c>
      <c r="D210" s="9">
        <v>-120.01806999999999</v>
      </c>
      <c r="E210" s="10" t="s">
        <v>42</v>
      </c>
      <c r="F210" s="10" t="s">
        <v>4</v>
      </c>
      <c r="G210" s="10" t="s">
        <v>29</v>
      </c>
      <c r="H210" s="10">
        <v>-8</v>
      </c>
      <c r="I210" s="11">
        <v>782.5625</v>
      </c>
      <c r="J210" s="11">
        <v>3.8431004999999998</v>
      </c>
      <c r="K210" s="11" t="str">
        <f>IF(Table1[[#This Row],[Solar 
Resource]]&lt;3,"Low", IF(Table1[[#This Row],[Solar 
Resource]]&lt;4, "Moderate","High"))</f>
        <v>Moderate</v>
      </c>
      <c r="L210" s="11">
        <v>1.0035080999999999</v>
      </c>
      <c r="M210" s="11">
        <v>6.3520196039999997</v>
      </c>
      <c r="N210" s="11">
        <v>203.83345080000001</v>
      </c>
      <c r="O210" s="11">
        <v>273.136843</v>
      </c>
      <c r="P210" s="11">
        <f>Table1[[#This Row],[Installed Capacity 
(AC -MW)]]/Table1[[#This Row],[Installed Capacity 
(DC -MW)]]</f>
        <v>0.74626860500104708</v>
      </c>
      <c r="Q210" s="12">
        <v>0.2287729</v>
      </c>
      <c r="R210" s="12">
        <v>0.17072603</v>
      </c>
      <c r="S210" s="13">
        <v>42.489443280000003</v>
      </c>
      <c r="T210" s="11">
        <v>7.828448045</v>
      </c>
      <c r="U210" s="11">
        <v>224.81144140000001</v>
      </c>
      <c r="V210" s="13">
        <v>717372.23459999997</v>
      </c>
      <c r="W210" s="13">
        <v>788998.44</v>
      </c>
      <c r="X210" s="13">
        <v>31.850480999999998</v>
      </c>
      <c r="Y210" s="14">
        <f>+Table1[[#This Row],[Generation Cost 
LCOE (USD/MWh)]]+Table1[[#This Row],[Transmission Cost
LCOT (USD/MWh)]]</f>
        <v>74.339924280000005</v>
      </c>
    </row>
    <row r="211" spans="1:25" x14ac:dyDescent="0.3">
      <c r="A211" s="7">
        <v>210</v>
      </c>
      <c r="B211" s="8">
        <v>4611</v>
      </c>
      <c r="C211" s="9">
        <v>48.343024999999997</v>
      </c>
      <c r="D211" s="9">
        <v>-119.85872000000001</v>
      </c>
      <c r="E211" s="10" t="s">
        <v>42</v>
      </c>
      <c r="F211" s="10" t="s">
        <v>4</v>
      </c>
      <c r="G211" s="10" t="s">
        <v>29</v>
      </c>
      <c r="H211" s="10">
        <v>-8</v>
      </c>
      <c r="I211" s="11">
        <v>1046.882353</v>
      </c>
      <c r="J211" s="11">
        <v>3.8586597</v>
      </c>
      <c r="K211" s="11" t="str">
        <f>IF(Table1[[#This Row],[Solar 
Resource]]&lt;3,"Low", IF(Table1[[#This Row],[Solar 
Resource]]&lt;4, "Moderate","High"))</f>
        <v>Moderate</v>
      </c>
      <c r="L211" s="11">
        <v>1.0013947000000001</v>
      </c>
      <c r="M211" s="11">
        <v>23.507010789999999</v>
      </c>
      <c r="N211" s="11">
        <v>754.3293089</v>
      </c>
      <c r="O211" s="11">
        <v>1010.801464</v>
      </c>
      <c r="P211" s="11">
        <f>Table1[[#This Row],[Installed Capacity 
(AC -MW)]]/Table1[[#This Row],[Installed Capacity 
(DC -MW)]]</f>
        <v>0.74626851638592406</v>
      </c>
      <c r="Q211" s="12">
        <v>0.23351948</v>
      </c>
      <c r="R211" s="12">
        <v>0.17426826000000001</v>
      </c>
      <c r="S211" s="13">
        <v>41.55664968</v>
      </c>
      <c r="T211" s="11">
        <v>8.2720519419999992</v>
      </c>
      <c r="U211" s="11">
        <v>200.7035908</v>
      </c>
      <c r="V211" s="13">
        <v>589909.75809999998</v>
      </c>
      <c r="W211" s="13">
        <v>707180.94</v>
      </c>
      <c r="X211" s="13">
        <v>27.967383999999999</v>
      </c>
      <c r="Y211" s="14">
        <f>+Table1[[#This Row],[Generation Cost 
LCOE (USD/MWh)]]+Table1[[#This Row],[Transmission Cost
LCOT (USD/MWh)]]</f>
        <v>69.524033680000002</v>
      </c>
    </row>
    <row r="212" spans="1:25" x14ac:dyDescent="0.3">
      <c r="A212" s="7">
        <v>211</v>
      </c>
      <c r="B212" s="8">
        <v>4612</v>
      </c>
      <c r="C212" s="9">
        <v>48.367305999999999</v>
      </c>
      <c r="D212" s="9">
        <v>-119.699234</v>
      </c>
      <c r="E212" s="10" t="s">
        <v>42</v>
      </c>
      <c r="F212" s="10" t="s">
        <v>4</v>
      </c>
      <c r="G212" s="10" t="s">
        <v>29</v>
      </c>
      <c r="H212" s="10">
        <v>-8</v>
      </c>
      <c r="I212" s="11">
        <v>714.1875</v>
      </c>
      <c r="J212" s="11">
        <v>3.848678</v>
      </c>
      <c r="K212" s="11" t="str">
        <f>IF(Table1[[#This Row],[Solar 
Resource]]&lt;3,"Low", IF(Table1[[#This Row],[Solar 
Resource]]&lt;4, "Moderate","High"))</f>
        <v>Moderate</v>
      </c>
      <c r="L212" s="11">
        <v>0.99941444000000002</v>
      </c>
      <c r="M212" s="11">
        <v>12.11573617</v>
      </c>
      <c r="N212" s="11">
        <v>388.788568</v>
      </c>
      <c r="O212" s="11">
        <v>520.97665529999995</v>
      </c>
      <c r="P212" s="11">
        <f>Table1[[#This Row],[Installed Capacity 
(AC -MW)]]/Table1[[#This Row],[Installed Capacity 
(DC -MW)]]</f>
        <v>0.74626869370206128</v>
      </c>
      <c r="Q212" s="12">
        <v>0.23088040000000001</v>
      </c>
      <c r="R212" s="12">
        <v>0.1722988</v>
      </c>
      <c r="S212" s="13">
        <v>41.966141530000002</v>
      </c>
      <c r="T212" s="11">
        <v>1.0709545439999999</v>
      </c>
      <c r="U212" s="11">
        <v>193.7751427</v>
      </c>
      <c r="V212" s="13">
        <v>561470.04390000005</v>
      </c>
      <c r="W212" s="13">
        <v>607579.43999999994</v>
      </c>
      <c r="X212" s="13">
        <v>24.30303</v>
      </c>
      <c r="Y212" s="14">
        <f>+Table1[[#This Row],[Generation Cost 
LCOE (USD/MWh)]]+Table1[[#This Row],[Transmission Cost
LCOT (USD/MWh)]]</f>
        <v>66.269171529999994</v>
      </c>
    </row>
    <row r="213" spans="1:25" x14ac:dyDescent="0.3">
      <c r="A213" s="7">
        <v>212</v>
      </c>
      <c r="B213" s="8">
        <v>4613</v>
      </c>
      <c r="C213" s="9">
        <v>48.391426000000003</v>
      </c>
      <c r="D213" s="9">
        <v>-119.53961</v>
      </c>
      <c r="E213" s="10" t="s">
        <v>42</v>
      </c>
      <c r="F213" s="10" t="s">
        <v>4</v>
      </c>
      <c r="G213" s="10" t="s">
        <v>29</v>
      </c>
      <c r="H213" s="10">
        <v>-8</v>
      </c>
      <c r="I213" s="11">
        <v>470.55555559999999</v>
      </c>
      <c r="J213" s="11">
        <v>3.8521828999999999</v>
      </c>
      <c r="K213" s="11" t="str">
        <f>IF(Table1[[#This Row],[Solar 
Resource]]&lt;3,"Low", IF(Table1[[#This Row],[Solar 
Resource]]&lt;4, "Moderate","High"))</f>
        <v>Moderate</v>
      </c>
      <c r="L213" s="11">
        <v>0.99752395999999999</v>
      </c>
      <c r="M213" s="11">
        <v>29.13691421</v>
      </c>
      <c r="N213" s="11">
        <v>934.99057700000003</v>
      </c>
      <c r="O213" s="11">
        <v>1252.887311</v>
      </c>
      <c r="P213" s="11">
        <f>Table1[[#This Row],[Installed Capacity 
(AC -MW)]]/Table1[[#This Row],[Installed Capacity 
(DC -MW)]]</f>
        <v>0.74626869375325655</v>
      </c>
      <c r="Q213" s="12">
        <v>0.23010876999999999</v>
      </c>
      <c r="R213" s="12">
        <v>0.17172295000000001</v>
      </c>
      <c r="S213" s="13">
        <v>42.044105289999997</v>
      </c>
      <c r="T213" s="11">
        <v>4.2028636329999998</v>
      </c>
      <c r="U213" s="11">
        <v>180.099344</v>
      </c>
      <c r="V213" s="13">
        <v>510042.10330000002</v>
      </c>
      <c r="W213" s="13">
        <v>555229.1</v>
      </c>
      <c r="X213" s="13">
        <v>22.283504000000001</v>
      </c>
      <c r="Y213" s="14">
        <f>+Table1[[#This Row],[Generation Cost 
LCOE (USD/MWh)]]+Table1[[#This Row],[Transmission Cost
LCOT (USD/MWh)]]</f>
        <v>64.327609289999998</v>
      </c>
    </row>
    <row r="214" spans="1:25" x14ac:dyDescent="0.3">
      <c r="A214" s="7">
        <v>213</v>
      </c>
      <c r="B214" s="8">
        <v>4614</v>
      </c>
      <c r="C214" s="9">
        <v>48.415385999999998</v>
      </c>
      <c r="D214" s="9">
        <v>-119.37985</v>
      </c>
      <c r="E214" s="10" t="s">
        <v>42</v>
      </c>
      <c r="F214" s="10" t="s">
        <v>4</v>
      </c>
      <c r="G214" s="10" t="s">
        <v>29</v>
      </c>
      <c r="H214" s="10">
        <v>-8</v>
      </c>
      <c r="I214" s="11">
        <v>808.25</v>
      </c>
      <c r="J214" s="11">
        <v>3.8712</v>
      </c>
      <c r="K214" s="11" t="str">
        <f>IF(Table1[[#This Row],[Solar 
Resource]]&lt;3,"Low", IF(Table1[[#This Row],[Solar 
Resource]]&lt;4, "Moderate","High"))</f>
        <v>Moderate</v>
      </c>
      <c r="L214" s="11">
        <v>0.99570084000000003</v>
      </c>
      <c r="M214" s="11">
        <v>24.997329709999999</v>
      </c>
      <c r="N214" s="11">
        <v>802.15306210000006</v>
      </c>
      <c r="O214" s="11">
        <v>1074.885178</v>
      </c>
      <c r="P214" s="11">
        <f>Table1[[#This Row],[Installed Capacity 
(AC -MW)]]/Table1[[#This Row],[Installed Capacity 
(DC -MW)]]</f>
        <v>0.74626860479417645</v>
      </c>
      <c r="Q214" s="12">
        <v>0.23248659999999999</v>
      </c>
      <c r="R214" s="12">
        <v>0.17349745</v>
      </c>
      <c r="S214" s="13">
        <v>41.554180090000003</v>
      </c>
      <c r="T214" s="11">
        <v>9.3584480449999994</v>
      </c>
      <c r="U214" s="11">
        <v>186.63316219999999</v>
      </c>
      <c r="V214" s="13">
        <v>527671.37029999995</v>
      </c>
      <c r="W214" s="13">
        <v>610250.19999999995</v>
      </c>
      <c r="X214" s="13">
        <v>24.241215</v>
      </c>
      <c r="Y214" s="14">
        <f>+Table1[[#This Row],[Generation Cost 
LCOE (USD/MWh)]]+Table1[[#This Row],[Transmission Cost
LCOT (USD/MWh)]]</f>
        <v>65.79539509</v>
      </c>
    </row>
    <row r="215" spans="1:25" x14ac:dyDescent="0.3">
      <c r="A215" s="7">
        <v>214</v>
      </c>
      <c r="B215" s="8">
        <v>4615</v>
      </c>
      <c r="C215" s="9">
        <v>48.439190000000004</v>
      </c>
      <c r="D215" s="9">
        <v>-119.219955</v>
      </c>
      <c r="E215" s="10" t="s">
        <v>42</v>
      </c>
      <c r="F215" s="10" t="s">
        <v>4</v>
      </c>
      <c r="G215" s="10" t="s">
        <v>29</v>
      </c>
      <c r="H215" s="10">
        <v>-8</v>
      </c>
      <c r="I215" s="11">
        <v>1222.3888890000001</v>
      </c>
      <c r="J215" s="11">
        <v>3.8115950000000001</v>
      </c>
      <c r="K215" s="11" t="str">
        <f>IF(Table1[[#This Row],[Solar 
Resource]]&lt;3,"Low", IF(Table1[[#This Row],[Solar 
Resource]]&lt;4, "Moderate","High"))</f>
        <v>Moderate</v>
      </c>
      <c r="L215" s="11">
        <v>0.99392647000000001</v>
      </c>
      <c r="M215" s="11">
        <v>17.601299999999998</v>
      </c>
      <c r="N215" s="11">
        <v>564.81779670000003</v>
      </c>
      <c r="O215" s="11">
        <v>756.85590000000002</v>
      </c>
      <c r="P215" s="11">
        <f>Table1[[#This Row],[Installed Capacity 
(AC -MW)]]/Table1[[#This Row],[Installed Capacity 
(DC -MW)]]</f>
        <v>0.74626860502772063</v>
      </c>
      <c r="Q215" s="12">
        <v>0.23172609999999999</v>
      </c>
      <c r="R215" s="12">
        <v>0.17292993000000001</v>
      </c>
      <c r="S215" s="13">
        <v>41.632053900000002</v>
      </c>
      <c r="T215" s="11">
        <v>21.40035713</v>
      </c>
      <c r="U215" s="11">
        <v>186.63316219999999</v>
      </c>
      <c r="V215" s="13">
        <v>527671.37029999995</v>
      </c>
      <c r="W215" s="13">
        <v>698859.06</v>
      </c>
      <c r="X215" s="13">
        <v>27.852170000000001</v>
      </c>
      <c r="Y215" s="14">
        <f>+Table1[[#This Row],[Generation Cost 
LCOE (USD/MWh)]]+Table1[[#This Row],[Transmission Cost
LCOT (USD/MWh)]]</f>
        <v>69.484223900000003</v>
      </c>
    </row>
    <row r="216" spans="1:25" x14ac:dyDescent="0.3">
      <c r="A216" s="7">
        <v>215</v>
      </c>
      <c r="B216" s="8">
        <v>4616</v>
      </c>
      <c r="C216" s="9">
        <v>48.462829999999997</v>
      </c>
      <c r="D216" s="9">
        <v>-119.05992000000001</v>
      </c>
      <c r="E216" s="10" t="s">
        <v>42</v>
      </c>
      <c r="F216" s="10" t="s">
        <v>4</v>
      </c>
      <c r="G216" s="10" t="s">
        <v>29</v>
      </c>
      <c r="H216" s="10">
        <v>-8</v>
      </c>
      <c r="I216" s="11">
        <v>1237.1875</v>
      </c>
      <c r="J216" s="11">
        <v>3.7116470000000001</v>
      </c>
      <c r="K216" s="11" t="str">
        <f>IF(Table1[[#This Row],[Solar 
Resource]]&lt;3,"Low", IF(Table1[[#This Row],[Solar 
Resource]]&lt;4, "Moderate","High"))</f>
        <v>Moderate</v>
      </c>
      <c r="L216" s="11">
        <v>0.99229339999999999</v>
      </c>
      <c r="M216" s="11">
        <v>23.691042549999999</v>
      </c>
      <c r="N216" s="11">
        <v>760.23489500000005</v>
      </c>
      <c r="O216" s="11">
        <v>1018.71483</v>
      </c>
      <c r="P216" s="11">
        <f>Table1[[#This Row],[Installed Capacity 
(AC -MW)]]/Table1[[#This Row],[Installed Capacity 
(DC -MW)]]</f>
        <v>0.74626860492450087</v>
      </c>
      <c r="Q216" s="12">
        <v>0.22271642</v>
      </c>
      <c r="R216" s="12">
        <v>0.1662063</v>
      </c>
      <c r="S216" s="13">
        <v>43.260205120000002</v>
      </c>
      <c r="T216" s="11">
        <v>37.306512959999999</v>
      </c>
      <c r="U216" s="11">
        <v>186.63316219999999</v>
      </c>
      <c r="V216" s="13">
        <v>527671.37029999995</v>
      </c>
      <c r="W216" s="13">
        <v>791804.1</v>
      </c>
      <c r="X216" s="13">
        <v>32.832949999999997</v>
      </c>
      <c r="Y216" s="14">
        <f>+Table1[[#This Row],[Generation Cost 
LCOE (USD/MWh)]]+Table1[[#This Row],[Transmission Cost
LCOT (USD/MWh)]]</f>
        <v>76.093155120000006</v>
      </c>
    </row>
    <row r="217" spans="1:25" x14ac:dyDescent="0.3">
      <c r="A217" s="7">
        <v>216</v>
      </c>
      <c r="B217" s="8">
        <v>4617</v>
      </c>
      <c r="C217" s="9">
        <v>48.486313000000003</v>
      </c>
      <c r="D217" s="9">
        <v>-118.89976</v>
      </c>
      <c r="E217" s="10" t="s">
        <v>42</v>
      </c>
      <c r="F217" s="10" t="s">
        <v>4</v>
      </c>
      <c r="G217" s="10" t="s">
        <v>29</v>
      </c>
      <c r="H217" s="10">
        <v>-8</v>
      </c>
      <c r="I217" s="11">
        <v>1122.4117650000001</v>
      </c>
      <c r="J217" s="11">
        <v>3.6566198000000001</v>
      </c>
      <c r="K217" s="11" t="str">
        <f>IF(Table1[[#This Row],[Solar 
Resource]]&lt;3,"Low", IF(Table1[[#This Row],[Solar 
Resource]]&lt;4, "Moderate","High"))</f>
        <v>Moderate</v>
      </c>
      <c r="L217" s="11">
        <v>0.99061816999999996</v>
      </c>
      <c r="M217" s="11">
        <v>7.0265878419999996</v>
      </c>
      <c r="N217" s="11">
        <v>225.480042</v>
      </c>
      <c r="O217" s="11">
        <v>302.1432772</v>
      </c>
      <c r="P217" s="11">
        <f>Table1[[#This Row],[Installed Capacity 
(AC -MW)]]/Table1[[#This Row],[Installed Capacity 
(DC -MW)]]</f>
        <v>0.74626860504576531</v>
      </c>
      <c r="Q217" s="12">
        <v>0.21623063000000001</v>
      </c>
      <c r="R217" s="12">
        <v>0.16136615000000001</v>
      </c>
      <c r="S217" s="13">
        <v>44.498606700000003</v>
      </c>
      <c r="T217" s="11">
        <v>28.867253219999998</v>
      </c>
      <c r="U217" s="11">
        <v>214.36001289999999</v>
      </c>
      <c r="V217" s="13">
        <v>902286.40449999995</v>
      </c>
      <c r="W217" s="13">
        <v>1146712.6000000001</v>
      </c>
      <c r="X217" s="13">
        <v>48.975825999999998</v>
      </c>
      <c r="Y217" s="14">
        <f>+Table1[[#This Row],[Generation Cost 
LCOE (USD/MWh)]]+Table1[[#This Row],[Transmission Cost
LCOT (USD/MWh)]]</f>
        <v>93.474432699999994</v>
      </c>
    </row>
    <row r="218" spans="1:25" x14ac:dyDescent="0.3">
      <c r="A218" s="7">
        <v>217</v>
      </c>
      <c r="B218" s="8">
        <v>4618</v>
      </c>
      <c r="C218" s="9">
        <v>48.509636</v>
      </c>
      <c r="D218" s="9">
        <v>-118.739456</v>
      </c>
      <c r="E218" s="10" t="s">
        <v>42</v>
      </c>
      <c r="F218" s="10" t="s">
        <v>4</v>
      </c>
      <c r="G218" s="10" t="s">
        <v>14</v>
      </c>
      <c r="H218" s="10">
        <v>-8</v>
      </c>
      <c r="I218" s="11">
        <v>1015.6111110000001</v>
      </c>
      <c r="J218" s="11">
        <v>3.6400898000000002</v>
      </c>
      <c r="K218" s="11" t="str">
        <f>IF(Table1[[#This Row],[Solar 
Resource]]&lt;3,"Low", IF(Table1[[#This Row],[Solar 
Resource]]&lt;4, "Moderate","High"))</f>
        <v>Moderate</v>
      </c>
      <c r="L218" s="11">
        <v>0.98926749999999997</v>
      </c>
      <c r="M218" s="11">
        <v>7.7298303959999997</v>
      </c>
      <c r="N218" s="11">
        <v>248.04677910000001</v>
      </c>
      <c r="O218" s="11">
        <v>332.38270699999998</v>
      </c>
      <c r="P218" s="11">
        <f>Table1[[#This Row],[Installed Capacity 
(AC -MW)]]/Table1[[#This Row],[Installed Capacity 
(DC -MW)]]</f>
        <v>0.74626860506313897</v>
      </c>
      <c r="Q218" s="12">
        <v>0.21418566999999999</v>
      </c>
      <c r="R218" s="12">
        <v>0.15984005000000001</v>
      </c>
      <c r="S218" s="13">
        <v>44.875289870000003</v>
      </c>
      <c r="T218" s="11">
        <v>20.554175310000002</v>
      </c>
      <c r="U218" s="11">
        <v>214.36001289999999</v>
      </c>
      <c r="V218" s="13">
        <v>902286.40449999995</v>
      </c>
      <c r="W218" s="13">
        <v>1036351.7</v>
      </c>
      <c r="X218" s="13">
        <v>44.684936999999998</v>
      </c>
      <c r="Y218" s="14">
        <f>+Table1[[#This Row],[Generation Cost 
LCOE (USD/MWh)]]+Table1[[#This Row],[Transmission Cost
LCOT (USD/MWh)]]</f>
        <v>89.560226870000008</v>
      </c>
    </row>
    <row r="219" spans="1:25" x14ac:dyDescent="0.3">
      <c r="A219" s="7">
        <v>218</v>
      </c>
      <c r="B219" s="8">
        <v>4619</v>
      </c>
      <c r="C219" s="9">
        <v>48.532803000000001</v>
      </c>
      <c r="D219" s="9">
        <v>-118.579025</v>
      </c>
      <c r="E219" s="10" t="s">
        <v>42</v>
      </c>
      <c r="F219" s="10" t="s">
        <v>4</v>
      </c>
      <c r="G219" s="10" t="s">
        <v>14</v>
      </c>
      <c r="H219" s="10">
        <v>-8</v>
      </c>
      <c r="I219" s="11">
        <v>1338.916667</v>
      </c>
      <c r="J219" s="11">
        <v>3.6686296</v>
      </c>
      <c r="K219" s="11" t="str">
        <f>IF(Table1[[#This Row],[Solar 
Resource]]&lt;3,"Low", IF(Table1[[#This Row],[Solar 
Resource]]&lt;4, "Moderate","High"))</f>
        <v>Moderate</v>
      </c>
      <c r="L219" s="11">
        <v>0.98805200000000004</v>
      </c>
      <c r="M219" s="11">
        <v>3.3874200989999999</v>
      </c>
      <c r="N219" s="11">
        <v>108.70078669999999</v>
      </c>
      <c r="O219" s="11">
        <v>145.65906430000001</v>
      </c>
      <c r="P219" s="11">
        <f>Table1[[#This Row],[Installed Capacity 
(AC -MW)]]/Table1[[#This Row],[Installed Capacity 
(DC -MW)]]</f>
        <v>0.74626860485743207</v>
      </c>
      <c r="Q219" s="12">
        <v>0.21735578999999999</v>
      </c>
      <c r="R219" s="12">
        <v>0.16220582</v>
      </c>
      <c r="S219" s="13">
        <v>44.178058450000002</v>
      </c>
      <c r="T219" s="11">
        <v>11.03226622</v>
      </c>
      <c r="U219" s="11">
        <v>199.44870119999999</v>
      </c>
      <c r="V219" s="13">
        <v>829289.40049999999</v>
      </c>
      <c r="W219" s="13">
        <v>978641.6</v>
      </c>
      <c r="X219" s="13">
        <v>41.581189999999999</v>
      </c>
      <c r="Y219" s="14">
        <f>+Table1[[#This Row],[Generation Cost 
LCOE (USD/MWh)]]+Table1[[#This Row],[Transmission Cost
LCOT (USD/MWh)]]</f>
        <v>85.759248450000001</v>
      </c>
    </row>
    <row r="220" spans="1:25" x14ac:dyDescent="0.3">
      <c r="A220" s="7">
        <v>219</v>
      </c>
      <c r="B220" s="8">
        <v>4620</v>
      </c>
      <c r="C220" s="9">
        <v>48.555804999999999</v>
      </c>
      <c r="D220" s="9">
        <v>-118.41847</v>
      </c>
      <c r="E220" s="10" t="s">
        <v>42</v>
      </c>
      <c r="F220" s="10" t="s">
        <v>4</v>
      </c>
      <c r="G220" s="10" t="s">
        <v>14</v>
      </c>
      <c r="H220" s="10">
        <v>-8</v>
      </c>
      <c r="I220" s="11">
        <v>1204.4285709999999</v>
      </c>
      <c r="J220" s="11">
        <v>3.5723093000000001</v>
      </c>
      <c r="K220" s="11" t="str">
        <f>IF(Table1[[#This Row],[Solar 
Resource]]&lt;3,"Low", IF(Table1[[#This Row],[Solar 
Resource]]&lt;4, "Moderate","High"))</f>
        <v>Moderate</v>
      </c>
      <c r="L220" s="11">
        <v>0.98641294000000002</v>
      </c>
      <c r="M220" s="11">
        <v>1.1524679900000001</v>
      </c>
      <c r="N220" s="11">
        <v>36.982179209999998</v>
      </c>
      <c r="O220" s="11">
        <v>49.556123569999997</v>
      </c>
      <c r="P220" s="11">
        <f>Table1[[#This Row],[Installed Capacity 
(AC -MW)]]/Table1[[#This Row],[Installed Capacity 
(DC -MW)]]</f>
        <v>0.74626860508492354</v>
      </c>
      <c r="Q220" s="12">
        <v>0.21073742000000001</v>
      </c>
      <c r="R220" s="12">
        <v>0.15726673999999999</v>
      </c>
      <c r="S220" s="13">
        <v>48.691693149999999</v>
      </c>
      <c r="T220" s="11">
        <v>8.1910973980000001</v>
      </c>
      <c r="U220" s="11">
        <v>196.21135050000001</v>
      </c>
      <c r="V220" s="13">
        <v>806904.47889999999</v>
      </c>
      <c r="W220" s="13">
        <v>960150.94</v>
      </c>
      <c r="X220" s="13">
        <v>42.076756000000003</v>
      </c>
      <c r="Y220" s="14">
        <f>+Table1[[#This Row],[Generation Cost 
LCOE (USD/MWh)]]+Table1[[#This Row],[Transmission Cost
LCOT (USD/MWh)]]</f>
        <v>90.768449150000009</v>
      </c>
    </row>
    <row r="221" spans="1:25" x14ac:dyDescent="0.3">
      <c r="A221" s="7">
        <v>220</v>
      </c>
      <c r="B221" s="8">
        <v>4621</v>
      </c>
      <c r="C221" s="9">
        <v>48.578650000000003</v>
      </c>
      <c r="D221" s="9">
        <v>-118.257774</v>
      </c>
      <c r="E221" s="10" t="s">
        <v>42</v>
      </c>
      <c r="F221" s="10" t="s">
        <v>4</v>
      </c>
      <c r="G221" s="10" t="s">
        <v>14</v>
      </c>
      <c r="H221" s="10">
        <v>-8</v>
      </c>
      <c r="I221" s="11">
        <v>982.76470589999997</v>
      </c>
      <c r="J221" s="11">
        <v>3.5916929999999998</v>
      </c>
      <c r="K221" s="11" t="str">
        <f>IF(Table1[[#This Row],[Solar 
Resource]]&lt;3,"Low", IF(Table1[[#This Row],[Solar 
Resource]]&lt;4, "Moderate","High"))</f>
        <v>Moderate</v>
      </c>
      <c r="L221" s="11">
        <v>0.98594444999999997</v>
      </c>
      <c r="M221" s="11">
        <v>4.2738841189999999</v>
      </c>
      <c r="N221" s="11">
        <v>137.14701819999999</v>
      </c>
      <c r="O221" s="11">
        <v>183.77701709999999</v>
      </c>
      <c r="P221" s="11">
        <f>Table1[[#This Row],[Installed Capacity 
(AC -MW)]]/Table1[[#This Row],[Installed Capacity 
(DC -MW)]]</f>
        <v>0.74626860509643123</v>
      </c>
      <c r="Q221" s="12">
        <v>0.20990238</v>
      </c>
      <c r="R221" s="12">
        <v>0.15664354999999999</v>
      </c>
      <c r="S221" s="13">
        <v>45.670081289999999</v>
      </c>
      <c r="T221" s="11">
        <v>0.57727922099999995</v>
      </c>
      <c r="U221" s="11">
        <v>177.7644545</v>
      </c>
      <c r="V221" s="13">
        <v>686263.81590000005</v>
      </c>
      <c r="W221" s="13">
        <v>729799.44</v>
      </c>
      <c r="X221" s="13">
        <v>32.109279999999998</v>
      </c>
      <c r="Y221" s="14">
        <f>+Table1[[#This Row],[Generation Cost 
LCOE (USD/MWh)]]+Table1[[#This Row],[Transmission Cost
LCOT (USD/MWh)]]</f>
        <v>77.779361289999997</v>
      </c>
    </row>
    <row r="222" spans="1:25" x14ac:dyDescent="0.3">
      <c r="A222" s="7">
        <v>221</v>
      </c>
      <c r="B222" s="8">
        <v>4622</v>
      </c>
      <c r="C222" s="9">
        <v>48.601334000000001</v>
      </c>
      <c r="D222" s="9">
        <v>-118.096954</v>
      </c>
      <c r="E222" s="10" t="s">
        <v>42</v>
      </c>
      <c r="F222" s="10" t="s">
        <v>4</v>
      </c>
      <c r="G222" s="10" t="s">
        <v>37</v>
      </c>
      <c r="H222" s="10">
        <v>-8</v>
      </c>
      <c r="I222" s="11">
        <v>655.17647060000002</v>
      </c>
      <c r="J222" s="11">
        <v>3.6072438</v>
      </c>
      <c r="K222" s="11" t="str">
        <f>IF(Table1[[#This Row],[Solar 
Resource]]&lt;3,"Low", IF(Table1[[#This Row],[Solar 
Resource]]&lt;4, "Moderate","High"))</f>
        <v>Moderate</v>
      </c>
      <c r="L222" s="11">
        <v>0.98535059999999997</v>
      </c>
      <c r="M222" s="11">
        <v>11.114495290000001</v>
      </c>
      <c r="N222" s="11">
        <v>356.65919489999999</v>
      </c>
      <c r="O222" s="11">
        <v>477.92329740000002</v>
      </c>
      <c r="P222" s="11">
        <f>Table1[[#This Row],[Installed Capacity 
(AC -MW)]]/Table1[[#This Row],[Installed Capacity 
(DC -MW)]]</f>
        <v>0.74626869382660055</v>
      </c>
      <c r="Q222" s="12">
        <v>0.20747262</v>
      </c>
      <c r="R222" s="12">
        <v>0.1548303</v>
      </c>
      <c r="S222" s="13">
        <v>46.18306492</v>
      </c>
      <c r="T222" s="11">
        <v>0.61455844100000001</v>
      </c>
      <c r="U222" s="11">
        <v>160.00137649999999</v>
      </c>
      <c r="V222" s="13">
        <v>590956.39020000002</v>
      </c>
      <c r="W222" s="13">
        <v>632347</v>
      </c>
      <c r="X222" s="13">
        <v>28.147451</v>
      </c>
      <c r="Y222" s="14">
        <f>+Table1[[#This Row],[Generation Cost 
LCOE (USD/MWh)]]+Table1[[#This Row],[Transmission Cost
LCOT (USD/MWh)]]</f>
        <v>74.330515919999996</v>
      </c>
    </row>
    <row r="223" spans="1:25" x14ac:dyDescent="0.3">
      <c r="A223" s="7">
        <v>222</v>
      </c>
      <c r="B223" s="8">
        <v>4623</v>
      </c>
      <c r="C223" s="9">
        <v>48.623856000000004</v>
      </c>
      <c r="D223" s="9">
        <v>-117.93599</v>
      </c>
      <c r="E223" s="10" t="s">
        <v>42</v>
      </c>
      <c r="F223" s="10" t="s">
        <v>4</v>
      </c>
      <c r="G223" s="10" t="s">
        <v>37</v>
      </c>
      <c r="H223" s="10">
        <v>-8</v>
      </c>
      <c r="I223" s="11">
        <v>698.63157890000002</v>
      </c>
      <c r="J223" s="11">
        <v>3.6117430000000001</v>
      </c>
      <c r="K223" s="11" t="str">
        <f>IF(Table1[[#This Row],[Solar 
Resource]]&lt;3,"Low", IF(Table1[[#This Row],[Solar 
Resource]]&lt;4, "Moderate","High"))</f>
        <v>Moderate</v>
      </c>
      <c r="L223" s="11">
        <v>0.98490535999999995</v>
      </c>
      <c r="M223" s="11">
        <v>10.25516558</v>
      </c>
      <c r="N223" s="11">
        <v>329.08368780000001</v>
      </c>
      <c r="O223" s="11">
        <v>440.97211979999997</v>
      </c>
      <c r="P223" s="11">
        <f>Table1[[#This Row],[Installed Capacity 
(AC -MW)]]/Table1[[#This Row],[Installed Capacity 
(DC -MW)]]</f>
        <v>0.74626869369712934</v>
      </c>
      <c r="Q223" s="12">
        <v>0.20843296</v>
      </c>
      <c r="R223" s="12">
        <v>0.15554701000000001</v>
      </c>
      <c r="S223" s="13">
        <v>45.953952209999997</v>
      </c>
      <c r="T223" s="11">
        <v>12.32470129</v>
      </c>
      <c r="U223" s="11">
        <v>137.8415454</v>
      </c>
      <c r="V223" s="13">
        <v>493211.57860000001</v>
      </c>
      <c r="W223" s="13">
        <v>567672.6</v>
      </c>
      <c r="X223" s="13">
        <v>25.152200000000001</v>
      </c>
      <c r="Y223" s="14">
        <f>+Table1[[#This Row],[Generation Cost 
LCOE (USD/MWh)]]+Table1[[#This Row],[Transmission Cost
LCOT (USD/MWh)]]</f>
        <v>71.106152210000005</v>
      </c>
    </row>
    <row r="224" spans="1:25" x14ac:dyDescent="0.3">
      <c r="A224" s="7">
        <v>223</v>
      </c>
      <c r="B224" s="8">
        <v>4624</v>
      </c>
      <c r="C224" s="9">
        <v>48.646217</v>
      </c>
      <c r="D224" s="9">
        <v>-117.77491999999999</v>
      </c>
      <c r="E224" s="10" t="s">
        <v>42</v>
      </c>
      <c r="F224" s="10" t="s">
        <v>4</v>
      </c>
      <c r="G224" s="10" t="s">
        <v>37</v>
      </c>
      <c r="H224" s="10">
        <v>-8</v>
      </c>
      <c r="I224" s="11">
        <v>1043.0666670000001</v>
      </c>
      <c r="J224" s="11">
        <v>3.5438838000000001</v>
      </c>
      <c r="K224" s="11" t="str">
        <f>IF(Table1[[#This Row],[Solar 
Resource]]&lt;3,"Low", IF(Table1[[#This Row],[Solar 
Resource]]&lt;4, "Moderate","High"))</f>
        <v>Moderate</v>
      </c>
      <c r="L224" s="11">
        <v>0.98431473999999997</v>
      </c>
      <c r="M224" s="11">
        <v>3.5043838709999999</v>
      </c>
      <c r="N224" s="11">
        <v>112.45411489999999</v>
      </c>
      <c r="O224" s="11">
        <v>150.68850649999999</v>
      </c>
      <c r="P224" s="11">
        <f>Table1[[#This Row],[Installed Capacity 
(AC -MW)]]/Table1[[#This Row],[Installed Capacity 
(DC -MW)]]</f>
        <v>0.7462686936909817</v>
      </c>
      <c r="Q224" s="12">
        <v>0.20569338000000001</v>
      </c>
      <c r="R224" s="12">
        <v>0.15350252</v>
      </c>
      <c r="S224" s="13">
        <v>46.544076179999998</v>
      </c>
      <c r="T224" s="11">
        <v>0.34455844099999999</v>
      </c>
      <c r="U224" s="11">
        <v>155.7021168</v>
      </c>
      <c r="V224" s="13">
        <v>578599.79570000002</v>
      </c>
      <c r="W224" s="13">
        <v>622174.06000000006</v>
      </c>
      <c r="X224" s="13">
        <v>27.934183000000001</v>
      </c>
      <c r="Y224" s="14">
        <f>+Table1[[#This Row],[Generation Cost 
LCOE (USD/MWh)]]+Table1[[#This Row],[Transmission Cost
LCOT (USD/MWh)]]</f>
        <v>74.478259179999995</v>
      </c>
    </row>
    <row r="225" spans="1:25" x14ac:dyDescent="0.3">
      <c r="A225" s="7">
        <v>224</v>
      </c>
      <c r="B225" s="8">
        <v>4625</v>
      </c>
      <c r="C225" s="9">
        <v>48.668419999999998</v>
      </c>
      <c r="D225" s="9">
        <v>-117.61371</v>
      </c>
      <c r="E225" s="10" t="s">
        <v>42</v>
      </c>
      <c r="F225" s="10" t="s">
        <v>4</v>
      </c>
      <c r="G225" s="10" t="s">
        <v>37</v>
      </c>
      <c r="H225" s="10">
        <v>-8</v>
      </c>
      <c r="I225" s="11">
        <v>1152.7894739999999</v>
      </c>
      <c r="J225" s="11">
        <v>3.507403</v>
      </c>
      <c r="K225" s="11" t="str">
        <f>IF(Table1[[#This Row],[Solar 
Resource]]&lt;3,"Low", IF(Table1[[#This Row],[Solar 
Resource]]&lt;4, "Moderate","High"))</f>
        <v>Moderate</v>
      </c>
      <c r="L225" s="11">
        <v>0.98424959999999995</v>
      </c>
      <c r="M225" s="11">
        <v>6.6700261779999996</v>
      </c>
      <c r="N225" s="11">
        <v>214.03813869999999</v>
      </c>
      <c r="O225" s="11">
        <v>286.81112569999999</v>
      </c>
      <c r="P225" s="11">
        <f>Table1[[#This Row],[Installed Capacity 
(AC -MW)]]/Table1[[#This Row],[Installed Capacity 
(DC -MW)]]</f>
        <v>0.74626860508849502</v>
      </c>
      <c r="Q225" s="12">
        <v>0.20464493</v>
      </c>
      <c r="R225" s="12">
        <v>0.1527201</v>
      </c>
      <c r="S225" s="13">
        <v>46.780102990000003</v>
      </c>
      <c r="T225" s="11">
        <v>10.329259739999999</v>
      </c>
      <c r="U225" s="11">
        <v>170.97077909999999</v>
      </c>
      <c r="V225" s="13">
        <v>649925.46849999996</v>
      </c>
      <c r="W225" s="13">
        <v>805251.2</v>
      </c>
      <c r="X225" s="13">
        <v>36.339153000000003</v>
      </c>
      <c r="Y225" s="14">
        <f>+Table1[[#This Row],[Generation Cost 
LCOE (USD/MWh)]]+Table1[[#This Row],[Transmission Cost
LCOT (USD/MWh)]]</f>
        <v>83.119255989999999</v>
      </c>
    </row>
    <row r="226" spans="1:25" x14ac:dyDescent="0.3">
      <c r="A226" s="7">
        <v>225</v>
      </c>
      <c r="B226" s="8">
        <v>4626</v>
      </c>
      <c r="C226" s="9">
        <v>48.690455999999998</v>
      </c>
      <c r="D226" s="9">
        <v>-117.45236</v>
      </c>
      <c r="E226" s="10" t="s">
        <v>42</v>
      </c>
      <c r="F226" s="10" t="s">
        <v>4</v>
      </c>
      <c r="G226" s="10" t="s">
        <v>30</v>
      </c>
      <c r="H226" s="10">
        <v>-8</v>
      </c>
      <c r="I226" s="11">
        <v>967</v>
      </c>
      <c r="J226" s="11">
        <v>3.4323108000000002</v>
      </c>
      <c r="K226" s="11" t="str">
        <f>IF(Table1[[#This Row],[Solar 
Resource]]&lt;3,"Low", IF(Table1[[#This Row],[Solar 
Resource]]&lt;4, "Moderate","High"))</f>
        <v>Moderate</v>
      </c>
      <c r="L226" s="11">
        <v>0.98420430000000003</v>
      </c>
      <c r="M226" s="11">
        <v>22.58433853</v>
      </c>
      <c r="N226" s="11">
        <v>724.72126070000002</v>
      </c>
      <c r="O226" s="11">
        <v>971.12655659999996</v>
      </c>
      <c r="P226" s="11">
        <f>Table1[[#This Row],[Installed Capacity 
(AC -MW)]]/Table1[[#This Row],[Installed Capacity 
(DC -MW)]]</f>
        <v>0.74626860502848702</v>
      </c>
      <c r="Q226" s="12">
        <v>0.19803026000000001</v>
      </c>
      <c r="R226" s="12">
        <v>0.14778379</v>
      </c>
      <c r="S226" s="13">
        <v>48.340906429999997</v>
      </c>
      <c r="T226" s="11">
        <v>1.281837662</v>
      </c>
      <c r="U226" s="11">
        <v>153.4702077</v>
      </c>
      <c r="V226" s="13">
        <v>603106.10699999996</v>
      </c>
      <c r="W226" s="13">
        <v>661951.93999999994</v>
      </c>
      <c r="X226" s="13">
        <v>30.870190000000001</v>
      </c>
      <c r="Y226" s="14">
        <f>+Table1[[#This Row],[Generation Cost 
LCOE (USD/MWh)]]+Table1[[#This Row],[Transmission Cost
LCOT (USD/MWh)]]</f>
        <v>79.211096429999998</v>
      </c>
    </row>
    <row r="227" spans="1:25" x14ac:dyDescent="0.3">
      <c r="A227" s="7">
        <v>226</v>
      </c>
      <c r="B227" s="8">
        <v>4627</v>
      </c>
      <c r="C227" s="9">
        <v>48.712336999999998</v>
      </c>
      <c r="D227" s="9">
        <v>-117.29089</v>
      </c>
      <c r="E227" s="10" t="s">
        <v>42</v>
      </c>
      <c r="F227" s="10" t="s">
        <v>4</v>
      </c>
      <c r="G227" s="10" t="s">
        <v>30</v>
      </c>
      <c r="H227" s="10">
        <v>-8</v>
      </c>
      <c r="I227" s="11">
        <v>1198.7857140000001</v>
      </c>
      <c r="J227" s="11">
        <v>3.4411619</v>
      </c>
      <c r="K227" s="11" t="str">
        <f>IF(Table1[[#This Row],[Solar 
Resource]]&lt;3,"Low", IF(Table1[[#This Row],[Solar 
Resource]]&lt;4, "Moderate","High"))</f>
        <v>Moderate</v>
      </c>
      <c r="L227" s="11">
        <v>0.98401939999999999</v>
      </c>
      <c r="M227" s="11">
        <v>1.3165739460000001</v>
      </c>
      <c r="N227" s="11">
        <v>42.248270499999997</v>
      </c>
      <c r="O227" s="11">
        <v>56.612679659999998</v>
      </c>
      <c r="P227" s="11">
        <f>Table1[[#This Row],[Installed Capacity 
(AC -MW)]]/Table1[[#This Row],[Installed Capacity 
(DC -MW)]]</f>
        <v>0.74626869375785343</v>
      </c>
      <c r="Q227" s="12">
        <v>0.19930711000000001</v>
      </c>
      <c r="R227" s="12">
        <v>0.14873666999999999</v>
      </c>
      <c r="S227" s="13">
        <v>50.655288220000003</v>
      </c>
      <c r="T227" s="11">
        <v>9.7365389570000005</v>
      </c>
      <c r="U227" s="11">
        <v>154.31374020000001</v>
      </c>
      <c r="V227" s="13">
        <v>604299.69209999999</v>
      </c>
      <c r="W227" s="13">
        <v>777231.6</v>
      </c>
      <c r="X227" s="13">
        <v>36.014060000000001</v>
      </c>
      <c r="Y227" s="14">
        <f>+Table1[[#This Row],[Generation Cost 
LCOE (USD/MWh)]]+Table1[[#This Row],[Transmission Cost
LCOT (USD/MWh)]]</f>
        <v>86.669348220000003</v>
      </c>
    </row>
    <row r="228" spans="1:25" x14ac:dyDescent="0.3">
      <c r="A228" s="7">
        <v>227</v>
      </c>
      <c r="B228" s="8">
        <v>4628</v>
      </c>
      <c r="C228" s="9">
        <v>48.734046999999997</v>
      </c>
      <c r="D228" s="9">
        <v>-117.1293</v>
      </c>
      <c r="E228" s="10" t="s">
        <v>42</v>
      </c>
      <c r="F228" s="10" t="s">
        <v>4</v>
      </c>
      <c r="G228" s="10" t="s">
        <v>30</v>
      </c>
      <c r="H228" s="10">
        <v>-8</v>
      </c>
      <c r="I228" s="11">
        <v>1291.875</v>
      </c>
      <c r="J228" s="11">
        <v>3.3596944999999998</v>
      </c>
      <c r="K228" s="11" t="str">
        <f>IF(Table1[[#This Row],[Solar 
Resource]]&lt;3,"Low", IF(Table1[[#This Row],[Solar 
Resource]]&lt;4, "Moderate","High"))</f>
        <v>Moderate</v>
      </c>
      <c r="L228" s="11">
        <v>0.98405414999999996</v>
      </c>
      <c r="M228" s="11">
        <v>1.113911911</v>
      </c>
      <c r="N228" s="11">
        <v>35.74493623</v>
      </c>
      <c r="O228" s="11">
        <v>47.898212170000001</v>
      </c>
      <c r="P228" s="11">
        <f>Table1[[#This Row],[Installed Capacity 
(AC -MW)]]/Table1[[#This Row],[Installed Capacity 
(DC -MW)]]</f>
        <v>0.74626869376949445</v>
      </c>
      <c r="Q228" s="12">
        <v>0.19506688</v>
      </c>
      <c r="R228" s="12">
        <v>0.14557232000000001</v>
      </c>
      <c r="S228" s="13">
        <v>52.695217509999999</v>
      </c>
      <c r="T228" s="11">
        <v>23.809616869999999</v>
      </c>
      <c r="U228" s="11">
        <v>156.65374019999999</v>
      </c>
      <c r="V228" s="13">
        <v>614606.76489999995</v>
      </c>
      <c r="W228" s="13">
        <v>898883.1</v>
      </c>
      <c r="X228" s="13">
        <v>42.556319999999999</v>
      </c>
      <c r="Y228" s="14">
        <f>+Table1[[#This Row],[Generation Cost 
LCOE (USD/MWh)]]+Table1[[#This Row],[Transmission Cost
LCOT (USD/MWh)]]</f>
        <v>95.251537509999991</v>
      </c>
    </row>
    <row r="229" spans="1:25" x14ac:dyDescent="0.3">
      <c r="A229" s="7">
        <v>228</v>
      </c>
      <c r="B229" s="8">
        <v>4629</v>
      </c>
      <c r="C229" s="9">
        <v>48.755608000000002</v>
      </c>
      <c r="D229" s="9">
        <v>-116.96759</v>
      </c>
      <c r="E229" s="10" t="s">
        <v>42</v>
      </c>
      <c r="F229" s="10" t="s">
        <v>1</v>
      </c>
      <c r="G229" s="10" t="s">
        <v>9</v>
      </c>
      <c r="H229" s="10">
        <v>-8</v>
      </c>
      <c r="I229" s="11">
        <v>1166</v>
      </c>
      <c r="J229" s="11">
        <v>3.2959228</v>
      </c>
      <c r="K229" s="11" t="str">
        <f>IF(Table1[[#This Row],[Solar 
Resource]]&lt;3,"Low", IF(Table1[[#This Row],[Solar 
Resource]]&lt;4, "Moderate","High"))</f>
        <v>Moderate</v>
      </c>
      <c r="L229" s="11">
        <v>0.98301640000000001</v>
      </c>
      <c r="M229" s="11">
        <v>2.8042200990000001</v>
      </c>
      <c r="N229" s="11">
        <v>89.986161129999999</v>
      </c>
      <c r="O229" s="11">
        <v>120.58146429999999</v>
      </c>
      <c r="P229" s="11">
        <f>Table1[[#This Row],[Installed Capacity 
(AC -MW)]]/Table1[[#This Row],[Installed Capacity 
(DC -MW)]]</f>
        <v>0.74626860481739898</v>
      </c>
      <c r="Q229" s="12">
        <v>0.19069622</v>
      </c>
      <c r="R229" s="12">
        <v>0.14231062</v>
      </c>
      <c r="S229" s="13">
        <v>50.152481119999997</v>
      </c>
      <c r="T229" s="11">
        <v>56.866941519999997</v>
      </c>
      <c r="U229" s="11">
        <v>461.56692179999999</v>
      </c>
      <c r="V229" s="13">
        <v>1783085.1629999999</v>
      </c>
      <c r="W229" s="13">
        <v>2221959</v>
      </c>
      <c r="X229" s="13">
        <v>107.60647</v>
      </c>
      <c r="Y229" s="14">
        <f>+Table1[[#This Row],[Generation Cost 
LCOE (USD/MWh)]]+Table1[[#This Row],[Transmission Cost
LCOT (USD/MWh)]]</f>
        <v>157.75895112000001</v>
      </c>
    </row>
    <row r="230" spans="1:25" x14ac:dyDescent="0.3">
      <c r="A230" s="7">
        <v>229</v>
      </c>
      <c r="B230" s="8">
        <v>4630</v>
      </c>
      <c r="C230" s="9">
        <v>48.776997000000001</v>
      </c>
      <c r="D230" s="9">
        <v>-116.805756</v>
      </c>
      <c r="E230" s="10" t="s">
        <v>42</v>
      </c>
      <c r="F230" s="10" t="s">
        <v>1</v>
      </c>
      <c r="G230" s="10" t="s">
        <v>9</v>
      </c>
      <c r="H230" s="10">
        <v>-8</v>
      </c>
      <c r="I230" s="11">
        <v>1045.375</v>
      </c>
      <c r="J230" s="11">
        <v>3.3081304999999999</v>
      </c>
      <c r="K230" s="11" t="str">
        <f>IF(Table1[[#This Row],[Solar 
Resource]]&lt;3,"Low", IF(Table1[[#This Row],[Solar 
Resource]]&lt;4, "Moderate","High"))</f>
        <v>Moderate</v>
      </c>
      <c r="L230" s="11">
        <v>0.9830352</v>
      </c>
      <c r="M230" s="11">
        <v>7.918640881</v>
      </c>
      <c r="N230" s="11">
        <v>254.1056528</v>
      </c>
      <c r="O230" s="11">
        <v>340.50155790000002</v>
      </c>
      <c r="P230" s="11">
        <f>Table1[[#This Row],[Installed Capacity 
(AC -MW)]]/Table1[[#This Row],[Installed Capacity 
(DC -MW)]]</f>
        <v>0.74626869365052029</v>
      </c>
      <c r="Q230" s="12">
        <v>0.19002168</v>
      </c>
      <c r="R230" s="12">
        <v>0.14180723000000001</v>
      </c>
      <c r="S230" s="13">
        <v>50.331269149999997</v>
      </c>
      <c r="T230" s="11">
        <v>37.753863610000003</v>
      </c>
      <c r="U230" s="11">
        <v>460.28508419999997</v>
      </c>
      <c r="V230" s="13">
        <v>1779335.5249999999</v>
      </c>
      <c r="W230" s="13">
        <v>2154277</v>
      </c>
      <c r="X230" s="13">
        <v>104.69906</v>
      </c>
      <c r="Y230" s="14">
        <f>+Table1[[#This Row],[Generation Cost 
LCOE (USD/MWh)]]+Table1[[#This Row],[Transmission Cost
LCOT (USD/MWh)]]</f>
        <v>155.03032915</v>
      </c>
    </row>
    <row r="231" spans="1:25" x14ac:dyDescent="0.3">
      <c r="A231" s="7">
        <v>230</v>
      </c>
      <c r="B231" s="8">
        <v>4631</v>
      </c>
      <c r="C231" s="9">
        <v>48.798225000000002</v>
      </c>
      <c r="D231" s="9">
        <v>-116.64378000000001</v>
      </c>
      <c r="E231" s="10" t="s">
        <v>42</v>
      </c>
      <c r="F231" s="10" t="s">
        <v>1</v>
      </c>
      <c r="G231" s="10" t="s">
        <v>10</v>
      </c>
      <c r="H231" s="10">
        <v>-8</v>
      </c>
      <c r="I231" s="11">
        <v>1762.5</v>
      </c>
      <c r="J231" s="11">
        <v>3.4142725</v>
      </c>
      <c r="K231" s="11" t="str">
        <f>IF(Table1[[#This Row],[Solar 
Resource]]&lt;3,"Low", IF(Table1[[#This Row],[Solar 
Resource]]&lt;4, "Moderate","High"))</f>
        <v>Moderate</v>
      </c>
      <c r="L231" s="11">
        <v>0.98302920000000005</v>
      </c>
      <c r="M231" s="11">
        <v>8.9099999999999999E-2</v>
      </c>
      <c r="N231" s="11">
        <v>2.8591785669999998</v>
      </c>
      <c r="O231" s="11">
        <v>3.8313000000000001</v>
      </c>
      <c r="P231" s="11">
        <f>Table1[[#This Row],[Installed Capacity 
(AC -MW)]]/Table1[[#This Row],[Installed Capacity 
(DC -MW)]]</f>
        <v>0.74626851643045433</v>
      </c>
      <c r="Q231" s="12">
        <v>0.19930238</v>
      </c>
      <c r="R231" s="12">
        <v>0.14873312</v>
      </c>
      <c r="S231" s="13">
        <v>68.210557010000002</v>
      </c>
      <c r="T231" s="11">
        <v>24.545058430000001</v>
      </c>
      <c r="U231" s="11">
        <v>429.90172050000001</v>
      </c>
      <c r="V231" s="13">
        <v>1649134.379</v>
      </c>
      <c r="W231" s="13">
        <v>1903539</v>
      </c>
      <c r="X231" s="13">
        <v>88.205100000000002</v>
      </c>
      <c r="Y231" s="14">
        <f>+Table1[[#This Row],[Generation Cost 
LCOE (USD/MWh)]]+Table1[[#This Row],[Transmission Cost
LCOT (USD/MWh)]]</f>
        <v>156.41565701000002</v>
      </c>
    </row>
    <row r="232" spans="1:25" x14ac:dyDescent="0.3">
      <c r="A232" s="7">
        <v>231</v>
      </c>
      <c r="B232" s="8">
        <v>4632</v>
      </c>
      <c r="C232" s="9">
        <v>48.819293999999999</v>
      </c>
      <c r="D232" s="9">
        <v>-116.48170500000001</v>
      </c>
      <c r="E232" s="10" t="s">
        <v>42</v>
      </c>
      <c r="F232" s="10" t="s">
        <v>1</v>
      </c>
      <c r="G232" s="10" t="s">
        <v>10</v>
      </c>
      <c r="H232" s="10">
        <v>-8</v>
      </c>
      <c r="I232" s="11">
        <v>587.5</v>
      </c>
      <c r="J232" s="11">
        <v>3.5075397000000001</v>
      </c>
      <c r="K232" s="11" t="str">
        <f>IF(Table1[[#This Row],[Solar 
Resource]]&lt;3,"Low", IF(Table1[[#This Row],[Solar 
Resource]]&lt;4, "Moderate","High"))</f>
        <v>Moderate</v>
      </c>
      <c r="L232" s="11">
        <v>0.98293286999999996</v>
      </c>
      <c r="M232" s="11">
        <v>0.13672800900000001</v>
      </c>
      <c r="N232" s="11">
        <v>4.3875402729999999</v>
      </c>
      <c r="O232" s="11">
        <v>5.879304372</v>
      </c>
      <c r="P232" s="11">
        <f>Table1[[#This Row],[Installed Capacity 
(AC -MW)]]/Table1[[#This Row],[Installed Capacity 
(DC -MW)]]</f>
        <v>0.74626860515939963</v>
      </c>
      <c r="Q232" s="12">
        <v>0.20085114000000001</v>
      </c>
      <c r="R232" s="12">
        <v>0.14988892000000001</v>
      </c>
      <c r="S232" s="13">
        <v>64.463418399999995</v>
      </c>
      <c r="T232" s="11">
        <v>11.92212337</v>
      </c>
      <c r="U232" s="11">
        <v>431.88811670000001</v>
      </c>
      <c r="V232" s="13">
        <v>1654794.2279999999</v>
      </c>
      <c r="W232" s="13">
        <v>1794893.5</v>
      </c>
      <c r="X232" s="13">
        <v>82.529409999999999</v>
      </c>
      <c r="Y232" s="14">
        <f>+Table1[[#This Row],[Generation Cost 
LCOE (USD/MWh)]]+Table1[[#This Row],[Transmission Cost
LCOT (USD/MWh)]]</f>
        <v>146.99282840000001</v>
      </c>
    </row>
    <row r="233" spans="1:25" x14ac:dyDescent="0.3">
      <c r="A233" s="7">
        <v>232</v>
      </c>
      <c r="B233" s="8">
        <v>4633</v>
      </c>
      <c r="C233" s="9">
        <v>48.840200000000003</v>
      </c>
      <c r="D233" s="9">
        <v>-116.31950000000001</v>
      </c>
      <c r="E233" s="10" t="s">
        <v>42</v>
      </c>
      <c r="F233" s="10" t="s">
        <v>1</v>
      </c>
      <c r="G233" s="10" t="s">
        <v>10</v>
      </c>
      <c r="H233" s="10">
        <v>-8</v>
      </c>
      <c r="I233" s="11">
        <v>794.6875</v>
      </c>
      <c r="J233" s="11">
        <v>3.4933573999999998</v>
      </c>
      <c r="K233" s="11" t="str">
        <f>IF(Table1[[#This Row],[Solar 
Resource]]&lt;3,"Low", IF(Table1[[#This Row],[Solar 
Resource]]&lt;4, "Moderate","High"))</f>
        <v>Moderate</v>
      </c>
      <c r="L233" s="11">
        <v>0.98355912999999995</v>
      </c>
      <c r="M233" s="11">
        <v>27.405539210000001</v>
      </c>
      <c r="N233" s="11">
        <v>879.43142120000005</v>
      </c>
      <c r="O233" s="11">
        <v>1178.4381860000001</v>
      </c>
      <c r="P233" s="11">
        <f>Table1[[#This Row],[Installed Capacity 
(AC -MW)]]/Table1[[#This Row],[Installed Capacity 
(DC -MW)]]</f>
        <v>0.74626860504671388</v>
      </c>
      <c r="Q233" s="12">
        <v>0.20074876999999999</v>
      </c>
      <c r="R233" s="12">
        <v>0.14981252</v>
      </c>
      <c r="S233" s="13">
        <v>47.661738190000001</v>
      </c>
      <c r="T233" s="11">
        <v>1.5427922060000001</v>
      </c>
      <c r="U233" s="11">
        <v>434.5854673</v>
      </c>
      <c r="V233" s="13">
        <v>1665741.304</v>
      </c>
      <c r="W233" s="13">
        <v>1721858.4</v>
      </c>
      <c r="X233" s="13">
        <v>79.21163</v>
      </c>
      <c r="Y233" s="14">
        <f>+Table1[[#This Row],[Generation Cost 
LCOE (USD/MWh)]]+Table1[[#This Row],[Transmission Cost
LCOT (USD/MWh)]]</f>
        <v>126.87336819000001</v>
      </c>
    </row>
    <row r="234" spans="1:25" x14ac:dyDescent="0.3">
      <c r="A234" s="7">
        <v>233</v>
      </c>
      <c r="B234" s="8">
        <v>4634</v>
      </c>
      <c r="C234" s="9">
        <v>48.860939999999999</v>
      </c>
      <c r="D234" s="9">
        <v>-116.157166</v>
      </c>
      <c r="E234" s="10" t="s">
        <v>42</v>
      </c>
      <c r="F234" s="10" t="s">
        <v>1</v>
      </c>
      <c r="G234" s="10" t="s">
        <v>10</v>
      </c>
      <c r="H234" s="10">
        <v>-8</v>
      </c>
      <c r="I234" s="11">
        <v>1262.3</v>
      </c>
      <c r="J234" s="11">
        <v>3.4450414</v>
      </c>
      <c r="K234" s="11" t="str">
        <f>IF(Table1[[#This Row],[Solar 
Resource]]&lt;3,"Low", IF(Table1[[#This Row],[Solar 
Resource]]&lt;4, "Moderate","High"))</f>
        <v>Moderate</v>
      </c>
      <c r="L234" s="11">
        <v>0.98361814000000003</v>
      </c>
      <c r="M234" s="11">
        <v>5.983631763</v>
      </c>
      <c r="N234" s="11">
        <v>192.0120507</v>
      </c>
      <c r="O234" s="11">
        <v>257.29616579999998</v>
      </c>
      <c r="P234" s="11">
        <f>Table1[[#This Row],[Installed Capacity 
(AC -MW)]]/Table1[[#This Row],[Installed Capacity 
(DC -MW)]]</f>
        <v>0.74626860490899716</v>
      </c>
      <c r="Q234" s="12">
        <v>0.19934799</v>
      </c>
      <c r="R234" s="12">
        <v>0.14876717</v>
      </c>
      <c r="S234" s="13">
        <v>47.998909830000002</v>
      </c>
      <c r="T234" s="11">
        <v>16.702266219999998</v>
      </c>
      <c r="U234" s="11">
        <v>425.64613609999998</v>
      </c>
      <c r="V234" s="13">
        <v>1633683.787</v>
      </c>
      <c r="W234" s="13">
        <v>1797780.1</v>
      </c>
      <c r="X234" s="13">
        <v>83.285445999999993</v>
      </c>
      <c r="Y234" s="14">
        <f>+Table1[[#This Row],[Generation Cost 
LCOE (USD/MWh)]]+Table1[[#This Row],[Transmission Cost
LCOT (USD/MWh)]]</f>
        <v>131.28435582999998</v>
      </c>
    </row>
    <row r="235" spans="1:25" x14ac:dyDescent="0.3">
      <c r="A235" s="7">
        <v>234</v>
      </c>
      <c r="B235" s="8">
        <v>4636</v>
      </c>
      <c r="C235" s="9">
        <v>48.90193</v>
      </c>
      <c r="D235" s="9">
        <v>-115.83215</v>
      </c>
      <c r="E235" s="10" t="s">
        <v>42</v>
      </c>
      <c r="F235" s="10" t="s">
        <v>3</v>
      </c>
      <c r="G235" s="10" t="s">
        <v>27</v>
      </c>
      <c r="H235" s="10">
        <v>-7</v>
      </c>
      <c r="I235" s="11">
        <v>1282.125</v>
      </c>
      <c r="J235" s="11">
        <v>3.4544703999999999</v>
      </c>
      <c r="K235" s="11" t="str">
        <f>IF(Table1[[#This Row],[Solar 
Resource]]&lt;3,"Low", IF(Table1[[#This Row],[Solar 
Resource]]&lt;4, "Moderate","High"))</f>
        <v>Moderate</v>
      </c>
      <c r="L235" s="11">
        <v>0.98403459999999998</v>
      </c>
      <c r="M235" s="11">
        <v>4.5534957819999997</v>
      </c>
      <c r="N235" s="11">
        <v>146.11963069999999</v>
      </c>
      <c r="O235" s="11">
        <v>195.8003186</v>
      </c>
      <c r="P235" s="11">
        <f>Table1[[#This Row],[Installed Capacity 
(AC -MW)]]/Table1[[#This Row],[Installed Capacity 
(DC -MW)]]</f>
        <v>0.7462686054076727</v>
      </c>
      <c r="Q235" s="12">
        <v>0.19983128</v>
      </c>
      <c r="R235" s="12">
        <v>0.1491278</v>
      </c>
      <c r="S235" s="13">
        <v>47.898755620000003</v>
      </c>
      <c r="T235" s="11">
        <v>37.931214249999996</v>
      </c>
      <c r="U235" s="11">
        <v>363.42442190000003</v>
      </c>
      <c r="V235" s="13">
        <v>1624341.7120000001</v>
      </c>
      <c r="W235" s="13">
        <v>2060951.5</v>
      </c>
      <c r="X235" s="13">
        <v>95.246430000000004</v>
      </c>
      <c r="Y235" s="14">
        <f>+Table1[[#This Row],[Generation Cost 
LCOE (USD/MWh)]]+Table1[[#This Row],[Transmission Cost
LCOT (USD/MWh)]]</f>
        <v>143.14518562000001</v>
      </c>
    </row>
    <row r="236" spans="1:25" x14ac:dyDescent="0.3">
      <c r="A236" s="7">
        <v>235</v>
      </c>
      <c r="B236" s="8">
        <v>4637</v>
      </c>
      <c r="C236" s="9">
        <v>48.922184000000001</v>
      </c>
      <c r="D236" s="9">
        <v>-115.669464</v>
      </c>
      <c r="E236" s="10" t="s">
        <v>42</v>
      </c>
      <c r="F236" s="10" t="s">
        <v>3</v>
      </c>
      <c r="G236" s="10" t="s">
        <v>27</v>
      </c>
      <c r="H236" s="10">
        <v>-7</v>
      </c>
      <c r="I236" s="11">
        <v>1119.2</v>
      </c>
      <c r="J236" s="11">
        <v>3.4206831000000002</v>
      </c>
      <c r="K236" s="11" t="str">
        <f>IF(Table1[[#This Row],[Solar 
Resource]]&lt;3,"Low", IF(Table1[[#This Row],[Solar 
Resource]]&lt;4, "Moderate","High"))</f>
        <v>Moderate</v>
      </c>
      <c r="L236" s="11">
        <v>0.98428093999999999</v>
      </c>
      <c r="M236" s="11">
        <v>11.48061687</v>
      </c>
      <c r="N236" s="11">
        <v>368.40778549999999</v>
      </c>
      <c r="O236" s="11">
        <v>493.66652540000001</v>
      </c>
      <c r="P236" s="11">
        <f>Table1[[#This Row],[Installed Capacity 
(AC -MW)]]/Table1[[#This Row],[Installed Capacity 
(DC -MW)]]</f>
        <v>0.74626851638662872</v>
      </c>
      <c r="Q236" s="12">
        <v>0.1963165</v>
      </c>
      <c r="R236" s="12">
        <v>0.14650482000000001</v>
      </c>
      <c r="S236" s="13">
        <v>48.765906020000003</v>
      </c>
      <c r="T236" s="11">
        <v>56.00687009</v>
      </c>
      <c r="U236" s="11">
        <v>362.84714270000001</v>
      </c>
      <c r="V236" s="13">
        <v>1621424.642</v>
      </c>
      <c r="W236" s="13">
        <v>2106063.2000000002</v>
      </c>
      <c r="X236" s="13">
        <v>99.073845000000006</v>
      </c>
      <c r="Y236" s="14">
        <f>+Table1[[#This Row],[Generation Cost 
LCOE (USD/MWh)]]+Table1[[#This Row],[Transmission Cost
LCOT (USD/MWh)]]</f>
        <v>147.83975101999999</v>
      </c>
    </row>
    <row r="237" spans="1:25" x14ac:dyDescent="0.3">
      <c r="A237" s="7">
        <v>236</v>
      </c>
      <c r="B237" s="8">
        <v>4638</v>
      </c>
      <c r="C237" s="9">
        <v>48.942270000000001</v>
      </c>
      <c r="D237" s="9">
        <v>-115.50667</v>
      </c>
      <c r="E237" s="10" t="s">
        <v>42</v>
      </c>
      <c r="F237" s="10" t="s">
        <v>3</v>
      </c>
      <c r="G237" s="10" t="s">
        <v>27</v>
      </c>
      <c r="H237" s="10">
        <v>-7</v>
      </c>
      <c r="I237" s="11">
        <v>1272.555556</v>
      </c>
      <c r="J237" s="11">
        <v>3.4087448</v>
      </c>
      <c r="K237" s="11" t="str">
        <f>IF(Table1[[#This Row],[Solar 
Resource]]&lt;3,"Low", IF(Table1[[#This Row],[Solar 
Resource]]&lt;4, "Moderate","High"))</f>
        <v>Moderate</v>
      </c>
      <c r="L237" s="11">
        <v>0.98442364000000004</v>
      </c>
      <c r="M237" s="11">
        <v>7.5715560789999996</v>
      </c>
      <c r="N237" s="11">
        <v>242.9678275</v>
      </c>
      <c r="O237" s="11">
        <v>325.57691139999997</v>
      </c>
      <c r="P237" s="11">
        <f>Table1[[#This Row],[Installed Capacity 
(AC -MW)]]/Table1[[#This Row],[Installed Capacity 
(DC -MW)]]</f>
        <v>0.74626860502860592</v>
      </c>
      <c r="Q237" s="12">
        <v>0.19675123999999999</v>
      </c>
      <c r="R237" s="12">
        <v>0.14682929</v>
      </c>
      <c r="S237" s="13">
        <v>48.663677159999999</v>
      </c>
      <c r="T237" s="11">
        <v>63.560019429999997</v>
      </c>
      <c r="U237" s="11">
        <v>362.84714270000001</v>
      </c>
      <c r="V237" s="13">
        <v>1621424.642</v>
      </c>
      <c r="W237" s="13">
        <v>2233348</v>
      </c>
      <c r="X237" s="13">
        <v>104.82944999999999</v>
      </c>
      <c r="Y237" s="14">
        <f>+Table1[[#This Row],[Generation Cost 
LCOE (USD/MWh)]]+Table1[[#This Row],[Transmission Cost
LCOT (USD/MWh)]]</f>
        <v>153.49312716</v>
      </c>
    </row>
    <row r="238" spans="1:25" x14ac:dyDescent="0.3">
      <c r="A238" s="7">
        <v>237</v>
      </c>
      <c r="B238" s="8">
        <v>4639</v>
      </c>
      <c r="C238" s="9">
        <v>48.962192999999999</v>
      </c>
      <c r="D238" s="9">
        <v>-115.34374</v>
      </c>
      <c r="E238" s="10" t="s">
        <v>42</v>
      </c>
      <c r="F238" s="10" t="s">
        <v>3</v>
      </c>
      <c r="G238" s="10" t="s">
        <v>27</v>
      </c>
      <c r="H238" s="10">
        <v>-7</v>
      </c>
      <c r="I238" s="11">
        <v>1320</v>
      </c>
      <c r="J238" s="11">
        <v>3.5136926000000002</v>
      </c>
      <c r="K238" s="11" t="str">
        <f>IF(Table1[[#This Row],[Solar 
Resource]]&lt;3,"Low", IF(Table1[[#This Row],[Solar 
Resource]]&lt;4, "Moderate","High"))</f>
        <v>Moderate</v>
      </c>
      <c r="L238" s="11">
        <v>0.98457795000000004</v>
      </c>
      <c r="M238" s="11">
        <v>1.978344044</v>
      </c>
      <c r="N238" s="11">
        <v>63.484170169999999</v>
      </c>
      <c r="O238" s="11">
        <v>85.068793909999997</v>
      </c>
      <c r="P238" s="11">
        <f>Table1[[#This Row],[Installed Capacity 
(AC -MW)]]/Table1[[#This Row],[Installed Capacity 
(DC -MW)]]</f>
        <v>0.74626860511463433</v>
      </c>
      <c r="Q238" s="12">
        <v>0.20435086999999999</v>
      </c>
      <c r="R238" s="12">
        <v>0.15250067</v>
      </c>
      <c r="S238" s="13">
        <v>47.328741620000002</v>
      </c>
      <c r="T238" s="11">
        <v>53.61789606</v>
      </c>
      <c r="U238" s="11">
        <v>277.9694609</v>
      </c>
      <c r="V238" s="13">
        <v>1119163.2320000001</v>
      </c>
      <c r="W238" s="13">
        <v>1589206</v>
      </c>
      <c r="X238" s="13">
        <v>71.820449999999994</v>
      </c>
      <c r="Y238" s="14">
        <f>+Table1[[#This Row],[Generation Cost 
LCOE (USD/MWh)]]+Table1[[#This Row],[Transmission Cost
LCOT (USD/MWh)]]</f>
        <v>119.14919162</v>
      </c>
    </row>
    <row r="239" spans="1:25" x14ac:dyDescent="0.3">
      <c r="A239" s="7">
        <v>238</v>
      </c>
      <c r="B239" s="8">
        <v>4640</v>
      </c>
      <c r="C239" s="9">
        <v>48.981952999999997</v>
      </c>
      <c r="D239" s="9">
        <v>-115.18071</v>
      </c>
      <c r="E239" s="10" t="s">
        <v>42</v>
      </c>
      <c r="F239" s="10" t="s">
        <v>3</v>
      </c>
      <c r="G239" s="10" t="s">
        <v>27</v>
      </c>
      <c r="H239" s="10">
        <v>-7</v>
      </c>
      <c r="I239" s="11">
        <v>884.7</v>
      </c>
      <c r="J239" s="11">
        <v>3.4827373000000001</v>
      </c>
      <c r="K239" s="11" t="str">
        <f>IF(Table1[[#This Row],[Solar 
Resource]]&lt;3,"Low", IF(Table1[[#This Row],[Solar 
Resource]]&lt;4, "Moderate","High"))</f>
        <v>Moderate</v>
      </c>
      <c r="L239" s="11">
        <v>0.98464686000000001</v>
      </c>
      <c r="M239" s="11">
        <v>27.692118239999999</v>
      </c>
      <c r="N239" s="11">
        <v>888.62761330000001</v>
      </c>
      <c r="O239" s="11">
        <v>1190.761084</v>
      </c>
      <c r="P239" s="11">
        <f>Table1[[#This Row],[Installed Capacity 
(AC -MW)]]/Table1[[#This Row],[Installed Capacity 
(DC -MW)]]</f>
        <v>0.74626860521417582</v>
      </c>
      <c r="Q239" s="12">
        <v>0.20081782000000001</v>
      </c>
      <c r="R239" s="12">
        <v>0.14986403000000001</v>
      </c>
      <c r="S239" s="13">
        <v>47.686733160000003</v>
      </c>
      <c r="T239" s="11">
        <v>49.42298049</v>
      </c>
      <c r="U239" s="11">
        <v>277.9694609</v>
      </c>
      <c r="V239" s="13">
        <v>1119163.2320000001</v>
      </c>
      <c r="W239" s="13">
        <v>1489046.4</v>
      </c>
      <c r="X239" s="13">
        <v>68.477890000000002</v>
      </c>
      <c r="Y239" s="14">
        <f>+Table1[[#This Row],[Generation Cost 
LCOE (USD/MWh)]]+Table1[[#This Row],[Transmission Cost
LCOT (USD/MWh)]]</f>
        <v>116.16462316</v>
      </c>
    </row>
    <row r="240" spans="1:25" x14ac:dyDescent="0.3">
      <c r="A240" s="7">
        <v>239</v>
      </c>
      <c r="B240" s="8">
        <v>4963</v>
      </c>
      <c r="C240" s="9">
        <v>47.506382000000002</v>
      </c>
      <c r="D240" s="9">
        <v>-124.21818500000001</v>
      </c>
      <c r="E240" s="10" t="s">
        <v>42</v>
      </c>
      <c r="F240" s="10" t="s">
        <v>4</v>
      </c>
      <c r="G240" s="10" t="s">
        <v>18</v>
      </c>
      <c r="H240" s="10">
        <v>-8</v>
      </c>
      <c r="I240" s="11">
        <v>103.36842110000001</v>
      </c>
      <c r="J240" s="11">
        <v>3.137397</v>
      </c>
      <c r="K240" s="11" t="str">
        <f>IF(Table1[[#This Row],[Solar 
Resource]]&lt;3,"Low", IF(Table1[[#This Row],[Solar 
Resource]]&lt;4, "Moderate","High"))</f>
        <v>Moderate</v>
      </c>
      <c r="L240" s="11">
        <v>1.0209222</v>
      </c>
      <c r="M240" s="11">
        <v>86.021683589999995</v>
      </c>
      <c r="N240" s="11">
        <v>2760.3967899999998</v>
      </c>
      <c r="O240" s="11">
        <v>3698.9323949999998</v>
      </c>
      <c r="P240" s="11">
        <f>Table1[[#This Row],[Installed Capacity 
(AC -MW)]]/Table1[[#This Row],[Installed Capacity 
(DC -MW)]]</f>
        <v>0.74626851621601475</v>
      </c>
      <c r="Q240" s="12">
        <v>0.18311964999999999</v>
      </c>
      <c r="R240" s="12">
        <v>0.13665646000000001</v>
      </c>
      <c r="S240" s="13">
        <v>53.808869319999999</v>
      </c>
      <c r="T240" s="11">
        <v>39.813720750000002</v>
      </c>
      <c r="U240" s="11">
        <v>264.2096037</v>
      </c>
      <c r="V240" s="13">
        <v>913839.36369999999</v>
      </c>
      <c r="W240" s="13">
        <v>1193913.8</v>
      </c>
      <c r="X240" s="13">
        <v>60.211905999999999</v>
      </c>
      <c r="Y240" s="14">
        <f>+Table1[[#This Row],[Generation Cost 
LCOE (USD/MWh)]]+Table1[[#This Row],[Transmission Cost
LCOT (USD/MWh)]]</f>
        <v>114.02077532</v>
      </c>
    </row>
    <row r="241" spans="1:25" x14ac:dyDescent="0.3">
      <c r="A241" s="7">
        <v>240</v>
      </c>
      <c r="B241" s="8">
        <v>4964</v>
      </c>
      <c r="C241" s="9">
        <v>47.534953999999999</v>
      </c>
      <c r="D241" s="9">
        <v>-124.06305</v>
      </c>
      <c r="E241" s="10" t="s">
        <v>42</v>
      </c>
      <c r="F241" s="10" t="s">
        <v>4</v>
      </c>
      <c r="G241" s="10" t="s">
        <v>18</v>
      </c>
      <c r="H241" s="10">
        <v>-8</v>
      </c>
      <c r="I241" s="11">
        <v>259.2307692</v>
      </c>
      <c r="J241" s="11">
        <v>3.0965995999999998</v>
      </c>
      <c r="K241" s="11" t="str">
        <f>IF(Table1[[#This Row],[Solar 
Resource]]&lt;3,"Low", IF(Table1[[#This Row],[Solar 
Resource]]&lt;4, "Moderate","High"))</f>
        <v>Moderate</v>
      </c>
      <c r="L241" s="11">
        <v>1.0208117999999999</v>
      </c>
      <c r="M241" s="11">
        <v>40.606597270000002</v>
      </c>
      <c r="N241" s="11">
        <v>1303.0474340000001</v>
      </c>
      <c r="O241" s="11">
        <v>1746.083682</v>
      </c>
      <c r="P241" s="11">
        <f>Table1[[#This Row],[Installed Capacity 
(AC -MW)]]/Table1[[#This Row],[Installed Capacity 
(DC -MW)]]</f>
        <v>0.7462686052408799</v>
      </c>
      <c r="Q241" s="12">
        <v>0.18070074999999999</v>
      </c>
      <c r="R241" s="12">
        <v>0.13485132</v>
      </c>
      <c r="S241" s="13">
        <v>54.524500510000003</v>
      </c>
      <c r="T241" s="11">
        <v>38.0935779</v>
      </c>
      <c r="U241" s="11">
        <v>271.5044479</v>
      </c>
      <c r="V241" s="13">
        <v>949583.45409999997</v>
      </c>
      <c r="W241" s="13">
        <v>1224909.8</v>
      </c>
      <c r="X241" s="13">
        <v>62.602046999999999</v>
      </c>
      <c r="Y241" s="14">
        <f>+Table1[[#This Row],[Generation Cost 
LCOE (USD/MWh)]]+Table1[[#This Row],[Transmission Cost
LCOT (USD/MWh)]]</f>
        <v>117.12654750999999</v>
      </c>
    </row>
    <row r="242" spans="1:25" x14ac:dyDescent="0.3">
      <c r="A242" s="7">
        <v>241</v>
      </c>
      <c r="B242" s="8">
        <v>4965</v>
      </c>
      <c r="C242" s="9">
        <v>47.563380000000002</v>
      </c>
      <c r="D242" s="9">
        <v>-123.90774500000001</v>
      </c>
      <c r="E242" s="10" t="s">
        <v>42</v>
      </c>
      <c r="F242" s="10" t="s">
        <v>4</v>
      </c>
      <c r="G242" s="10" t="s">
        <v>21</v>
      </c>
      <c r="H242" s="10">
        <v>-8</v>
      </c>
      <c r="I242" s="11">
        <v>543</v>
      </c>
      <c r="J242" s="11">
        <v>3.0775046000000001</v>
      </c>
      <c r="K242" s="11" t="str">
        <f>IF(Table1[[#This Row],[Solar 
Resource]]&lt;3,"Low", IF(Table1[[#This Row],[Solar 
Resource]]&lt;4, "Moderate","High"))</f>
        <v>Moderate</v>
      </c>
      <c r="L242" s="11">
        <v>1.0207288000000001</v>
      </c>
      <c r="M242" s="11">
        <v>0.19277999400000001</v>
      </c>
      <c r="N242" s="11">
        <v>6.1862225190000002</v>
      </c>
      <c r="O242" s="11">
        <v>8.2895397339999999</v>
      </c>
      <c r="P242" s="11">
        <f>Table1[[#This Row],[Installed Capacity 
(AC -MW)]]/Table1[[#This Row],[Installed Capacity 
(DC -MW)]]</f>
        <v>0.74626851640832004</v>
      </c>
      <c r="Q242" s="12">
        <v>0.17751581999999999</v>
      </c>
      <c r="R242" s="12">
        <v>0.1324745</v>
      </c>
      <c r="S242" s="13">
        <v>72.419477290000003</v>
      </c>
      <c r="T242" s="11">
        <v>39.633720750000002</v>
      </c>
      <c r="U242" s="11">
        <v>271.5044479</v>
      </c>
      <c r="V242" s="13">
        <v>949583.45409999997</v>
      </c>
      <c r="W242" s="13">
        <v>1284885.8</v>
      </c>
      <c r="X242" s="13">
        <v>66.84545</v>
      </c>
      <c r="Y242" s="14">
        <f>+Table1[[#This Row],[Generation Cost 
LCOE (USD/MWh)]]+Table1[[#This Row],[Transmission Cost
LCOT (USD/MWh)]]</f>
        <v>139.26492729</v>
      </c>
    </row>
    <row r="243" spans="1:25" x14ac:dyDescent="0.3">
      <c r="A243" s="7">
        <v>242</v>
      </c>
      <c r="B243" s="8">
        <v>4971</v>
      </c>
      <c r="C243" s="9">
        <v>47.730716999999999</v>
      </c>
      <c r="D243" s="9">
        <v>-122.97278</v>
      </c>
      <c r="E243" s="10" t="s">
        <v>42</v>
      </c>
      <c r="F243" s="10" t="s">
        <v>4</v>
      </c>
      <c r="G243" s="10" t="s">
        <v>21</v>
      </c>
      <c r="H243" s="10">
        <v>-8</v>
      </c>
      <c r="I243" s="11">
        <v>258.5</v>
      </c>
      <c r="J243" s="11">
        <v>3.2652192000000002</v>
      </c>
      <c r="K243" s="11" t="str">
        <f>IF(Table1[[#This Row],[Solar 
Resource]]&lt;3,"Low", IF(Table1[[#This Row],[Solar 
Resource]]&lt;4, "Moderate","High"))</f>
        <v>Moderate</v>
      </c>
      <c r="L243" s="11">
        <v>1.0209999999999999</v>
      </c>
      <c r="M243" s="11">
        <v>0.49167000599999999</v>
      </c>
      <c r="N243" s="11">
        <v>15.77746926</v>
      </c>
      <c r="O243" s="11">
        <v>21.141810270000001</v>
      </c>
      <c r="P243" s="11">
        <f>Table1[[#This Row],[Installed Capacity 
(AC -MW)]]/Table1[[#This Row],[Installed Capacity 
(DC -MW)]]</f>
        <v>0.74626860512451287</v>
      </c>
      <c r="Q243" s="12">
        <v>0.18735282</v>
      </c>
      <c r="R243" s="12">
        <v>0.13981557</v>
      </c>
      <c r="S243" s="13">
        <v>61.809166470000001</v>
      </c>
      <c r="T243" s="11">
        <v>8.9664675299999992</v>
      </c>
      <c r="U243" s="11">
        <v>233.38327910000001</v>
      </c>
      <c r="V243" s="13">
        <v>757057.31660000002</v>
      </c>
      <c r="W243" s="13">
        <v>868757.8</v>
      </c>
      <c r="X243" s="13">
        <v>42.823574000000001</v>
      </c>
      <c r="Y243" s="14">
        <f>+Table1[[#This Row],[Generation Cost 
LCOE (USD/MWh)]]+Table1[[#This Row],[Transmission Cost
LCOT (USD/MWh)]]</f>
        <v>104.63274047</v>
      </c>
    </row>
    <row r="244" spans="1:25" x14ac:dyDescent="0.3">
      <c r="A244" s="7">
        <v>243</v>
      </c>
      <c r="B244" s="8">
        <v>4973</v>
      </c>
      <c r="C244" s="9">
        <v>47.785269999999997</v>
      </c>
      <c r="D244" s="9">
        <v>-122.659904</v>
      </c>
      <c r="E244" s="10" t="s">
        <v>42</v>
      </c>
      <c r="F244" s="10" t="s">
        <v>4</v>
      </c>
      <c r="G244" s="10" t="s">
        <v>23</v>
      </c>
      <c r="H244" s="10">
        <v>-8</v>
      </c>
      <c r="I244" s="11">
        <v>72.75</v>
      </c>
      <c r="J244" s="11">
        <v>3.2487911999999999</v>
      </c>
      <c r="K244" s="11" t="str">
        <f>IF(Table1[[#This Row],[Solar 
Resource]]&lt;3,"Low", IF(Table1[[#This Row],[Solar 
Resource]]&lt;4, "Moderate","High"))</f>
        <v>Moderate</v>
      </c>
      <c r="L244" s="11">
        <v>1.0211307999999999</v>
      </c>
      <c r="M244" s="11">
        <v>21.9105791</v>
      </c>
      <c r="N244" s="11">
        <v>703.10070759999996</v>
      </c>
      <c r="O244" s="11">
        <v>942.15490139999997</v>
      </c>
      <c r="P244" s="11">
        <f>Table1[[#This Row],[Installed Capacity 
(AC -MW)]]/Table1[[#This Row],[Installed Capacity 
(DC -MW)]]</f>
        <v>0.74626869377341642</v>
      </c>
      <c r="Q244" s="12">
        <v>0.18371195000000001</v>
      </c>
      <c r="R244" s="12">
        <v>0.13709847999999999</v>
      </c>
      <c r="S244" s="13">
        <v>53.644070560000003</v>
      </c>
      <c r="T244" s="11">
        <v>4.547422074</v>
      </c>
      <c r="U244" s="11">
        <v>258.47893490000001</v>
      </c>
      <c r="V244" s="13">
        <v>896033.33840000001</v>
      </c>
      <c r="W244" s="13">
        <v>965831.7</v>
      </c>
      <c r="X244" s="13">
        <v>48.552146999999998</v>
      </c>
      <c r="Y244" s="14">
        <f>+Table1[[#This Row],[Generation Cost 
LCOE (USD/MWh)]]+Table1[[#This Row],[Transmission Cost
LCOT (USD/MWh)]]</f>
        <v>102.19621756000001</v>
      </c>
    </row>
    <row r="245" spans="1:25" x14ac:dyDescent="0.3">
      <c r="A245" s="7">
        <v>244</v>
      </c>
      <c r="B245" s="8">
        <v>4974</v>
      </c>
      <c r="C245" s="9">
        <v>47.812317</v>
      </c>
      <c r="D245" s="9">
        <v>-122.50324000000001</v>
      </c>
      <c r="E245" s="10" t="s">
        <v>42</v>
      </c>
      <c r="F245" s="10" t="s">
        <v>4</v>
      </c>
      <c r="G245" s="10" t="s">
        <v>23</v>
      </c>
      <c r="H245" s="10">
        <v>-8</v>
      </c>
      <c r="I245" s="11">
        <v>58.571428570000002</v>
      </c>
      <c r="J245" s="11">
        <v>3.2643094000000001</v>
      </c>
      <c r="K245" s="11" t="str">
        <f>IF(Table1[[#This Row],[Solar 
Resource]]&lt;3,"Low", IF(Table1[[#This Row],[Solar 
Resource]]&lt;4, "Moderate","High"))</f>
        <v>Moderate</v>
      </c>
      <c r="L245" s="11">
        <v>1.0211684000000001</v>
      </c>
      <c r="M245" s="11">
        <v>16.871894600000001</v>
      </c>
      <c r="N245" s="11">
        <v>541.41157020000003</v>
      </c>
      <c r="O245" s="11">
        <v>725.49146800000005</v>
      </c>
      <c r="P245" s="11">
        <f>Table1[[#This Row],[Installed Capacity 
(AC -MW)]]/Table1[[#This Row],[Installed Capacity 
(DC -MW)]]</f>
        <v>0.74626869381736127</v>
      </c>
      <c r="Q245" s="12">
        <v>0.18417639</v>
      </c>
      <c r="R245" s="12">
        <v>0.13744506000000001</v>
      </c>
      <c r="S245" s="13">
        <v>53.510345999999998</v>
      </c>
      <c r="T245" s="11">
        <v>16.843889600000001</v>
      </c>
      <c r="U245" s="11">
        <v>261.50275310000001</v>
      </c>
      <c r="V245" s="13">
        <v>907824.79379999998</v>
      </c>
      <c r="W245" s="13">
        <v>956753.5</v>
      </c>
      <c r="X245" s="13">
        <v>47.974510000000002</v>
      </c>
      <c r="Y245" s="14">
        <f>+Table1[[#This Row],[Generation Cost 
LCOE (USD/MWh)]]+Table1[[#This Row],[Transmission Cost
LCOT (USD/MWh)]]</f>
        <v>101.48485600000001</v>
      </c>
    </row>
    <row r="246" spans="1:25" x14ac:dyDescent="0.3">
      <c r="A246" s="7">
        <v>245</v>
      </c>
      <c r="B246" s="8">
        <v>4975</v>
      </c>
      <c r="C246" s="9">
        <v>47.839207000000002</v>
      </c>
      <c r="D246" s="9">
        <v>-122.346436</v>
      </c>
      <c r="E246" s="10" t="s">
        <v>42</v>
      </c>
      <c r="F246" s="10" t="s">
        <v>4</v>
      </c>
      <c r="G246" s="10" t="s">
        <v>35</v>
      </c>
      <c r="H246" s="10">
        <v>-8</v>
      </c>
      <c r="I246" s="11">
        <v>112</v>
      </c>
      <c r="J246" s="11">
        <v>3.2646964000000001</v>
      </c>
      <c r="K246" s="11" t="str">
        <f>IF(Table1[[#This Row],[Solar 
Resource]]&lt;3,"Low", IF(Table1[[#This Row],[Solar 
Resource]]&lt;4, "Moderate","High"))</f>
        <v>Moderate</v>
      </c>
      <c r="L246" s="11">
        <v>1.0211579</v>
      </c>
      <c r="M246" s="11">
        <v>2.3547509309999999</v>
      </c>
      <c r="N246" s="11">
        <v>75.562906760000004</v>
      </c>
      <c r="O246" s="11">
        <v>101.25429</v>
      </c>
      <c r="P246" s="11">
        <f>Table1[[#This Row],[Installed Capacity 
(AC -MW)]]/Table1[[#This Row],[Installed Capacity 
(DC -MW)]]</f>
        <v>0.74626869399805185</v>
      </c>
      <c r="Q246" s="12">
        <v>0.18466389</v>
      </c>
      <c r="R246" s="12">
        <v>0.13780887</v>
      </c>
      <c r="S246" s="13">
        <v>53.36865032</v>
      </c>
      <c r="T246" s="11">
        <v>1.558233765</v>
      </c>
      <c r="U246" s="11">
        <v>42.842837639999999</v>
      </c>
      <c r="V246" s="13">
        <v>164685.70439999999</v>
      </c>
      <c r="W246" s="13">
        <v>200417.89</v>
      </c>
      <c r="X246" s="13">
        <v>10.023027000000001</v>
      </c>
      <c r="Y246" s="14">
        <f>+Table1[[#This Row],[Generation Cost 
LCOE (USD/MWh)]]+Table1[[#This Row],[Transmission Cost
LCOT (USD/MWh)]]</f>
        <v>63.391677319999999</v>
      </c>
    </row>
    <row r="247" spans="1:25" x14ac:dyDescent="0.3">
      <c r="A247" s="7">
        <v>246</v>
      </c>
      <c r="B247" s="8">
        <v>4976</v>
      </c>
      <c r="C247" s="9">
        <v>47.865943999999999</v>
      </c>
      <c r="D247" s="9">
        <v>-122.189476</v>
      </c>
      <c r="E247" s="10" t="s">
        <v>42</v>
      </c>
      <c r="F247" s="10" t="s">
        <v>4</v>
      </c>
      <c r="G247" s="10" t="s">
        <v>35</v>
      </c>
      <c r="H247" s="10">
        <v>-8</v>
      </c>
      <c r="I247" s="11">
        <v>101.31578949999999</v>
      </c>
      <c r="J247" s="11">
        <v>3.1395757</v>
      </c>
      <c r="K247" s="11" t="str">
        <f>IF(Table1[[#This Row],[Solar 
Resource]]&lt;3,"Low", IF(Table1[[#This Row],[Solar 
Resource]]&lt;4, "Moderate","High"))</f>
        <v>Moderate</v>
      </c>
      <c r="L247" s="11">
        <v>1.0210508</v>
      </c>
      <c r="M247" s="11">
        <v>10.33576216</v>
      </c>
      <c r="N247" s="11">
        <v>331.66995680000002</v>
      </c>
      <c r="O247" s="11">
        <v>444.4377728</v>
      </c>
      <c r="P247" s="11">
        <f>Table1[[#This Row],[Installed Capacity 
(AC -MW)]]/Table1[[#This Row],[Installed Capacity 
(DC -MW)]]</f>
        <v>0.74626860518728622</v>
      </c>
      <c r="Q247" s="12">
        <v>0.17665668000000001</v>
      </c>
      <c r="R247" s="12">
        <v>0.13183333999999999</v>
      </c>
      <c r="S247" s="13">
        <v>55.783027519999997</v>
      </c>
      <c r="T247" s="11">
        <v>1.5518376620000001</v>
      </c>
      <c r="U247" s="11">
        <v>43.11658439</v>
      </c>
      <c r="V247" s="13">
        <v>165188.87849999999</v>
      </c>
      <c r="W247" s="13">
        <v>195999.6</v>
      </c>
      <c r="X247" s="13">
        <v>10.246358000000001</v>
      </c>
      <c r="Y247" s="14">
        <f>+Table1[[#This Row],[Generation Cost 
LCOE (USD/MWh)]]+Table1[[#This Row],[Transmission Cost
LCOT (USD/MWh)]]</f>
        <v>66.029385520000005</v>
      </c>
    </row>
    <row r="248" spans="1:25" x14ac:dyDescent="0.3">
      <c r="A248" s="7">
        <v>247</v>
      </c>
      <c r="B248" s="8">
        <v>4977</v>
      </c>
      <c r="C248" s="9">
        <v>47.892524999999999</v>
      </c>
      <c r="D248" s="9">
        <v>-122.03237</v>
      </c>
      <c r="E248" s="10" t="s">
        <v>42</v>
      </c>
      <c r="F248" s="10" t="s">
        <v>4</v>
      </c>
      <c r="G248" s="10" t="s">
        <v>35</v>
      </c>
      <c r="H248" s="10">
        <v>-8</v>
      </c>
      <c r="I248" s="11">
        <v>72.833333330000002</v>
      </c>
      <c r="J248" s="11">
        <v>3.0837843</v>
      </c>
      <c r="K248" s="11" t="str">
        <f>IF(Table1[[#This Row],[Solar 
Resource]]&lt;3,"Low", IF(Table1[[#This Row],[Solar 
Resource]]&lt;4, "Moderate","High"))</f>
        <v>Moderate</v>
      </c>
      <c r="L248" s="11">
        <v>1.0208695999999999</v>
      </c>
      <c r="M248" s="11">
        <v>16.328464889999999</v>
      </c>
      <c r="N248" s="11">
        <v>523.97315319999996</v>
      </c>
      <c r="O248" s="11">
        <v>702.12399040000003</v>
      </c>
      <c r="P248" s="11">
        <f>Table1[[#This Row],[Installed Capacity 
(AC -MW)]]/Table1[[#This Row],[Installed Capacity 
(DC -MW)]]</f>
        <v>0.74626869379793226</v>
      </c>
      <c r="Q248" s="12">
        <v>0.17229758000000001</v>
      </c>
      <c r="R248" s="12">
        <v>0.12858029000000001</v>
      </c>
      <c r="S248" s="13">
        <v>57.186308050000001</v>
      </c>
      <c r="T248" s="11">
        <v>5.0320519419999998</v>
      </c>
      <c r="U248" s="11">
        <v>56.600688269999999</v>
      </c>
      <c r="V248" s="13">
        <v>209499.76759999999</v>
      </c>
      <c r="W248" s="13">
        <v>255987.73</v>
      </c>
      <c r="X248" s="13">
        <v>13.720957</v>
      </c>
      <c r="Y248" s="14">
        <f>+Table1[[#This Row],[Generation Cost 
LCOE (USD/MWh)]]+Table1[[#This Row],[Transmission Cost
LCOT (USD/MWh)]]</f>
        <v>70.907265050000007</v>
      </c>
    </row>
    <row r="249" spans="1:25" x14ac:dyDescent="0.3">
      <c r="A249" s="7">
        <v>248</v>
      </c>
      <c r="B249" s="8">
        <v>4978</v>
      </c>
      <c r="C249" s="9">
        <v>47.918953000000002</v>
      </c>
      <c r="D249" s="9">
        <v>-121.87512</v>
      </c>
      <c r="E249" s="10" t="s">
        <v>42</v>
      </c>
      <c r="F249" s="10" t="s">
        <v>4</v>
      </c>
      <c r="G249" s="10" t="s">
        <v>35</v>
      </c>
      <c r="H249" s="10">
        <v>-8</v>
      </c>
      <c r="I249" s="11">
        <v>179.1052632</v>
      </c>
      <c r="J249" s="11">
        <v>3.0043085</v>
      </c>
      <c r="K249" s="11" t="str">
        <f>IF(Table1[[#This Row],[Solar 
Resource]]&lt;3,"Low", IF(Table1[[#This Row],[Solar 
Resource]]&lt;4, "Moderate","High"))</f>
        <v>Moderate</v>
      </c>
      <c r="L249" s="11">
        <v>1.0201775</v>
      </c>
      <c r="M249" s="11">
        <v>35.04432568</v>
      </c>
      <c r="N249" s="11">
        <v>1124.556642</v>
      </c>
      <c r="O249" s="11">
        <v>1506.9060039999999</v>
      </c>
      <c r="P249" s="11">
        <f>Table1[[#This Row],[Installed Capacity 
(AC -MW)]]/Table1[[#This Row],[Installed Capacity 
(DC -MW)]]</f>
        <v>0.74626860535091477</v>
      </c>
      <c r="Q249" s="12">
        <v>0.1689174</v>
      </c>
      <c r="R249" s="12">
        <v>0.12605777000000001</v>
      </c>
      <c r="S249" s="13">
        <v>58.299331600000002</v>
      </c>
      <c r="T249" s="11">
        <v>2.9737467500000001</v>
      </c>
      <c r="U249" s="11">
        <v>73.381259679999999</v>
      </c>
      <c r="V249" s="13">
        <v>268374.27710000001</v>
      </c>
      <c r="W249" s="13">
        <v>315888.56</v>
      </c>
      <c r="X249" s="13">
        <v>17.27046</v>
      </c>
      <c r="Y249" s="14">
        <f>+Table1[[#This Row],[Generation Cost 
LCOE (USD/MWh)]]+Table1[[#This Row],[Transmission Cost
LCOT (USD/MWh)]]</f>
        <v>75.569791600000002</v>
      </c>
    </row>
    <row r="250" spans="1:25" x14ac:dyDescent="0.3">
      <c r="A250" s="7">
        <v>249</v>
      </c>
      <c r="B250" s="8">
        <v>4979</v>
      </c>
      <c r="C250" s="9">
        <v>47.945230000000002</v>
      </c>
      <c r="D250" s="9">
        <v>-121.71773</v>
      </c>
      <c r="E250" s="10" t="s">
        <v>42</v>
      </c>
      <c r="F250" s="10" t="s">
        <v>4</v>
      </c>
      <c r="G250" s="10" t="s">
        <v>35</v>
      </c>
      <c r="H250" s="10">
        <v>-8</v>
      </c>
      <c r="I250" s="11">
        <v>445.06666669999998</v>
      </c>
      <c r="J250" s="11">
        <v>2.9290853000000001</v>
      </c>
      <c r="K250" s="11" t="str">
        <f>IF(Table1[[#This Row],[Solar 
Resource]]&lt;3,"Low", IF(Table1[[#This Row],[Solar 
Resource]]&lt;4, "Moderate","High"))</f>
        <v>Low</v>
      </c>
      <c r="L250" s="11">
        <v>1.0196517</v>
      </c>
      <c r="M250" s="11">
        <v>17.176536469999999</v>
      </c>
      <c r="N250" s="11">
        <v>551.18726079999999</v>
      </c>
      <c r="O250" s="11">
        <v>738.59106840000004</v>
      </c>
      <c r="P250" s="11">
        <f>Table1[[#This Row],[Installed Capacity 
(AC -MW)]]/Table1[[#This Row],[Installed Capacity 
(DC -MW)]]</f>
        <v>0.74626851634427371</v>
      </c>
      <c r="Q250" s="12">
        <v>0.16557546000000001</v>
      </c>
      <c r="R250" s="12">
        <v>0.12356378</v>
      </c>
      <c r="S250" s="13">
        <v>59.451782600000001</v>
      </c>
      <c r="T250" s="11">
        <v>12.02116882</v>
      </c>
      <c r="U250" s="11">
        <v>102.43865580000001</v>
      </c>
      <c r="V250" s="13">
        <v>380717.73609999998</v>
      </c>
      <c r="W250" s="13">
        <v>500460.06</v>
      </c>
      <c r="X250" s="13">
        <v>27.913729</v>
      </c>
      <c r="Y250" s="14">
        <f>+Table1[[#This Row],[Generation Cost 
LCOE (USD/MWh)]]+Table1[[#This Row],[Transmission Cost
LCOT (USD/MWh)]]</f>
        <v>87.365511600000005</v>
      </c>
    </row>
    <row r="251" spans="1:25" x14ac:dyDescent="0.3">
      <c r="A251" s="7">
        <v>250</v>
      </c>
      <c r="B251" s="8">
        <v>4980</v>
      </c>
      <c r="C251" s="9">
        <v>47.971339999999998</v>
      </c>
      <c r="D251" s="9">
        <v>-121.56018</v>
      </c>
      <c r="E251" s="10" t="s">
        <v>42</v>
      </c>
      <c r="F251" s="10" t="s">
        <v>4</v>
      </c>
      <c r="G251" s="10" t="s">
        <v>35</v>
      </c>
      <c r="H251" s="10">
        <v>-8</v>
      </c>
      <c r="I251" s="11">
        <v>676</v>
      </c>
      <c r="J251" s="11">
        <v>2.9312157999999999</v>
      </c>
      <c r="K251" s="11" t="str">
        <f>IF(Table1[[#This Row],[Solar 
Resource]]&lt;3,"Low", IF(Table1[[#This Row],[Solar 
Resource]]&lt;4, "Moderate","High"))</f>
        <v>Low</v>
      </c>
      <c r="L251" s="11">
        <v>1.0188075000000001</v>
      </c>
      <c r="M251" s="11">
        <v>4.5036E-2</v>
      </c>
      <c r="N251" s="11">
        <v>1.445185132</v>
      </c>
      <c r="O251" s="11">
        <v>1.9365479800000001</v>
      </c>
      <c r="P251" s="11">
        <f>Table1[[#This Row],[Installed Capacity 
(AC -MW)]]/Table1[[#This Row],[Installed Capacity 
(DC -MW)]]</f>
        <v>0.74626869405012108</v>
      </c>
      <c r="Q251" s="12">
        <v>0.16660456000000001</v>
      </c>
      <c r="R251" s="12">
        <v>0.12433176999999999</v>
      </c>
      <c r="S251" s="13">
        <v>91.018246719999993</v>
      </c>
      <c r="T251" s="11">
        <v>18.316967519999999</v>
      </c>
      <c r="U251" s="11">
        <v>102.655935</v>
      </c>
      <c r="V251" s="13">
        <v>381328.73129999998</v>
      </c>
      <c r="W251" s="13">
        <v>585719.80000000005</v>
      </c>
      <c r="X251" s="13">
        <v>32.467391999999997</v>
      </c>
      <c r="Y251" s="14">
        <f>+Table1[[#This Row],[Generation Cost 
LCOE (USD/MWh)]]+Table1[[#This Row],[Transmission Cost
LCOT (USD/MWh)]]</f>
        <v>123.48563872</v>
      </c>
    </row>
    <row r="252" spans="1:25" x14ac:dyDescent="0.3">
      <c r="A252" s="7">
        <v>251</v>
      </c>
      <c r="B252" s="8">
        <v>4989</v>
      </c>
      <c r="C252" s="9">
        <v>48.199359999999999</v>
      </c>
      <c r="D252" s="9">
        <v>-120.13585999999999</v>
      </c>
      <c r="E252" s="10" t="s">
        <v>42</v>
      </c>
      <c r="F252" s="10" t="s">
        <v>4</v>
      </c>
      <c r="G252" s="10" t="s">
        <v>29</v>
      </c>
      <c r="H252" s="10">
        <v>-8</v>
      </c>
      <c r="I252" s="11">
        <v>735.41666669999995</v>
      </c>
      <c r="J252" s="11">
        <v>3.8261229999999999</v>
      </c>
      <c r="K252" s="11" t="str">
        <f>IF(Table1[[#This Row],[Solar 
Resource]]&lt;3,"Low", IF(Table1[[#This Row],[Solar 
Resource]]&lt;4, "Moderate","High"))</f>
        <v>Moderate</v>
      </c>
      <c r="L252" s="11">
        <v>1.0050056999999999</v>
      </c>
      <c r="M252" s="11">
        <v>2.732129901</v>
      </c>
      <c r="N252" s="11">
        <v>87.67281912</v>
      </c>
      <c r="O252" s="11">
        <v>117.4815857</v>
      </c>
      <c r="P252" s="11">
        <f>Table1[[#This Row],[Installed Capacity 
(AC -MW)]]/Table1[[#This Row],[Installed Capacity 
(DC -MW)]]</f>
        <v>0.74626860539557738</v>
      </c>
      <c r="Q252" s="12">
        <v>0.22852428</v>
      </c>
      <c r="R252" s="12">
        <v>0.17054050000000001</v>
      </c>
      <c r="S252" s="13">
        <v>42.585728889999999</v>
      </c>
      <c r="T252" s="11">
        <v>21.75240908</v>
      </c>
      <c r="U252" s="11">
        <v>224.81144140000001</v>
      </c>
      <c r="V252" s="13">
        <v>717372.23459999997</v>
      </c>
      <c r="W252" s="13">
        <v>842894.25</v>
      </c>
      <c r="X252" s="13">
        <v>34.063175000000001</v>
      </c>
      <c r="Y252" s="14">
        <f>+Table1[[#This Row],[Generation Cost 
LCOE (USD/MWh)]]+Table1[[#This Row],[Transmission Cost
LCOT (USD/MWh)]]</f>
        <v>76.64890389</v>
      </c>
    </row>
    <row r="253" spans="1:25" x14ac:dyDescent="0.3">
      <c r="A253" s="7">
        <v>252</v>
      </c>
      <c r="B253" s="8">
        <v>4990</v>
      </c>
      <c r="C253" s="9">
        <v>48.223906999999997</v>
      </c>
      <c r="D253" s="9">
        <v>-119.97689</v>
      </c>
      <c r="E253" s="10" t="s">
        <v>42</v>
      </c>
      <c r="F253" s="10" t="s">
        <v>4</v>
      </c>
      <c r="G253" s="10" t="s">
        <v>29</v>
      </c>
      <c r="H253" s="10">
        <v>-8</v>
      </c>
      <c r="I253" s="11">
        <v>933.94736839999996</v>
      </c>
      <c r="J253" s="11">
        <v>3.9335450000000001</v>
      </c>
      <c r="K253" s="11" t="str">
        <f>IF(Table1[[#This Row],[Solar 
Resource]]&lt;3,"Low", IF(Table1[[#This Row],[Solar 
Resource]]&lt;4, "Moderate","High"))</f>
        <v>Moderate</v>
      </c>
      <c r="L253" s="11">
        <v>1.003012</v>
      </c>
      <c r="M253" s="11">
        <v>14.361381079999999</v>
      </c>
      <c r="N253" s="11">
        <v>460.8502565</v>
      </c>
      <c r="O253" s="11">
        <v>617.53938640000001</v>
      </c>
      <c r="P253" s="11">
        <f>Table1[[#This Row],[Installed Capacity 
(AC -MW)]]/Table1[[#This Row],[Installed Capacity 
(DC -MW)]]</f>
        <v>0.74626860512746718</v>
      </c>
      <c r="Q253" s="12">
        <v>0.23903986999999999</v>
      </c>
      <c r="R253" s="12">
        <v>0.17838794999999999</v>
      </c>
      <c r="S253" s="13">
        <v>40.648620870000002</v>
      </c>
      <c r="T253" s="11">
        <v>19.879402590000002</v>
      </c>
      <c r="U253" s="11">
        <v>224.81144140000001</v>
      </c>
      <c r="V253" s="13">
        <v>717372.23459999997</v>
      </c>
      <c r="W253" s="13">
        <v>860277.4</v>
      </c>
      <c r="X253" s="13">
        <v>33.236289999999997</v>
      </c>
      <c r="Y253" s="14">
        <f>+Table1[[#This Row],[Generation Cost 
LCOE (USD/MWh)]]+Table1[[#This Row],[Transmission Cost
LCOT (USD/MWh)]]</f>
        <v>73.884910869999999</v>
      </c>
    </row>
    <row r="254" spans="1:25" x14ac:dyDescent="0.3">
      <c r="A254" s="7">
        <v>253</v>
      </c>
      <c r="B254" s="8">
        <v>4991</v>
      </c>
      <c r="C254" s="9">
        <v>48.2483</v>
      </c>
      <c r="D254" s="9">
        <v>-119.817795</v>
      </c>
      <c r="E254" s="10" t="s">
        <v>42</v>
      </c>
      <c r="F254" s="10" t="s">
        <v>4</v>
      </c>
      <c r="G254" s="10" t="s">
        <v>29</v>
      </c>
      <c r="H254" s="10">
        <v>-8</v>
      </c>
      <c r="I254" s="11">
        <v>767.1875</v>
      </c>
      <c r="J254" s="11">
        <v>3.8850737</v>
      </c>
      <c r="K254" s="11" t="str">
        <f>IF(Table1[[#This Row],[Solar 
Resource]]&lt;3,"Low", IF(Table1[[#This Row],[Solar 
Resource]]&lt;4, "Moderate","High"))</f>
        <v>Moderate</v>
      </c>
      <c r="L254" s="11">
        <v>1.0011823</v>
      </c>
      <c r="M254" s="11">
        <v>29.270645290000001</v>
      </c>
      <c r="N254" s="11">
        <v>939.281836</v>
      </c>
      <c r="O254" s="11">
        <v>1258.637747</v>
      </c>
      <c r="P254" s="11">
        <f>Table1[[#This Row],[Installed Capacity 
(AC -MW)]]/Table1[[#This Row],[Installed Capacity 
(DC -MW)]]</f>
        <v>0.74626860527487426</v>
      </c>
      <c r="Q254" s="12">
        <v>0.23446914999999999</v>
      </c>
      <c r="R254" s="12">
        <v>0.17497699</v>
      </c>
      <c r="S254" s="13">
        <v>41.381404500000002</v>
      </c>
      <c r="T254" s="11">
        <v>10.22491557</v>
      </c>
      <c r="U254" s="11">
        <v>194.0142596</v>
      </c>
      <c r="V254" s="13">
        <v>566113.16949999996</v>
      </c>
      <c r="W254" s="13">
        <v>655484.93999999994</v>
      </c>
      <c r="X254" s="13">
        <v>25.81793</v>
      </c>
      <c r="Y254" s="14">
        <f>+Table1[[#This Row],[Generation Cost 
LCOE (USD/MWh)]]+Table1[[#This Row],[Transmission Cost
LCOT (USD/MWh)]]</f>
        <v>67.199334500000006</v>
      </c>
    </row>
    <row r="255" spans="1:25" x14ac:dyDescent="0.3">
      <c r="A255" s="7">
        <v>254</v>
      </c>
      <c r="B255" s="8">
        <v>4992</v>
      </c>
      <c r="C255" s="9">
        <v>48.272533000000003</v>
      </c>
      <c r="D255" s="9">
        <v>-119.658554</v>
      </c>
      <c r="E255" s="10" t="s">
        <v>42</v>
      </c>
      <c r="F255" s="10" t="s">
        <v>4</v>
      </c>
      <c r="G255" s="10" t="s">
        <v>29</v>
      </c>
      <c r="H255" s="10">
        <v>-8</v>
      </c>
      <c r="I255" s="11">
        <v>530.70000000000005</v>
      </c>
      <c r="J255" s="11">
        <v>3.8914008</v>
      </c>
      <c r="K255" s="11" t="str">
        <f>IF(Table1[[#This Row],[Solar 
Resource]]&lt;3,"Low", IF(Table1[[#This Row],[Solar 
Resource]]&lt;4, "Moderate","High"))</f>
        <v>Moderate</v>
      </c>
      <c r="L255" s="11">
        <v>0.99896810000000003</v>
      </c>
      <c r="M255" s="11">
        <v>25.587737839999999</v>
      </c>
      <c r="N255" s="11">
        <v>821.09899329999996</v>
      </c>
      <c r="O255" s="11">
        <v>1100.272727</v>
      </c>
      <c r="P255" s="11">
        <f>Table1[[#This Row],[Installed Capacity 
(AC -MW)]]/Table1[[#This Row],[Installed Capacity 
(DC -MW)]]</f>
        <v>0.74626860518373994</v>
      </c>
      <c r="Q255" s="12">
        <v>0.23399102999999999</v>
      </c>
      <c r="R255" s="12">
        <v>0.17462015</v>
      </c>
      <c r="S255" s="13">
        <v>41.39368005</v>
      </c>
      <c r="T255" s="11">
        <v>2.4363961029999999</v>
      </c>
      <c r="U255" s="11">
        <v>192.89698039999999</v>
      </c>
      <c r="V255" s="13">
        <v>557336.40749999997</v>
      </c>
      <c r="W255" s="13">
        <v>616871</v>
      </c>
      <c r="X255" s="13">
        <v>24.346668000000001</v>
      </c>
      <c r="Y255" s="14">
        <f>+Table1[[#This Row],[Generation Cost 
LCOE (USD/MWh)]]+Table1[[#This Row],[Transmission Cost
LCOT (USD/MWh)]]</f>
        <v>65.740348049999994</v>
      </c>
    </row>
    <row r="256" spans="1:25" x14ac:dyDescent="0.3">
      <c r="A256" s="7">
        <v>255</v>
      </c>
      <c r="B256" s="8">
        <v>4993</v>
      </c>
      <c r="C256" s="9">
        <v>48.296607999999999</v>
      </c>
      <c r="D256" s="9">
        <v>-119.49919</v>
      </c>
      <c r="E256" s="10" t="s">
        <v>42</v>
      </c>
      <c r="F256" s="10" t="s">
        <v>4</v>
      </c>
      <c r="G256" s="10" t="s">
        <v>29</v>
      </c>
      <c r="H256" s="10">
        <v>-8</v>
      </c>
      <c r="I256" s="11">
        <v>730.25</v>
      </c>
      <c r="J256" s="11">
        <v>3.9143238</v>
      </c>
      <c r="K256" s="11" t="str">
        <f>IF(Table1[[#This Row],[Solar 
Resource]]&lt;3,"Low", IF(Table1[[#This Row],[Solar 
Resource]]&lt;4, "Moderate","High"))</f>
        <v>Moderate</v>
      </c>
      <c r="L256" s="11">
        <v>0.997035</v>
      </c>
      <c r="M256" s="11">
        <v>37.484937160000001</v>
      </c>
      <c r="N256" s="11">
        <v>1202.8747659999999</v>
      </c>
      <c r="O256" s="11">
        <v>1611.852298</v>
      </c>
      <c r="P256" s="11">
        <f>Table1[[#This Row],[Installed Capacity 
(AC -MW)]]/Table1[[#This Row],[Installed Capacity 
(DC -MW)]]</f>
        <v>0.7462686050654499</v>
      </c>
      <c r="Q256" s="12">
        <v>0.23726612</v>
      </c>
      <c r="R256" s="12">
        <v>0.17706427</v>
      </c>
      <c r="S256" s="13">
        <v>40.760060230000001</v>
      </c>
      <c r="T256" s="11">
        <v>1.1018376620000001</v>
      </c>
      <c r="U256" s="11">
        <v>168.40729210000001</v>
      </c>
      <c r="V256" s="13">
        <v>471124.74160000001</v>
      </c>
      <c r="W256" s="13">
        <v>515778</v>
      </c>
      <c r="X256" s="13">
        <v>20.075737</v>
      </c>
      <c r="Y256" s="14">
        <f>+Table1[[#This Row],[Generation Cost 
LCOE (USD/MWh)]]+Table1[[#This Row],[Transmission Cost
LCOT (USD/MWh)]]</f>
        <v>60.835797229999997</v>
      </c>
    </row>
    <row r="257" spans="1:25" x14ac:dyDescent="0.3">
      <c r="A257" s="7">
        <v>256</v>
      </c>
      <c r="B257" s="8">
        <v>4994</v>
      </c>
      <c r="C257" s="9">
        <v>48.320526000000001</v>
      </c>
      <c r="D257" s="9">
        <v>-119.339676</v>
      </c>
      <c r="E257" s="10" t="s">
        <v>42</v>
      </c>
      <c r="F257" s="10" t="s">
        <v>4</v>
      </c>
      <c r="G257" s="10" t="s">
        <v>29</v>
      </c>
      <c r="H257" s="10">
        <v>-8</v>
      </c>
      <c r="I257" s="11">
        <v>749.375</v>
      </c>
      <c r="J257" s="11">
        <v>3.8551017999999999</v>
      </c>
      <c r="K257" s="11" t="str">
        <f>IF(Table1[[#This Row],[Solar 
Resource]]&lt;3,"Low", IF(Table1[[#This Row],[Solar 
Resource]]&lt;4, "Moderate","High"))</f>
        <v>Moderate</v>
      </c>
      <c r="L257" s="11">
        <v>0.99492420000000004</v>
      </c>
      <c r="M257" s="11">
        <v>19.883231760000001</v>
      </c>
      <c r="N257" s="11">
        <v>638.04388429999995</v>
      </c>
      <c r="O257" s="11">
        <v>854.97896579999997</v>
      </c>
      <c r="P257" s="11">
        <f>Table1[[#This Row],[Installed Capacity 
(AC -MW)]]/Table1[[#This Row],[Installed Capacity 
(DC -MW)]]</f>
        <v>0.74626851632891944</v>
      </c>
      <c r="Q257" s="12">
        <v>0.23215807999999999</v>
      </c>
      <c r="R257" s="12">
        <v>0.17325227000000001</v>
      </c>
      <c r="S257" s="13">
        <v>41.587434739999999</v>
      </c>
      <c r="T257" s="11">
        <v>12.20756493</v>
      </c>
      <c r="U257" s="11">
        <v>168.71457129999999</v>
      </c>
      <c r="V257" s="13">
        <v>471766.49190000002</v>
      </c>
      <c r="W257" s="13">
        <v>601425.06000000006</v>
      </c>
      <c r="X257" s="13">
        <v>23.924458000000001</v>
      </c>
      <c r="Y257" s="14">
        <f>+Table1[[#This Row],[Generation Cost 
LCOE (USD/MWh)]]+Table1[[#This Row],[Transmission Cost
LCOT (USD/MWh)]]</f>
        <v>65.511892740000008</v>
      </c>
    </row>
    <row r="258" spans="1:25" x14ac:dyDescent="0.3">
      <c r="A258" s="7">
        <v>257</v>
      </c>
      <c r="B258" s="8">
        <v>4995</v>
      </c>
      <c r="C258" s="9">
        <v>48.344284000000002</v>
      </c>
      <c r="D258" s="9">
        <v>-119.18004000000001</v>
      </c>
      <c r="E258" s="10" t="s">
        <v>42</v>
      </c>
      <c r="F258" s="10" t="s">
        <v>4</v>
      </c>
      <c r="G258" s="10" t="s">
        <v>29</v>
      </c>
      <c r="H258" s="10">
        <v>-8</v>
      </c>
      <c r="I258" s="11">
        <v>1053.055556</v>
      </c>
      <c r="J258" s="11">
        <v>3.7957535</v>
      </c>
      <c r="K258" s="11" t="str">
        <f>IF(Table1[[#This Row],[Solar 
Resource]]&lt;3,"Low", IF(Table1[[#This Row],[Solar 
Resource]]&lt;4, "Moderate","High"))</f>
        <v>Moderate</v>
      </c>
      <c r="L258" s="11">
        <v>0.99324614</v>
      </c>
      <c r="M258" s="11">
        <v>31.626042630000001</v>
      </c>
      <c r="N258" s="11">
        <v>1014.865597</v>
      </c>
      <c r="O258" s="11">
        <v>1359.9198329999999</v>
      </c>
      <c r="P258" s="11">
        <f>Table1[[#This Row],[Installed Capacity 
(AC -MW)]]/Table1[[#This Row],[Installed Capacity 
(DC -MW)]]</f>
        <v>0.74626869347231595</v>
      </c>
      <c r="Q258" s="12">
        <v>0.22918218000000001</v>
      </c>
      <c r="R258" s="12">
        <v>0.17103148000000001</v>
      </c>
      <c r="S258" s="13">
        <v>42.071499780000003</v>
      </c>
      <c r="T258" s="11">
        <v>27.44269478</v>
      </c>
      <c r="U258" s="11">
        <v>186.63316219999999</v>
      </c>
      <c r="V258" s="13">
        <v>527671.37029999995</v>
      </c>
      <c r="W258" s="13">
        <v>694828.06</v>
      </c>
      <c r="X258" s="13">
        <v>27.998895999999998</v>
      </c>
      <c r="Y258" s="14">
        <f>+Table1[[#This Row],[Generation Cost 
LCOE (USD/MWh)]]+Table1[[#This Row],[Transmission Cost
LCOT (USD/MWh)]]</f>
        <v>70.070395779999998</v>
      </c>
    </row>
    <row r="259" spans="1:25" x14ac:dyDescent="0.3">
      <c r="A259" s="7">
        <v>258</v>
      </c>
      <c r="B259" s="8">
        <v>4996</v>
      </c>
      <c r="C259" s="9">
        <v>48.36788</v>
      </c>
      <c r="D259" s="9">
        <v>-119.02025999999999</v>
      </c>
      <c r="E259" s="10" t="s">
        <v>42</v>
      </c>
      <c r="F259" s="10" t="s">
        <v>4</v>
      </c>
      <c r="G259" s="10" t="s">
        <v>29</v>
      </c>
      <c r="H259" s="10">
        <v>-8</v>
      </c>
      <c r="I259" s="11">
        <v>1154.25</v>
      </c>
      <c r="J259" s="11">
        <v>3.6917224000000002</v>
      </c>
      <c r="K259" s="11" t="str">
        <f>IF(Table1[[#This Row],[Solar 
Resource]]&lt;3,"Low", IF(Table1[[#This Row],[Solar 
Resource]]&lt;4, "Moderate","High"))</f>
        <v>Moderate</v>
      </c>
      <c r="L259" s="11">
        <v>0.99145925000000001</v>
      </c>
      <c r="M259" s="11">
        <v>10.918313530000001</v>
      </c>
      <c r="N259" s="11">
        <v>350.36380960000002</v>
      </c>
      <c r="O259" s="11">
        <v>469.48748160000002</v>
      </c>
      <c r="P259" s="11">
        <f>Table1[[#This Row],[Installed Capacity 
(AC -MW)]]/Table1[[#This Row],[Installed Capacity 
(DC -MW)]]</f>
        <v>0.74626869369545301</v>
      </c>
      <c r="Q259" s="12">
        <v>0.22125347000000001</v>
      </c>
      <c r="R259" s="12">
        <v>0.16511454</v>
      </c>
      <c r="S259" s="13">
        <v>43.517445729999999</v>
      </c>
      <c r="T259" s="11">
        <v>32.540714270000002</v>
      </c>
      <c r="U259" s="11">
        <v>138.28488300000001</v>
      </c>
      <c r="V259" s="13">
        <v>390752.50829999999</v>
      </c>
      <c r="W259" s="13">
        <v>613840.43999999994</v>
      </c>
      <c r="X259" s="13">
        <v>25.62181</v>
      </c>
      <c r="Y259" s="14">
        <f>+Table1[[#This Row],[Generation Cost 
LCOE (USD/MWh)]]+Table1[[#This Row],[Transmission Cost
LCOT (USD/MWh)]]</f>
        <v>69.139255730000002</v>
      </c>
    </row>
    <row r="260" spans="1:25" x14ac:dyDescent="0.3">
      <c r="A260" s="7">
        <v>259</v>
      </c>
      <c r="B260" s="8">
        <v>4997</v>
      </c>
      <c r="C260" s="9">
        <v>48.391323</v>
      </c>
      <c r="D260" s="9">
        <v>-118.86035</v>
      </c>
      <c r="E260" s="10" t="s">
        <v>42</v>
      </c>
      <c r="F260" s="10" t="s">
        <v>4</v>
      </c>
      <c r="G260" s="10" t="s">
        <v>29</v>
      </c>
      <c r="H260" s="10">
        <v>-8</v>
      </c>
      <c r="I260" s="11">
        <v>1054.1578950000001</v>
      </c>
      <c r="J260" s="11">
        <v>3.6672099</v>
      </c>
      <c r="K260" s="11" t="str">
        <f>IF(Table1[[#This Row],[Solar 
Resource]]&lt;3,"Low", IF(Table1[[#This Row],[Solar 
Resource]]&lt;4, "Moderate","High"))</f>
        <v>Moderate</v>
      </c>
      <c r="L260" s="11">
        <v>0.9896952</v>
      </c>
      <c r="M260" s="11">
        <v>15.76616353</v>
      </c>
      <c r="N260" s="11">
        <v>505.92909300000002</v>
      </c>
      <c r="O260" s="11">
        <v>677.94503159999999</v>
      </c>
      <c r="P260" s="11">
        <f>Table1[[#This Row],[Installed Capacity 
(AC -MW)]]/Table1[[#This Row],[Installed Capacity 
(DC -MW)]]</f>
        <v>0.74626860500175107</v>
      </c>
      <c r="Q260" s="12">
        <v>0.21710446</v>
      </c>
      <c r="R260" s="12">
        <v>0.16201826999999999</v>
      </c>
      <c r="S260" s="13">
        <v>44.287024600000002</v>
      </c>
      <c r="T260" s="11">
        <v>36.055558419999997</v>
      </c>
      <c r="U260" s="11">
        <v>138.28488300000001</v>
      </c>
      <c r="V260" s="13">
        <v>390752.50829999999</v>
      </c>
      <c r="W260" s="13">
        <v>620238.1</v>
      </c>
      <c r="X260" s="13">
        <v>26.383602</v>
      </c>
      <c r="Y260" s="14">
        <f>+Table1[[#This Row],[Generation Cost 
LCOE (USD/MWh)]]+Table1[[#This Row],[Transmission Cost
LCOT (USD/MWh)]]</f>
        <v>70.670626600000006</v>
      </c>
    </row>
    <row r="261" spans="1:25" x14ac:dyDescent="0.3">
      <c r="A261" s="7">
        <v>260</v>
      </c>
      <c r="B261" s="8">
        <v>4998</v>
      </c>
      <c r="C261" s="9">
        <v>48.414603999999997</v>
      </c>
      <c r="D261" s="9">
        <v>-118.70031</v>
      </c>
      <c r="E261" s="10" t="s">
        <v>42</v>
      </c>
      <c r="F261" s="10" t="s">
        <v>4</v>
      </c>
      <c r="G261" s="10" t="s">
        <v>14</v>
      </c>
      <c r="H261" s="10">
        <v>-8</v>
      </c>
      <c r="I261" s="11">
        <v>1041.75</v>
      </c>
      <c r="J261" s="11">
        <v>3.6814103</v>
      </c>
      <c r="K261" s="11" t="str">
        <f>IF(Table1[[#This Row],[Solar 
Resource]]&lt;3,"Low", IF(Table1[[#This Row],[Solar 
Resource]]&lt;4, "Moderate","High"))</f>
        <v>Moderate</v>
      </c>
      <c r="L261" s="11">
        <v>0.98818773000000004</v>
      </c>
      <c r="M261" s="11">
        <v>12.904110790000001</v>
      </c>
      <c r="N261" s="11">
        <v>414.08705939999999</v>
      </c>
      <c r="O261" s="11">
        <v>554.87676399999998</v>
      </c>
      <c r="P261" s="11">
        <f>Table1[[#This Row],[Installed Capacity 
(AC -MW)]]/Table1[[#This Row],[Installed Capacity 
(DC -MW)]]</f>
        <v>0.74626851630067537</v>
      </c>
      <c r="Q261" s="12">
        <v>0.21717885000000001</v>
      </c>
      <c r="R261" s="12">
        <v>0.16207374999999999</v>
      </c>
      <c r="S261" s="13">
        <v>44.218837720000003</v>
      </c>
      <c r="T261" s="11">
        <v>31.554461020000002</v>
      </c>
      <c r="U261" s="11">
        <v>202.58700640000001</v>
      </c>
      <c r="V261" s="13">
        <v>848622.83259999997</v>
      </c>
      <c r="W261" s="13">
        <v>1141578.1000000001</v>
      </c>
      <c r="X261" s="13">
        <v>48.543663000000002</v>
      </c>
      <c r="Y261" s="14">
        <f>+Table1[[#This Row],[Generation Cost 
LCOE (USD/MWh)]]+Table1[[#This Row],[Transmission Cost
LCOT (USD/MWh)]]</f>
        <v>92.762500720000006</v>
      </c>
    </row>
    <row r="262" spans="1:25" x14ac:dyDescent="0.3">
      <c r="A262" s="7">
        <v>261</v>
      </c>
      <c r="B262" s="8">
        <v>4999</v>
      </c>
      <c r="C262" s="9">
        <v>48.437730000000002</v>
      </c>
      <c r="D262" s="9">
        <v>-118.54013</v>
      </c>
      <c r="E262" s="10" t="s">
        <v>42</v>
      </c>
      <c r="F262" s="10" t="s">
        <v>4</v>
      </c>
      <c r="G262" s="10" t="s">
        <v>14</v>
      </c>
      <c r="H262" s="10">
        <v>-8</v>
      </c>
      <c r="I262" s="11">
        <v>1351.666667</v>
      </c>
      <c r="J262" s="11">
        <v>3.6899145</v>
      </c>
      <c r="K262" s="11" t="str">
        <f>IF(Table1[[#This Row],[Solar 
Resource]]&lt;3,"Low", IF(Table1[[#This Row],[Solar 
Resource]]&lt;4, "Moderate","High"))</f>
        <v>Moderate</v>
      </c>
      <c r="L262" s="11">
        <v>0.98722390000000004</v>
      </c>
      <c r="M262" s="11">
        <v>7.5683158810000002</v>
      </c>
      <c r="N262" s="11">
        <v>242.86385100000001</v>
      </c>
      <c r="O262" s="11">
        <v>325.4375829</v>
      </c>
      <c r="P262" s="11">
        <f>Table1[[#This Row],[Installed Capacity 
(AC -MW)]]/Table1[[#This Row],[Installed Capacity 
(DC -MW)]]</f>
        <v>0.74626860498354575</v>
      </c>
      <c r="Q262" s="12">
        <v>0.21931954000000001</v>
      </c>
      <c r="R262" s="12">
        <v>0.16367128</v>
      </c>
      <c r="S262" s="13">
        <v>43.75365858</v>
      </c>
      <c r="T262" s="11">
        <v>22.575201280000002</v>
      </c>
      <c r="U262" s="11">
        <v>196.21135050000001</v>
      </c>
      <c r="V262" s="13">
        <v>806904.47889999999</v>
      </c>
      <c r="W262" s="13">
        <v>1046515.6</v>
      </c>
      <c r="X262" s="13">
        <v>44.066929999999999</v>
      </c>
      <c r="Y262" s="14">
        <f>+Table1[[#This Row],[Generation Cost 
LCOE (USD/MWh)]]+Table1[[#This Row],[Transmission Cost
LCOT (USD/MWh)]]</f>
        <v>87.820588579999992</v>
      </c>
    </row>
    <row r="263" spans="1:25" x14ac:dyDescent="0.3">
      <c r="A263" s="7">
        <v>262</v>
      </c>
      <c r="B263" s="8">
        <v>5000</v>
      </c>
      <c r="C263" s="9">
        <v>48.460686000000003</v>
      </c>
      <c r="D263" s="9">
        <v>-118.37982</v>
      </c>
      <c r="E263" s="10" t="s">
        <v>42</v>
      </c>
      <c r="F263" s="10" t="s">
        <v>4</v>
      </c>
      <c r="G263" s="10" t="s">
        <v>14</v>
      </c>
      <c r="H263" s="10">
        <v>-8</v>
      </c>
      <c r="I263" s="11">
        <v>1089.3125</v>
      </c>
      <c r="J263" s="11">
        <v>3.5966523000000001</v>
      </c>
      <c r="K263" s="11" t="str">
        <f>IF(Table1[[#This Row],[Solar 
Resource]]&lt;3,"Low", IF(Table1[[#This Row],[Solar 
Resource]]&lt;4, "Moderate","High"))</f>
        <v>Moderate</v>
      </c>
      <c r="L263" s="11">
        <v>0.98583489999999996</v>
      </c>
      <c r="M263" s="11">
        <v>3.7593719600000002</v>
      </c>
      <c r="N263" s="11">
        <v>120.6365546</v>
      </c>
      <c r="O263" s="11">
        <v>161.65299429999999</v>
      </c>
      <c r="P263" s="11">
        <f>Table1[[#This Row],[Installed Capacity 
(AC -MW)]]/Table1[[#This Row],[Installed Capacity 
(DC -MW)]]</f>
        <v>0.74626860530723871</v>
      </c>
      <c r="Q263" s="12">
        <v>0.21116608000000001</v>
      </c>
      <c r="R263" s="12">
        <v>0.15758662000000001</v>
      </c>
      <c r="S263" s="13">
        <v>45.39280411</v>
      </c>
      <c r="T263" s="11">
        <v>26.076155830000001</v>
      </c>
      <c r="U263" s="11">
        <v>169.93710379999999</v>
      </c>
      <c r="V263" s="13">
        <v>648913.40150000004</v>
      </c>
      <c r="W263" s="13">
        <v>877750.56</v>
      </c>
      <c r="X263" s="13">
        <v>38.387630000000001</v>
      </c>
      <c r="Y263" s="14">
        <f>+Table1[[#This Row],[Generation Cost 
LCOE (USD/MWh)]]+Table1[[#This Row],[Transmission Cost
LCOT (USD/MWh)]]</f>
        <v>83.780434110000002</v>
      </c>
    </row>
    <row r="264" spans="1:25" x14ac:dyDescent="0.3">
      <c r="A264" s="7">
        <v>263</v>
      </c>
      <c r="B264" s="8">
        <v>5001</v>
      </c>
      <c r="C264" s="9">
        <v>48.483490000000003</v>
      </c>
      <c r="D264" s="9">
        <v>-118.21938</v>
      </c>
      <c r="E264" s="10" t="s">
        <v>42</v>
      </c>
      <c r="F264" s="10" t="s">
        <v>4</v>
      </c>
      <c r="G264" s="10" t="s">
        <v>14</v>
      </c>
      <c r="H264" s="10">
        <v>-8</v>
      </c>
      <c r="I264" s="11">
        <v>691.33333330000005</v>
      </c>
      <c r="J264" s="11">
        <v>3.6156678000000002</v>
      </c>
      <c r="K264" s="11" t="str">
        <f>IF(Table1[[#This Row],[Solar 
Resource]]&lt;3,"Low", IF(Table1[[#This Row],[Solar 
Resource]]&lt;4, "Moderate","High"))</f>
        <v>Moderate</v>
      </c>
      <c r="L264" s="11">
        <v>0.98503333000000004</v>
      </c>
      <c r="M264" s="11">
        <v>10.82483921</v>
      </c>
      <c r="N264" s="11">
        <v>347.3642605</v>
      </c>
      <c r="O264" s="11">
        <v>465.46808600000003</v>
      </c>
      <c r="P264" s="11">
        <f>Table1[[#This Row],[Installed Capacity 
(AC -MW)]]/Table1[[#This Row],[Installed Capacity 
(DC -MW)]]</f>
        <v>0.74626869370373972</v>
      </c>
      <c r="Q264" s="12">
        <v>0.20929737000000001</v>
      </c>
      <c r="R264" s="12">
        <v>0.1561921</v>
      </c>
      <c r="S264" s="13">
        <v>45.768836919999998</v>
      </c>
      <c r="T264" s="11">
        <v>15.39594155</v>
      </c>
      <c r="U264" s="11">
        <v>169.93710379999999</v>
      </c>
      <c r="V264" s="13">
        <v>648913.40150000004</v>
      </c>
      <c r="W264" s="13">
        <v>780206.75</v>
      </c>
      <c r="X264" s="13">
        <v>34.426299999999998</v>
      </c>
      <c r="Y264" s="14">
        <f>+Table1[[#This Row],[Generation Cost 
LCOE (USD/MWh)]]+Table1[[#This Row],[Transmission Cost
LCOT (USD/MWh)]]</f>
        <v>80.195136919999996</v>
      </c>
    </row>
    <row r="265" spans="1:25" x14ac:dyDescent="0.3">
      <c r="A265" s="7">
        <v>264</v>
      </c>
      <c r="B265" s="8">
        <v>5002</v>
      </c>
      <c r="C265" s="9">
        <v>48.506129999999999</v>
      </c>
      <c r="D265" s="9">
        <v>-118.058815</v>
      </c>
      <c r="E265" s="10" t="s">
        <v>42</v>
      </c>
      <c r="F265" s="10" t="s">
        <v>4</v>
      </c>
      <c r="G265" s="10" t="s">
        <v>37</v>
      </c>
      <c r="H265" s="10">
        <v>-8</v>
      </c>
      <c r="I265" s="11">
        <v>828.17647060000002</v>
      </c>
      <c r="J265" s="11">
        <v>3.6414637999999999</v>
      </c>
      <c r="K265" s="11" t="str">
        <f>IF(Table1[[#This Row],[Solar 
Resource]]&lt;3,"Low", IF(Table1[[#This Row],[Solar 
Resource]]&lt;4, "Moderate","High"))</f>
        <v>Moderate</v>
      </c>
      <c r="L265" s="11">
        <v>0.98433599999999999</v>
      </c>
      <c r="M265" s="11">
        <v>7.476947644</v>
      </c>
      <c r="N265" s="11">
        <v>239.93191390000001</v>
      </c>
      <c r="O265" s="11">
        <v>321.50874870000001</v>
      </c>
      <c r="P265" s="11">
        <f>Table1[[#This Row],[Installed Capacity 
(AC -MW)]]/Table1[[#This Row],[Installed Capacity 
(DC -MW)]]</f>
        <v>0.74626869368298465</v>
      </c>
      <c r="Q265" s="12">
        <v>0.21206504000000001</v>
      </c>
      <c r="R265" s="12">
        <v>0.15825744999999999</v>
      </c>
      <c r="S265" s="13">
        <v>45.146396469999999</v>
      </c>
      <c r="T265" s="11">
        <v>9.7839610310000005</v>
      </c>
      <c r="U265" s="11">
        <v>154.87932459999999</v>
      </c>
      <c r="V265" s="13">
        <v>569639.41350000002</v>
      </c>
      <c r="W265" s="13">
        <v>692604.6</v>
      </c>
      <c r="X265" s="13">
        <v>30.162040000000001</v>
      </c>
      <c r="Y265" s="14">
        <f>+Table1[[#This Row],[Generation Cost 
LCOE (USD/MWh)]]+Table1[[#This Row],[Transmission Cost
LCOT (USD/MWh)]]</f>
        <v>75.308436470000004</v>
      </c>
    </row>
    <row r="266" spans="1:25" x14ac:dyDescent="0.3">
      <c r="A266" s="7">
        <v>265</v>
      </c>
      <c r="B266" s="8">
        <v>5003</v>
      </c>
      <c r="C266" s="9">
        <v>48.52861</v>
      </c>
      <c r="D266" s="9">
        <v>-117.89812000000001</v>
      </c>
      <c r="E266" s="10" t="s">
        <v>42</v>
      </c>
      <c r="F266" s="10" t="s">
        <v>4</v>
      </c>
      <c r="G266" s="10" t="s">
        <v>37</v>
      </c>
      <c r="H266" s="10">
        <v>-8</v>
      </c>
      <c r="I266" s="11">
        <v>654.75</v>
      </c>
      <c r="J266" s="11">
        <v>3.6006231</v>
      </c>
      <c r="K266" s="11" t="str">
        <f>IF(Table1[[#This Row],[Solar 
Resource]]&lt;3,"Low", IF(Table1[[#This Row],[Solar 
Resource]]&lt;4, "Moderate","High"))</f>
        <v>Moderate</v>
      </c>
      <c r="L266" s="11">
        <v>0.9838112</v>
      </c>
      <c r="M266" s="11">
        <v>15.989236849999999</v>
      </c>
      <c r="N266" s="11">
        <v>513.08747670000002</v>
      </c>
      <c r="O266" s="11">
        <v>687.53718470000001</v>
      </c>
      <c r="P266" s="11">
        <f>Table1[[#This Row],[Installed Capacity 
(AC -MW)]]/Table1[[#This Row],[Installed Capacity 
(DC -MW)]]</f>
        <v>0.74626869370546212</v>
      </c>
      <c r="Q266" s="12">
        <v>0.20717114</v>
      </c>
      <c r="R266" s="12">
        <v>0.15460531</v>
      </c>
      <c r="S266" s="13">
        <v>46.193501570000002</v>
      </c>
      <c r="T266" s="11">
        <v>1.4772792210000001</v>
      </c>
      <c r="U266" s="11">
        <v>137.8415454</v>
      </c>
      <c r="V266" s="13">
        <v>493211.57860000001</v>
      </c>
      <c r="W266" s="13">
        <v>521803.56</v>
      </c>
      <c r="X266" s="13">
        <v>23.260667999999999</v>
      </c>
      <c r="Y266" s="14">
        <f>+Table1[[#This Row],[Generation Cost 
LCOE (USD/MWh)]]+Table1[[#This Row],[Transmission Cost
LCOT (USD/MWh)]]</f>
        <v>69.454169570000005</v>
      </c>
    </row>
    <row r="267" spans="1:25" x14ac:dyDescent="0.3">
      <c r="A267" s="7">
        <v>266</v>
      </c>
      <c r="B267" s="8">
        <v>5004</v>
      </c>
      <c r="C267" s="9">
        <v>48.550933999999998</v>
      </c>
      <c r="D267" s="9">
        <v>-117.73729</v>
      </c>
      <c r="E267" s="10" t="s">
        <v>42</v>
      </c>
      <c r="F267" s="10" t="s">
        <v>4</v>
      </c>
      <c r="G267" s="10" t="s">
        <v>37</v>
      </c>
      <c r="H267" s="10">
        <v>-8</v>
      </c>
      <c r="I267" s="11">
        <v>897.47058819999995</v>
      </c>
      <c r="J267" s="11">
        <v>3.5821575999999999</v>
      </c>
      <c r="K267" s="11" t="str">
        <f>IF(Table1[[#This Row],[Solar 
Resource]]&lt;3,"Low", IF(Table1[[#This Row],[Solar 
Resource]]&lt;4, "Moderate","High"))</f>
        <v>Moderate</v>
      </c>
      <c r="L267" s="11">
        <v>0.98346800000000001</v>
      </c>
      <c r="M267" s="11">
        <v>16.224785489999999</v>
      </c>
      <c r="N267" s="11">
        <v>520.64612729999999</v>
      </c>
      <c r="O267" s="11">
        <v>697.66577589999997</v>
      </c>
      <c r="P267" s="11">
        <f>Table1[[#This Row],[Installed Capacity 
(AC -MW)]]/Table1[[#This Row],[Installed Capacity 
(DC -MW)]]</f>
        <v>0.7462686938145392</v>
      </c>
      <c r="Q267" s="12">
        <v>0.20754425000000001</v>
      </c>
      <c r="R267" s="12">
        <v>0.15488378999999999</v>
      </c>
      <c r="S267" s="13">
        <v>46.097829730000001</v>
      </c>
      <c r="T267" s="11">
        <v>9.3893311629999996</v>
      </c>
      <c r="U267" s="11">
        <v>141.8425714</v>
      </c>
      <c r="V267" s="13">
        <v>509021.87650000001</v>
      </c>
      <c r="W267" s="13">
        <v>617347.1</v>
      </c>
      <c r="X267" s="13">
        <v>27.470283999999999</v>
      </c>
      <c r="Y267" s="14">
        <f>+Table1[[#This Row],[Generation Cost 
LCOE (USD/MWh)]]+Table1[[#This Row],[Transmission Cost
LCOT (USD/MWh)]]</f>
        <v>73.568113729999993</v>
      </c>
    </row>
    <row r="268" spans="1:25" x14ac:dyDescent="0.3">
      <c r="A268" s="7">
        <v>267</v>
      </c>
      <c r="B268" s="8">
        <v>5005</v>
      </c>
      <c r="C268" s="9">
        <v>48.573090000000001</v>
      </c>
      <c r="D268" s="9">
        <v>-117.57634</v>
      </c>
      <c r="E268" s="10" t="s">
        <v>42</v>
      </c>
      <c r="F268" s="10" t="s">
        <v>4</v>
      </c>
      <c r="G268" s="10" t="s">
        <v>37</v>
      </c>
      <c r="H268" s="10">
        <v>-8</v>
      </c>
      <c r="I268" s="11">
        <v>1133.083333</v>
      </c>
      <c r="J268" s="11">
        <v>3.5261705000000001</v>
      </c>
      <c r="K268" s="11" t="str">
        <f>IF(Table1[[#This Row],[Solar 
Resource]]&lt;3,"Low", IF(Table1[[#This Row],[Solar 
Resource]]&lt;4, "Moderate","High"))</f>
        <v>Moderate</v>
      </c>
      <c r="L268" s="11">
        <v>0.98341392999999999</v>
      </c>
      <c r="M268" s="11">
        <v>7.1278378419999999</v>
      </c>
      <c r="N268" s="11">
        <v>228.7291089</v>
      </c>
      <c r="O268" s="11">
        <v>306.49702719999999</v>
      </c>
      <c r="P268" s="11">
        <f>Table1[[#This Row],[Installed Capacity 
(AC -MW)]]/Table1[[#This Row],[Installed Capacity 
(DC -MW)]]</f>
        <v>0.74626860491780977</v>
      </c>
      <c r="Q268" s="12">
        <v>0.20512148999999999</v>
      </c>
      <c r="R268" s="12">
        <v>0.15307575000000001</v>
      </c>
      <c r="S268" s="13">
        <v>46.640290700000001</v>
      </c>
      <c r="T268" s="11">
        <v>17.512266220000001</v>
      </c>
      <c r="U268" s="11">
        <v>151.9929285</v>
      </c>
      <c r="V268" s="13">
        <v>560823.73640000005</v>
      </c>
      <c r="W268" s="13">
        <v>776880.6</v>
      </c>
      <c r="X268" s="13">
        <v>34.977400000000003</v>
      </c>
      <c r="Y268" s="14">
        <f>+Table1[[#This Row],[Generation Cost 
LCOE (USD/MWh)]]+Table1[[#This Row],[Transmission Cost
LCOT (USD/MWh)]]</f>
        <v>81.617690699999997</v>
      </c>
    </row>
    <row r="269" spans="1:25" x14ac:dyDescent="0.3">
      <c r="A269" s="7">
        <v>268</v>
      </c>
      <c r="B269" s="8">
        <v>5006</v>
      </c>
      <c r="C269" s="9">
        <v>48.595089999999999</v>
      </c>
      <c r="D269" s="9">
        <v>-117.41527000000001</v>
      </c>
      <c r="E269" s="10" t="s">
        <v>42</v>
      </c>
      <c r="F269" s="10" t="s">
        <v>4</v>
      </c>
      <c r="G269" s="10" t="s">
        <v>30</v>
      </c>
      <c r="H269" s="10">
        <v>-8</v>
      </c>
      <c r="I269" s="11">
        <v>1001.294118</v>
      </c>
      <c r="J269" s="11">
        <v>3.435908</v>
      </c>
      <c r="K269" s="11" t="str">
        <f>IF(Table1[[#This Row],[Solar 
Resource]]&lt;3,"Low", IF(Table1[[#This Row],[Solar 
Resource]]&lt;4, "Moderate","High"))</f>
        <v>Moderate</v>
      </c>
      <c r="L269" s="11">
        <v>0.98323923000000002</v>
      </c>
      <c r="M269" s="11">
        <v>6.8307303959999999</v>
      </c>
      <c r="N269" s="11">
        <v>219.1950386</v>
      </c>
      <c r="O269" s="11">
        <v>293.721407</v>
      </c>
      <c r="P269" s="11">
        <f>Table1[[#This Row],[Installed Capacity 
(AC -MW)]]/Table1[[#This Row],[Installed Capacity 
(DC -MW)]]</f>
        <v>0.74626851627467528</v>
      </c>
      <c r="Q269" s="12">
        <v>0.1980497</v>
      </c>
      <c r="R269" s="12">
        <v>0.14779828</v>
      </c>
      <c r="S269" s="13">
        <v>48.298939869999998</v>
      </c>
      <c r="T269" s="11">
        <v>4.5319805149999999</v>
      </c>
      <c r="U269" s="11">
        <v>138.40183110000001</v>
      </c>
      <c r="V269" s="13">
        <v>539385.06559999997</v>
      </c>
      <c r="W269" s="13">
        <v>657453.80000000005</v>
      </c>
      <c r="X269" s="13">
        <v>30.657412000000001</v>
      </c>
      <c r="Y269" s="14">
        <f>+Table1[[#This Row],[Generation Cost 
LCOE (USD/MWh)]]+Table1[[#This Row],[Transmission Cost
LCOT (USD/MWh)]]</f>
        <v>78.956351869999992</v>
      </c>
    </row>
    <row r="270" spans="1:25" x14ac:dyDescent="0.3">
      <c r="A270" s="7">
        <v>269</v>
      </c>
      <c r="B270" s="8">
        <v>5007</v>
      </c>
      <c r="C270" s="9">
        <v>48.616923999999997</v>
      </c>
      <c r="D270" s="9">
        <v>-117.25406</v>
      </c>
      <c r="E270" s="10" t="s">
        <v>42</v>
      </c>
      <c r="F270" s="10" t="s">
        <v>4</v>
      </c>
      <c r="G270" s="10" t="s">
        <v>30</v>
      </c>
      <c r="H270" s="10">
        <v>-8</v>
      </c>
      <c r="I270" s="11">
        <v>1005.875</v>
      </c>
      <c r="J270" s="11">
        <v>3.4420297</v>
      </c>
      <c r="K270" s="11" t="str">
        <f>IF(Table1[[#This Row],[Solar 
Resource]]&lt;3,"Low", IF(Table1[[#This Row],[Solar 
Resource]]&lt;4, "Moderate","High"))</f>
        <v>Moderate</v>
      </c>
      <c r="L270" s="11">
        <v>0.98327774000000001</v>
      </c>
      <c r="M270" s="11">
        <v>17.496241260000001</v>
      </c>
      <c r="N270" s="11">
        <v>561.44657580000001</v>
      </c>
      <c r="O270" s="11">
        <v>752.33837419999998</v>
      </c>
      <c r="P270" s="11">
        <f>Table1[[#This Row],[Installed Capacity 
(AC -MW)]]/Table1[[#This Row],[Installed Capacity 
(DC -MW)]]</f>
        <v>0.74626869378690808</v>
      </c>
      <c r="Q270" s="12">
        <v>0.19822632000000001</v>
      </c>
      <c r="R270" s="12">
        <v>0.14793012</v>
      </c>
      <c r="S270" s="13">
        <v>48.257398709999997</v>
      </c>
      <c r="T270" s="11">
        <v>9.1938896040000007</v>
      </c>
      <c r="U270" s="11">
        <v>157.87865579999999</v>
      </c>
      <c r="V270" s="13">
        <v>613296.04399999999</v>
      </c>
      <c r="W270" s="13">
        <v>759820.4</v>
      </c>
      <c r="X270" s="13">
        <v>35.399250000000002</v>
      </c>
      <c r="Y270" s="14">
        <f>+Table1[[#This Row],[Generation Cost 
LCOE (USD/MWh)]]+Table1[[#This Row],[Transmission Cost
LCOT (USD/MWh)]]</f>
        <v>83.656648709999999</v>
      </c>
    </row>
    <row r="271" spans="1:25" x14ac:dyDescent="0.3">
      <c r="A271" s="7">
        <v>270</v>
      </c>
      <c r="B271" s="8">
        <v>5008</v>
      </c>
      <c r="C271" s="9">
        <v>48.638599999999997</v>
      </c>
      <c r="D271" s="9">
        <v>-117.09273</v>
      </c>
      <c r="E271" s="10" t="s">
        <v>42</v>
      </c>
      <c r="F271" s="10" t="s">
        <v>4</v>
      </c>
      <c r="G271" s="10" t="s">
        <v>30</v>
      </c>
      <c r="H271" s="10">
        <v>-8</v>
      </c>
      <c r="I271" s="11">
        <v>1120.5714290000001</v>
      </c>
      <c r="J271" s="11">
        <v>3.3634498000000002</v>
      </c>
      <c r="K271" s="11" t="str">
        <f>IF(Table1[[#This Row],[Solar 
Resource]]&lt;3,"Low", IF(Table1[[#This Row],[Solar 
Resource]]&lt;4, "Moderate","High"))</f>
        <v>Moderate</v>
      </c>
      <c r="L271" s="11">
        <v>0.98322030000000005</v>
      </c>
      <c r="M271" s="11">
        <v>10.681956080000001</v>
      </c>
      <c r="N271" s="11">
        <v>342.77916390000001</v>
      </c>
      <c r="O271" s="11">
        <v>459.32411139999999</v>
      </c>
      <c r="P271" s="11">
        <f>Table1[[#This Row],[Installed Capacity 
(AC -MW)]]/Table1[[#This Row],[Installed Capacity 
(DC -MW)]]</f>
        <v>0.74626860509286996</v>
      </c>
      <c r="Q271" s="12">
        <v>0.19406126000000001</v>
      </c>
      <c r="R271" s="12">
        <v>0.14482184000000001</v>
      </c>
      <c r="S271" s="13">
        <v>49.29085997</v>
      </c>
      <c r="T271" s="11">
        <v>22.22689609</v>
      </c>
      <c r="U271" s="11">
        <v>157.87865579999999</v>
      </c>
      <c r="V271" s="13">
        <v>613296.04399999999</v>
      </c>
      <c r="W271" s="13">
        <v>858525.6</v>
      </c>
      <c r="X271" s="13">
        <v>40.856276999999999</v>
      </c>
      <c r="Y271" s="14">
        <f>+Table1[[#This Row],[Generation Cost 
LCOE (USD/MWh)]]+Table1[[#This Row],[Transmission Cost
LCOT (USD/MWh)]]</f>
        <v>90.147136969999991</v>
      </c>
    </row>
    <row r="272" spans="1:25" x14ac:dyDescent="0.3">
      <c r="A272" s="7">
        <v>271</v>
      </c>
      <c r="B272" s="8">
        <v>5009</v>
      </c>
      <c r="C272" s="9">
        <v>48.660114</v>
      </c>
      <c r="D272" s="9">
        <v>-116.931274</v>
      </c>
      <c r="E272" s="10" t="s">
        <v>42</v>
      </c>
      <c r="F272" s="10" t="s">
        <v>1</v>
      </c>
      <c r="G272" s="10" t="s">
        <v>9</v>
      </c>
      <c r="H272" s="10">
        <v>-8</v>
      </c>
      <c r="I272" s="11">
        <v>916.88888889999998</v>
      </c>
      <c r="J272" s="11">
        <v>3.3384311000000002</v>
      </c>
      <c r="K272" s="11" t="str">
        <f>IF(Table1[[#This Row],[Solar 
Resource]]&lt;3,"Low", IF(Table1[[#This Row],[Solar 
Resource]]&lt;4, "Moderate","High"))</f>
        <v>Moderate</v>
      </c>
      <c r="L272" s="11">
        <v>0.98232399999999997</v>
      </c>
      <c r="M272" s="11">
        <v>17.253486469999999</v>
      </c>
      <c r="N272" s="11">
        <v>553.65661720000003</v>
      </c>
      <c r="O272" s="11">
        <v>741.89991840000005</v>
      </c>
      <c r="P272" s="11">
        <f>Table1[[#This Row],[Installed Capacity 
(AC -MW)]]/Table1[[#This Row],[Installed Capacity 
(DC -MW)]]</f>
        <v>0.74626860506202741</v>
      </c>
      <c r="Q272" s="12">
        <v>0.19182030999999999</v>
      </c>
      <c r="R272" s="12">
        <v>0.14314948</v>
      </c>
      <c r="S272" s="13">
        <v>49.831018819999997</v>
      </c>
      <c r="T272" s="11">
        <v>61.661428530000002</v>
      </c>
      <c r="U272" s="11">
        <v>369.06088940000001</v>
      </c>
      <c r="V272" s="13">
        <v>1404253.102</v>
      </c>
      <c r="W272" s="13">
        <v>1928386.9</v>
      </c>
      <c r="X272" s="13">
        <v>92.841896000000006</v>
      </c>
      <c r="Y272" s="14">
        <f>+Table1[[#This Row],[Generation Cost 
LCOE (USD/MWh)]]+Table1[[#This Row],[Transmission Cost
LCOT (USD/MWh)]]</f>
        <v>142.67291482000002</v>
      </c>
    </row>
    <row r="273" spans="1:25" x14ac:dyDescent="0.3">
      <c r="A273" s="7">
        <v>272</v>
      </c>
      <c r="B273" s="8">
        <v>5010</v>
      </c>
      <c r="C273" s="9">
        <v>48.681465000000003</v>
      </c>
      <c r="D273" s="9">
        <v>-116.7697</v>
      </c>
      <c r="E273" s="10" t="s">
        <v>42</v>
      </c>
      <c r="F273" s="10" t="s">
        <v>1</v>
      </c>
      <c r="G273" s="10" t="s">
        <v>9</v>
      </c>
      <c r="H273" s="10">
        <v>-8</v>
      </c>
      <c r="I273" s="11">
        <v>1212.75</v>
      </c>
      <c r="J273" s="11">
        <v>3.3991516000000002</v>
      </c>
      <c r="K273" s="11" t="str">
        <f>IF(Table1[[#This Row],[Solar 
Resource]]&lt;3,"Low", IF(Table1[[#This Row],[Solar 
Resource]]&lt;4, "Moderate","High"))</f>
        <v>Moderate</v>
      </c>
      <c r="L273" s="11">
        <v>0.98251080000000002</v>
      </c>
      <c r="M273" s="11">
        <v>4.2724256839999999</v>
      </c>
      <c r="N273" s="11">
        <v>137.1002177</v>
      </c>
      <c r="O273" s="11">
        <v>183.7143044</v>
      </c>
      <c r="P273" s="11">
        <f>Table1[[#This Row],[Installed Capacity 
(AC -MW)]]/Table1[[#This Row],[Installed Capacity 
(DC -MW)]]</f>
        <v>0.74626860520067373</v>
      </c>
      <c r="Q273" s="12">
        <v>0.19565088999999999</v>
      </c>
      <c r="R273" s="12">
        <v>0.1460081</v>
      </c>
      <c r="S273" s="13">
        <v>48.862695950000003</v>
      </c>
      <c r="T273" s="11">
        <v>31.860188279999999</v>
      </c>
      <c r="U273" s="11">
        <v>381.86227250000002</v>
      </c>
      <c r="V273" s="13">
        <v>1456689.61</v>
      </c>
      <c r="W273" s="13">
        <v>1787034.6</v>
      </c>
      <c r="X273" s="13">
        <v>84.352029999999999</v>
      </c>
      <c r="Y273" s="14">
        <f>+Table1[[#This Row],[Generation Cost 
LCOE (USD/MWh)]]+Table1[[#This Row],[Transmission Cost
LCOT (USD/MWh)]]</f>
        <v>133.21472595</v>
      </c>
    </row>
    <row r="274" spans="1:25" x14ac:dyDescent="0.3">
      <c r="A274" s="7">
        <v>273</v>
      </c>
      <c r="B274" s="8">
        <v>5011</v>
      </c>
      <c r="C274" s="9">
        <v>48.702655999999998</v>
      </c>
      <c r="D274" s="9">
        <v>-116.608</v>
      </c>
      <c r="E274" s="10" t="s">
        <v>42</v>
      </c>
      <c r="F274" s="10" t="s">
        <v>1</v>
      </c>
      <c r="G274" s="10" t="s">
        <v>10</v>
      </c>
      <c r="H274" s="10">
        <v>-8</v>
      </c>
      <c r="I274" s="11">
        <v>1717.166667</v>
      </c>
      <c r="J274" s="11">
        <v>3.4440005</v>
      </c>
      <c r="K274" s="11" t="str">
        <f>IF(Table1[[#This Row],[Solar 
Resource]]&lt;3,"Low", IF(Table1[[#This Row],[Solar 
Resource]]&lt;4, "Moderate","High"))</f>
        <v>Moderate</v>
      </c>
      <c r="L274" s="11">
        <v>0.98268246999999997</v>
      </c>
      <c r="M274" s="11">
        <v>2.8813320099999999</v>
      </c>
      <c r="N274" s="11">
        <v>92.460647649999999</v>
      </c>
      <c r="O274" s="11">
        <v>123.8972764</v>
      </c>
      <c r="P274" s="11">
        <f>Table1[[#This Row],[Installed Capacity 
(AC -MW)]]/Table1[[#This Row],[Installed Capacity 
(DC -MW)]]</f>
        <v>0.74626860522335103</v>
      </c>
      <c r="Q274" s="12">
        <v>0.20113929999999999</v>
      </c>
      <c r="R274" s="12">
        <v>0.15010396000000001</v>
      </c>
      <c r="S274" s="13">
        <v>47.535906619999999</v>
      </c>
      <c r="T274" s="11">
        <v>24.769831150000002</v>
      </c>
      <c r="U274" s="11">
        <v>396.70012320000001</v>
      </c>
      <c r="V274" s="13">
        <v>1520048.6880000001</v>
      </c>
      <c r="W274" s="13">
        <v>1762440.9</v>
      </c>
      <c r="X274" s="13">
        <v>80.921149999999997</v>
      </c>
      <c r="Y274" s="14">
        <f>+Table1[[#This Row],[Generation Cost 
LCOE (USD/MWh)]]+Table1[[#This Row],[Transmission Cost
LCOT (USD/MWh)]]</f>
        <v>128.45705662</v>
      </c>
    </row>
    <row r="275" spans="1:25" x14ac:dyDescent="0.3">
      <c r="A275" s="7">
        <v>274</v>
      </c>
      <c r="B275" s="8">
        <v>5012</v>
      </c>
      <c r="C275" s="9">
        <v>48.723680000000002</v>
      </c>
      <c r="D275" s="9">
        <v>-116.44618</v>
      </c>
      <c r="E275" s="10" t="s">
        <v>42</v>
      </c>
      <c r="F275" s="10" t="s">
        <v>1</v>
      </c>
      <c r="G275" s="10" t="s">
        <v>10</v>
      </c>
      <c r="H275" s="10">
        <v>-8</v>
      </c>
      <c r="I275" s="11">
        <v>716.5</v>
      </c>
      <c r="J275" s="11">
        <v>3.530341</v>
      </c>
      <c r="K275" s="11" t="str">
        <f>IF(Table1[[#This Row],[Solar 
Resource]]&lt;3,"Low", IF(Table1[[#This Row],[Solar 
Resource]]&lt;4, "Moderate","High"))</f>
        <v>Moderate</v>
      </c>
      <c r="L275" s="11">
        <v>0.98281099999999999</v>
      </c>
      <c r="M275" s="11">
        <v>3.0243782870000002</v>
      </c>
      <c r="N275" s="11">
        <v>97.050938310000006</v>
      </c>
      <c r="O275" s="11">
        <v>130.04826629999999</v>
      </c>
      <c r="P275" s="11">
        <f>Table1[[#This Row],[Installed Capacity 
(AC -MW)]]/Table1[[#This Row],[Installed Capacity 
(DC -MW)]]</f>
        <v>0.74626860527397909</v>
      </c>
      <c r="Q275" s="12">
        <v>0.20196710000000001</v>
      </c>
      <c r="R275" s="12">
        <v>0.15072173</v>
      </c>
      <c r="S275" s="13">
        <v>47.34592507</v>
      </c>
      <c r="T275" s="11">
        <v>16.754987</v>
      </c>
      <c r="U275" s="11">
        <v>396.70012320000001</v>
      </c>
      <c r="V275" s="13">
        <v>1520048.6880000001</v>
      </c>
      <c r="W275" s="13">
        <v>1640894.5</v>
      </c>
      <c r="X275" s="13">
        <v>75.031639999999996</v>
      </c>
      <c r="Y275" s="14">
        <f>+Table1[[#This Row],[Generation Cost 
LCOE (USD/MWh)]]+Table1[[#This Row],[Transmission Cost
LCOT (USD/MWh)]]</f>
        <v>122.37756507</v>
      </c>
    </row>
    <row r="276" spans="1:25" x14ac:dyDescent="0.3">
      <c r="A276" s="7">
        <v>275</v>
      </c>
      <c r="B276" s="8">
        <v>5013</v>
      </c>
      <c r="C276" s="9">
        <v>48.744545000000002</v>
      </c>
      <c r="D276" s="9">
        <v>-116.28422999999999</v>
      </c>
      <c r="E276" s="10" t="s">
        <v>42</v>
      </c>
      <c r="F276" s="10" t="s">
        <v>1</v>
      </c>
      <c r="G276" s="10" t="s">
        <v>10</v>
      </c>
      <c r="H276" s="10">
        <v>-8</v>
      </c>
      <c r="I276" s="11">
        <v>770.68421049999995</v>
      </c>
      <c r="J276" s="11">
        <v>3.5675929000000002</v>
      </c>
      <c r="K276" s="11" t="str">
        <f>IF(Table1[[#This Row],[Solar 
Resource]]&lt;3,"Low", IF(Table1[[#This Row],[Solar 
Resource]]&lt;4, "Moderate","High"))</f>
        <v>Moderate</v>
      </c>
      <c r="L276" s="11">
        <v>0.98318094</v>
      </c>
      <c r="M276" s="11">
        <v>29.345081839999999</v>
      </c>
      <c r="N276" s="11">
        <v>941.67058329999998</v>
      </c>
      <c r="O276" s="11">
        <v>1261.8385189999999</v>
      </c>
      <c r="P276" s="11">
        <f>Table1[[#This Row],[Installed Capacity 
(AC -MW)]]/Table1[[#This Row],[Installed Capacity 
(DC -MW)]]</f>
        <v>0.74626869375193006</v>
      </c>
      <c r="Q276" s="12">
        <v>0.20588650999999999</v>
      </c>
      <c r="R276" s="12">
        <v>0.15364665</v>
      </c>
      <c r="S276" s="13">
        <v>46.458348530000002</v>
      </c>
      <c r="T276" s="11">
        <v>0.65183766200000004</v>
      </c>
      <c r="U276" s="11">
        <v>420.30150630000003</v>
      </c>
      <c r="V276" s="13">
        <v>1615418.8859999999</v>
      </c>
      <c r="W276" s="13">
        <v>1655057.8</v>
      </c>
      <c r="X276" s="13">
        <v>74.238590000000002</v>
      </c>
      <c r="Y276" s="14">
        <f>+Table1[[#This Row],[Generation Cost 
LCOE (USD/MWh)]]+Table1[[#This Row],[Transmission Cost
LCOT (USD/MWh)]]</f>
        <v>120.69693853000001</v>
      </c>
    </row>
    <row r="277" spans="1:25" x14ac:dyDescent="0.3">
      <c r="A277" s="7">
        <v>276</v>
      </c>
      <c r="B277" s="8">
        <v>5014</v>
      </c>
      <c r="C277" s="9">
        <v>48.765247000000002</v>
      </c>
      <c r="D277" s="9">
        <v>-116.12217</v>
      </c>
      <c r="E277" s="10" t="s">
        <v>42</v>
      </c>
      <c r="F277" s="10" t="s">
        <v>1</v>
      </c>
      <c r="G277" s="10" t="s">
        <v>10</v>
      </c>
      <c r="H277" s="10">
        <v>-8</v>
      </c>
      <c r="I277" s="11">
        <v>1028.0769230000001</v>
      </c>
      <c r="J277" s="11">
        <v>3.5063917999999998</v>
      </c>
      <c r="K277" s="11" t="str">
        <f>IF(Table1[[#This Row],[Solar 
Resource]]&lt;3,"Low", IF(Table1[[#This Row],[Solar 
Resource]]&lt;4, "Moderate","High"))</f>
        <v>Moderate</v>
      </c>
      <c r="L277" s="11">
        <v>0.98341714999999996</v>
      </c>
      <c r="M277" s="11">
        <v>13.131396280000001</v>
      </c>
      <c r="N277" s="11">
        <v>421.38059759999999</v>
      </c>
      <c r="O277" s="11">
        <v>564.65003990000002</v>
      </c>
      <c r="P277" s="11">
        <f>Table1[[#This Row],[Installed Capacity 
(AC -MW)]]/Table1[[#This Row],[Installed Capacity 
(DC -MW)]]</f>
        <v>0.74626860501883052</v>
      </c>
      <c r="Q277" s="12">
        <v>0.20221781999999999</v>
      </c>
      <c r="R277" s="12">
        <v>0.15090882999999999</v>
      </c>
      <c r="S277" s="13">
        <v>47.310122409999998</v>
      </c>
      <c r="T277" s="11">
        <v>9.1102857069999992</v>
      </c>
      <c r="U277" s="11">
        <v>411.35577899999998</v>
      </c>
      <c r="V277" s="13">
        <v>1587885.17</v>
      </c>
      <c r="W277" s="13">
        <v>1699752</v>
      </c>
      <c r="X277" s="13">
        <v>77.626594999999995</v>
      </c>
      <c r="Y277" s="14">
        <f>+Table1[[#This Row],[Generation Cost 
LCOE (USD/MWh)]]+Table1[[#This Row],[Transmission Cost
LCOT (USD/MWh)]]</f>
        <v>124.93671741</v>
      </c>
    </row>
    <row r="278" spans="1:25" x14ac:dyDescent="0.3">
      <c r="A278" s="7">
        <v>277</v>
      </c>
      <c r="B278" s="8">
        <v>5015</v>
      </c>
      <c r="C278" s="9">
        <v>48.785789999999999</v>
      </c>
      <c r="D278" s="9">
        <v>-115.95998400000001</v>
      </c>
      <c r="E278" s="10" t="s">
        <v>42</v>
      </c>
      <c r="F278" s="10" t="s">
        <v>3</v>
      </c>
      <c r="G278" s="10" t="s">
        <v>27</v>
      </c>
      <c r="H278" s="10">
        <v>-7</v>
      </c>
      <c r="I278" s="11">
        <v>1235.5</v>
      </c>
      <c r="J278" s="11">
        <v>3.4158460000000002</v>
      </c>
      <c r="K278" s="11" t="str">
        <f>IF(Table1[[#This Row],[Solar 
Resource]]&lt;3,"Low", IF(Table1[[#This Row],[Solar 
Resource]]&lt;4, "Moderate","High"))</f>
        <v>Moderate</v>
      </c>
      <c r="L278" s="11">
        <v>0.98362433999999999</v>
      </c>
      <c r="M278" s="11">
        <v>1.2159719600000001</v>
      </c>
      <c r="N278" s="11">
        <v>39.019993049999997</v>
      </c>
      <c r="O278" s="11">
        <v>52.286794299999997</v>
      </c>
      <c r="P278" s="11">
        <f>Table1[[#This Row],[Installed Capacity 
(AC -MW)]]/Table1[[#This Row],[Installed Capacity 
(DC -MW)]]</f>
        <v>0.74626860514950333</v>
      </c>
      <c r="Q278" s="12">
        <v>0.19759919000000001</v>
      </c>
      <c r="R278" s="12">
        <v>0.14746208</v>
      </c>
      <c r="S278" s="13">
        <v>51.514053769999997</v>
      </c>
      <c r="T278" s="11">
        <v>21.051597390000001</v>
      </c>
      <c r="U278" s="11">
        <v>362.84714270000001</v>
      </c>
      <c r="V278" s="13">
        <v>1621424.642</v>
      </c>
      <c r="W278" s="13">
        <v>1870790.9</v>
      </c>
      <c r="X278" s="13">
        <v>87.434839999999994</v>
      </c>
      <c r="Y278" s="14">
        <f>+Table1[[#This Row],[Generation Cost 
LCOE (USD/MWh)]]+Table1[[#This Row],[Transmission Cost
LCOT (USD/MWh)]]</f>
        <v>138.94889376999998</v>
      </c>
    </row>
    <row r="279" spans="1:25" x14ac:dyDescent="0.3">
      <c r="A279" s="7">
        <v>278</v>
      </c>
      <c r="B279" s="8">
        <v>5016</v>
      </c>
      <c r="C279" s="9">
        <v>48.806164000000003</v>
      </c>
      <c r="D279" s="9">
        <v>-115.79768</v>
      </c>
      <c r="E279" s="10" t="s">
        <v>42</v>
      </c>
      <c r="F279" s="10" t="s">
        <v>3</v>
      </c>
      <c r="G279" s="10" t="s">
        <v>27</v>
      </c>
      <c r="H279" s="10">
        <v>-7</v>
      </c>
      <c r="I279" s="11">
        <v>1137.2</v>
      </c>
      <c r="J279" s="11">
        <v>3.4454129999999998</v>
      </c>
      <c r="K279" s="11" t="str">
        <f>IF(Table1[[#This Row],[Solar 
Resource]]&lt;3,"Low", IF(Table1[[#This Row],[Solar 
Resource]]&lt;4, "Moderate","High"))</f>
        <v>Moderate</v>
      </c>
      <c r="L279" s="11">
        <v>0.98385739999999999</v>
      </c>
      <c r="M279" s="11">
        <v>7.8242761779999999</v>
      </c>
      <c r="N279" s="11">
        <v>251.07750179999999</v>
      </c>
      <c r="O279" s="11">
        <v>336.44387569999998</v>
      </c>
      <c r="P279" s="11">
        <f>Table1[[#This Row],[Installed Capacity 
(AC -MW)]]/Table1[[#This Row],[Installed Capacity 
(DC -MW)]]</f>
        <v>0.74626860506113235</v>
      </c>
      <c r="Q279" s="12">
        <v>0.19852275</v>
      </c>
      <c r="R279" s="12">
        <v>0.14815128</v>
      </c>
      <c r="S279" s="13">
        <v>48.207654089999998</v>
      </c>
      <c r="T279" s="11">
        <v>28.135558419999999</v>
      </c>
      <c r="U279" s="11">
        <v>362.84714270000001</v>
      </c>
      <c r="V279" s="13">
        <v>1621424.642</v>
      </c>
      <c r="W279" s="13">
        <v>1963277.2</v>
      </c>
      <c r="X279" s="13">
        <v>91.330489999999998</v>
      </c>
      <c r="Y279" s="14">
        <f>+Table1[[#This Row],[Generation Cost 
LCOE (USD/MWh)]]+Table1[[#This Row],[Transmission Cost
LCOT (USD/MWh)]]</f>
        <v>139.53814409</v>
      </c>
    </row>
    <row r="280" spans="1:25" x14ac:dyDescent="0.3">
      <c r="A280" s="7">
        <v>279</v>
      </c>
      <c r="B280" s="8">
        <v>5017</v>
      </c>
      <c r="C280" s="9">
        <v>48.826377999999998</v>
      </c>
      <c r="D280" s="9">
        <v>-115.63527000000001</v>
      </c>
      <c r="E280" s="10" t="s">
        <v>42</v>
      </c>
      <c r="F280" s="10" t="s">
        <v>3</v>
      </c>
      <c r="G280" s="10" t="s">
        <v>27</v>
      </c>
      <c r="H280" s="10">
        <v>-7</v>
      </c>
      <c r="I280" s="11">
        <v>1134.6153850000001</v>
      </c>
      <c r="J280" s="11">
        <v>3.446053</v>
      </c>
      <c r="K280" s="11" t="str">
        <f>IF(Table1[[#This Row],[Solar 
Resource]]&lt;3,"Low", IF(Table1[[#This Row],[Solar 
Resource]]&lt;4, "Moderate","High"))</f>
        <v>Moderate</v>
      </c>
      <c r="L280" s="11">
        <v>0.98403954999999999</v>
      </c>
      <c r="M280" s="11">
        <v>20.011212159999999</v>
      </c>
      <c r="N280" s="11">
        <v>642.15079349999996</v>
      </c>
      <c r="O280" s="11">
        <v>860.48212279999996</v>
      </c>
      <c r="P280" s="11">
        <f>Table1[[#This Row],[Installed Capacity 
(AC -MW)]]/Table1[[#This Row],[Installed Capacity 
(DC -MW)]]</f>
        <v>0.74626860510529602</v>
      </c>
      <c r="Q280" s="12">
        <v>0.19777819999999999</v>
      </c>
      <c r="R280" s="12">
        <v>0.14759567000000001</v>
      </c>
      <c r="S280" s="13">
        <v>48.396159300000001</v>
      </c>
      <c r="T280" s="11">
        <v>47.161285679999999</v>
      </c>
      <c r="U280" s="11">
        <v>362.84714270000001</v>
      </c>
      <c r="V280" s="13">
        <v>1621424.642</v>
      </c>
      <c r="W280" s="13">
        <v>2061815.8</v>
      </c>
      <c r="X280" s="13">
        <v>96.275509999999997</v>
      </c>
      <c r="Y280" s="14">
        <f>+Table1[[#This Row],[Generation Cost 
LCOE (USD/MWh)]]+Table1[[#This Row],[Transmission Cost
LCOT (USD/MWh)]]</f>
        <v>144.67166929999999</v>
      </c>
    </row>
    <row r="281" spans="1:25" x14ac:dyDescent="0.3">
      <c r="A281" s="7">
        <v>280</v>
      </c>
      <c r="B281" s="8">
        <v>5019</v>
      </c>
      <c r="C281" s="9">
        <v>48.866314000000003</v>
      </c>
      <c r="D281" s="9">
        <v>-115.310074</v>
      </c>
      <c r="E281" s="10" t="s">
        <v>42</v>
      </c>
      <c r="F281" s="10" t="s">
        <v>3</v>
      </c>
      <c r="G281" s="10" t="s">
        <v>27</v>
      </c>
      <c r="H281" s="10">
        <v>-7</v>
      </c>
      <c r="I281" s="11">
        <v>1105.142857</v>
      </c>
      <c r="J281" s="11">
        <v>3.5295253</v>
      </c>
      <c r="K281" s="11" t="str">
        <f>IF(Table1[[#This Row],[Solar 
Resource]]&lt;3,"Low", IF(Table1[[#This Row],[Solar 
Resource]]&lt;4, "Moderate","High"))</f>
        <v>Moderate</v>
      </c>
      <c r="L281" s="11">
        <v>0.98442525000000003</v>
      </c>
      <c r="M281" s="11">
        <v>1.4418</v>
      </c>
      <c r="N281" s="11">
        <v>46.26671872</v>
      </c>
      <c r="O281" s="11">
        <v>61.997399999999999</v>
      </c>
      <c r="P281" s="11">
        <f>Table1[[#This Row],[Installed Capacity 
(AC -MW)]]/Table1[[#This Row],[Installed Capacity 
(DC -MW)]]</f>
        <v>0.74626869384845174</v>
      </c>
      <c r="Q281" s="12">
        <v>0.20501019000000001</v>
      </c>
      <c r="R281" s="12">
        <v>0.15299267999999999</v>
      </c>
      <c r="S281" s="13">
        <v>48.785677380000003</v>
      </c>
      <c r="T281" s="11">
        <v>48.834006459999998</v>
      </c>
      <c r="U281" s="11">
        <v>277.9694609</v>
      </c>
      <c r="V281" s="13">
        <v>1119163.2320000001</v>
      </c>
      <c r="W281" s="13">
        <v>1516628.2</v>
      </c>
      <c r="X281" s="13">
        <v>68.320040000000006</v>
      </c>
      <c r="Y281" s="14">
        <f>+Table1[[#This Row],[Generation Cost 
LCOE (USD/MWh)]]+Table1[[#This Row],[Transmission Cost
LCOT (USD/MWh)]]</f>
        <v>117.10571738000002</v>
      </c>
    </row>
    <row r="282" spans="1:25" x14ac:dyDescent="0.3">
      <c r="A282" s="7">
        <v>281</v>
      </c>
      <c r="B282" s="8">
        <v>5020</v>
      </c>
      <c r="C282" s="9">
        <v>48.886035999999997</v>
      </c>
      <c r="D282" s="9">
        <v>-115.14731</v>
      </c>
      <c r="E282" s="10" t="s">
        <v>42</v>
      </c>
      <c r="F282" s="10" t="s">
        <v>3</v>
      </c>
      <c r="G282" s="10" t="s">
        <v>27</v>
      </c>
      <c r="H282" s="10">
        <v>-7</v>
      </c>
      <c r="I282" s="11">
        <v>900.125</v>
      </c>
      <c r="J282" s="11">
        <v>3.4964602</v>
      </c>
      <c r="K282" s="11" t="str">
        <f>IF(Table1[[#This Row],[Solar 
Resource]]&lt;3,"Low", IF(Table1[[#This Row],[Solar 
Resource]]&lt;4, "Moderate","High"))</f>
        <v>Moderate</v>
      </c>
      <c r="L282" s="11">
        <v>0.98450612999999998</v>
      </c>
      <c r="M282" s="11">
        <v>35.028287839999997</v>
      </c>
      <c r="N282" s="11">
        <v>1124.042128</v>
      </c>
      <c r="O282" s="11">
        <v>1506.216377</v>
      </c>
      <c r="P282" s="11">
        <f>Table1[[#This Row],[Installed Capacity 
(AC -MW)]]/Table1[[#This Row],[Installed Capacity 
(DC -MW)]]</f>
        <v>0.74626869363803239</v>
      </c>
      <c r="Q282" s="12">
        <v>0.20114388999999999</v>
      </c>
      <c r="R282" s="12">
        <v>0.15010738000000001</v>
      </c>
      <c r="S282" s="13">
        <v>47.60408073</v>
      </c>
      <c r="T282" s="11">
        <v>34.190045429999998</v>
      </c>
      <c r="U282" s="11">
        <v>277.9694609</v>
      </c>
      <c r="V282" s="13">
        <v>1119163.2320000001</v>
      </c>
      <c r="W282" s="13">
        <v>1364227.1</v>
      </c>
      <c r="X282" s="13">
        <v>62.636029999999998</v>
      </c>
      <c r="Y282" s="14">
        <f>+Table1[[#This Row],[Generation Cost 
LCOE (USD/MWh)]]+Table1[[#This Row],[Transmission Cost
LCOT (USD/MWh)]]</f>
        <v>110.24011073</v>
      </c>
    </row>
    <row r="283" spans="1:25" x14ac:dyDescent="0.3">
      <c r="A283" s="7">
        <v>282</v>
      </c>
      <c r="B283" s="8">
        <v>5021</v>
      </c>
      <c r="C283" s="9">
        <v>48.905594000000001</v>
      </c>
      <c r="D283" s="9">
        <v>-114.98442</v>
      </c>
      <c r="E283" s="10" t="s">
        <v>42</v>
      </c>
      <c r="F283" s="10" t="s">
        <v>3</v>
      </c>
      <c r="G283" s="10" t="s">
        <v>27</v>
      </c>
      <c r="H283" s="10">
        <v>-7</v>
      </c>
      <c r="I283" s="11">
        <v>957.61538459999997</v>
      </c>
      <c r="J283" s="11">
        <v>3.4009309999999999</v>
      </c>
      <c r="K283" s="11" t="str">
        <f>IF(Table1[[#This Row],[Solar 
Resource]]&lt;3,"Low", IF(Table1[[#This Row],[Solar 
Resource]]&lt;4, "Moderate","High"))</f>
        <v>Moderate</v>
      </c>
      <c r="L283" s="11">
        <v>0.98458754999999998</v>
      </c>
      <c r="M283" s="11">
        <v>31.55687227</v>
      </c>
      <c r="N283" s="11">
        <v>1012.645831</v>
      </c>
      <c r="O283" s="11">
        <v>1356.9455069999999</v>
      </c>
      <c r="P283" s="11">
        <f>Table1[[#This Row],[Installed Capacity 
(AC -MW)]]/Table1[[#This Row],[Installed Capacity 
(DC -MW)]]</f>
        <v>0.74626860531695627</v>
      </c>
      <c r="Q283" s="12">
        <v>0.19430184</v>
      </c>
      <c r="R283" s="12">
        <v>0.1450014</v>
      </c>
      <c r="S283" s="13">
        <v>49.283576029999999</v>
      </c>
      <c r="T283" s="11">
        <v>29.717181799999999</v>
      </c>
      <c r="U283" s="11">
        <v>277.9694609</v>
      </c>
      <c r="V283" s="13">
        <v>1119163.2320000001</v>
      </c>
      <c r="W283" s="13">
        <v>1341051</v>
      </c>
      <c r="X283" s="13">
        <v>63.740110000000001</v>
      </c>
      <c r="Y283" s="14">
        <f>+Table1[[#This Row],[Generation Cost 
LCOE (USD/MWh)]]+Table1[[#This Row],[Transmission Cost
LCOT (USD/MWh)]]</f>
        <v>113.02368602999999</v>
      </c>
    </row>
    <row r="284" spans="1:25" x14ac:dyDescent="0.3">
      <c r="A284" s="7">
        <v>283</v>
      </c>
      <c r="B284" s="8">
        <v>5024</v>
      </c>
      <c r="C284" s="9">
        <v>48.963284000000002</v>
      </c>
      <c r="D284" s="9">
        <v>-114.49509399999999</v>
      </c>
      <c r="E284" s="10" t="s">
        <v>42</v>
      </c>
      <c r="F284" s="10" t="s">
        <v>3</v>
      </c>
      <c r="G284" s="10" t="s">
        <v>15</v>
      </c>
      <c r="H284" s="10">
        <v>-7</v>
      </c>
      <c r="I284" s="11">
        <v>1303.7142859999999</v>
      </c>
      <c r="J284" s="11">
        <v>3.4184348999999998</v>
      </c>
      <c r="K284" s="11" t="str">
        <f>IF(Table1[[#This Row],[Solar 
Resource]]&lt;3,"Low", IF(Table1[[#This Row],[Solar 
Resource]]&lt;4, "Moderate","High"))</f>
        <v>Moderate</v>
      </c>
      <c r="L284" s="11">
        <v>0.98147989999999996</v>
      </c>
      <c r="M284" s="11">
        <v>9.3234243160000005</v>
      </c>
      <c r="N284" s="11">
        <v>299.18449090000001</v>
      </c>
      <c r="O284" s="11">
        <v>400.90724560000001</v>
      </c>
      <c r="P284" s="11">
        <f>Table1[[#This Row],[Installed Capacity 
(AC -MW)]]/Table1[[#This Row],[Installed Capacity 
(DC -MW)]]</f>
        <v>0.74626860497928604</v>
      </c>
      <c r="Q284" s="12">
        <v>0.19772582999999999</v>
      </c>
      <c r="R284" s="12">
        <v>0.14755662</v>
      </c>
      <c r="S284" s="13">
        <v>48.310074610000001</v>
      </c>
      <c r="T284" s="11">
        <v>43.063409049999997</v>
      </c>
      <c r="U284" s="11">
        <v>271.89468820000002</v>
      </c>
      <c r="V284" s="13">
        <v>1084734.3330000001</v>
      </c>
      <c r="W284" s="13">
        <v>1547393.1</v>
      </c>
      <c r="X284" s="13">
        <v>72.273929999999993</v>
      </c>
      <c r="Y284" s="14">
        <f>+Table1[[#This Row],[Generation Cost 
LCOE (USD/MWh)]]+Table1[[#This Row],[Transmission Cost
LCOT (USD/MWh)]]</f>
        <v>120.58400460999999</v>
      </c>
    </row>
    <row r="285" spans="1:25" x14ac:dyDescent="0.3">
      <c r="A285" s="7">
        <v>284</v>
      </c>
      <c r="B285" s="8">
        <v>5025</v>
      </c>
      <c r="C285" s="9">
        <v>48.98218</v>
      </c>
      <c r="D285" s="9">
        <v>-114.33176</v>
      </c>
      <c r="E285" s="10" t="s">
        <v>42</v>
      </c>
      <c r="F285" s="10" t="s">
        <v>3</v>
      </c>
      <c r="G285" s="10" t="s">
        <v>15</v>
      </c>
      <c r="H285" s="10">
        <v>-7</v>
      </c>
      <c r="I285" s="11">
        <v>1214</v>
      </c>
      <c r="J285" s="11">
        <v>3.4290001000000001</v>
      </c>
      <c r="K285" s="11" t="str">
        <f>IF(Table1[[#This Row],[Solar 
Resource]]&lt;3,"Low", IF(Table1[[#This Row],[Solar 
Resource]]&lt;4, "Moderate","High"))</f>
        <v>Moderate</v>
      </c>
      <c r="L285" s="11">
        <v>0.98149746999999998</v>
      </c>
      <c r="M285" s="11">
        <v>0.198935996</v>
      </c>
      <c r="N285" s="11">
        <v>6.383766584</v>
      </c>
      <c r="O285" s="11">
        <v>8.554247814</v>
      </c>
      <c r="P285" s="11">
        <f>Table1[[#This Row],[Installed Capacity 
(AC -MW)]]/Table1[[#This Row],[Installed Capacity 
(DC -MW)]]</f>
        <v>0.74626860511946347</v>
      </c>
      <c r="Q285" s="12">
        <v>0.19817673</v>
      </c>
      <c r="R285" s="12">
        <v>0.14789304</v>
      </c>
      <c r="S285" s="13">
        <v>62.553515769999997</v>
      </c>
      <c r="T285" s="11">
        <v>74.489948010000006</v>
      </c>
      <c r="U285" s="11">
        <v>277.75218169999999</v>
      </c>
      <c r="V285" s="13">
        <v>1118451.9709999999</v>
      </c>
      <c r="W285" s="13">
        <v>1578995</v>
      </c>
      <c r="X285" s="13">
        <v>73.582160000000002</v>
      </c>
      <c r="Y285" s="14">
        <f>+Table1[[#This Row],[Generation Cost 
LCOE (USD/MWh)]]+Table1[[#This Row],[Transmission Cost
LCOT (USD/MWh)]]</f>
        <v>136.13567577000001</v>
      </c>
    </row>
    <row r="286" spans="1:25" x14ac:dyDescent="0.3">
      <c r="A286" s="7">
        <v>285</v>
      </c>
      <c r="B286" s="8">
        <v>5342</v>
      </c>
      <c r="C286" s="9">
        <v>47.384307999999997</v>
      </c>
      <c r="D286" s="9">
        <v>-124.32545</v>
      </c>
      <c r="E286" s="10" t="s">
        <v>42</v>
      </c>
      <c r="F286" s="10" t="s">
        <v>4</v>
      </c>
      <c r="G286" s="10" t="s">
        <v>18</v>
      </c>
      <c r="H286" s="10">
        <v>-8</v>
      </c>
      <c r="I286" s="11">
        <v>65.222222220000006</v>
      </c>
      <c r="J286" s="11">
        <v>3.1430972000000001</v>
      </c>
      <c r="K286" s="11" t="str">
        <f>IF(Table1[[#This Row],[Solar 
Resource]]&lt;3,"Low", IF(Table1[[#This Row],[Solar 
Resource]]&lt;4, "Moderate","High"))</f>
        <v>Moderate</v>
      </c>
      <c r="L286" s="11">
        <v>1.0210241</v>
      </c>
      <c r="M286" s="11">
        <v>24.425389819999999</v>
      </c>
      <c r="N286" s="11">
        <v>783.79967509999994</v>
      </c>
      <c r="O286" s="11">
        <v>1050.2917620000001</v>
      </c>
      <c r="P286" s="11">
        <f>Table1[[#This Row],[Installed Capacity 
(AC -MW)]]/Table1[[#This Row],[Installed Capacity 
(DC -MW)]]</f>
        <v>0.7462685164810422</v>
      </c>
      <c r="Q286" s="12">
        <v>0.18156320000000001</v>
      </c>
      <c r="R286" s="12">
        <v>0.13549493000000001</v>
      </c>
      <c r="S286" s="13">
        <v>54.274426900000002</v>
      </c>
      <c r="T286" s="11">
        <v>21.356681810000001</v>
      </c>
      <c r="U286" s="11">
        <v>264.2096037</v>
      </c>
      <c r="V286" s="13">
        <v>913839.36369999999</v>
      </c>
      <c r="W286" s="13">
        <v>1055638.8</v>
      </c>
      <c r="X286" s="13">
        <v>53.694760000000002</v>
      </c>
      <c r="Y286" s="14">
        <f>+Table1[[#This Row],[Generation Cost 
LCOE (USD/MWh)]]+Table1[[#This Row],[Transmission Cost
LCOT (USD/MWh)]]</f>
        <v>107.96918690000001</v>
      </c>
    </row>
    <row r="287" spans="1:25" x14ac:dyDescent="0.3">
      <c r="A287" s="7">
        <v>286</v>
      </c>
      <c r="B287" s="8">
        <v>5343</v>
      </c>
      <c r="C287" s="9">
        <v>47.412982999999997</v>
      </c>
      <c r="D287" s="9">
        <v>-124.1707</v>
      </c>
      <c r="E287" s="10" t="s">
        <v>42</v>
      </c>
      <c r="F287" s="10" t="s">
        <v>4</v>
      </c>
      <c r="G287" s="10" t="s">
        <v>18</v>
      </c>
      <c r="H287" s="10">
        <v>-8</v>
      </c>
      <c r="I287" s="11">
        <v>101.8421053</v>
      </c>
      <c r="J287" s="11">
        <v>3.1355754999999998</v>
      </c>
      <c r="K287" s="11" t="str">
        <f>IF(Table1[[#This Row],[Solar 
Resource]]&lt;3,"Low", IF(Table1[[#This Row],[Solar 
Resource]]&lt;4, "Moderate","High"))</f>
        <v>Moderate</v>
      </c>
      <c r="L287" s="11">
        <v>1.0208934999999999</v>
      </c>
      <c r="M287" s="11">
        <v>83.306878420000004</v>
      </c>
      <c r="N287" s="11">
        <v>2673.2802419999998</v>
      </c>
      <c r="O287" s="11">
        <v>3582.195772</v>
      </c>
      <c r="P287" s="11">
        <f>Table1[[#This Row],[Installed Capacity 
(AC -MW)]]/Table1[[#This Row],[Installed Capacity 
(DC -MW)]]</f>
        <v>0.74626860510961479</v>
      </c>
      <c r="Q287" s="12">
        <v>0.18301075999999999</v>
      </c>
      <c r="R287" s="12">
        <v>0.13657519000000001</v>
      </c>
      <c r="S287" s="13">
        <v>53.839690150000003</v>
      </c>
      <c r="T287" s="11">
        <v>25.1260844</v>
      </c>
      <c r="U287" s="11">
        <v>264.2096037</v>
      </c>
      <c r="V287" s="13">
        <v>913839.36369999999</v>
      </c>
      <c r="W287" s="13">
        <v>1105731.2</v>
      </c>
      <c r="X287" s="13">
        <v>55.797840000000001</v>
      </c>
      <c r="Y287" s="14">
        <f>+Table1[[#This Row],[Generation Cost 
LCOE (USD/MWh)]]+Table1[[#This Row],[Transmission Cost
LCOT (USD/MWh)]]</f>
        <v>109.63753015</v>
      </c>
    </row>
    <row r="288" spans="1:25" x14ac:dyDescent="0.3">
      <c r="A288" s="7">
        <v>287</v>
      </c>
      <c r="B288" s="8">
        <v>5344</v>
      </c>
      <c r="C288" s="9">
        <v>47.441510000000001</v>
      </c>
      <c r="D288" s="9">
        <v>-124.01578499999999</v>
      </c>
      <c r="E288" s="10" t="s">
        <v>42</v>
      </c>
      <c r="F288" s="10" t="s">
        <v>4</v>
      </c>
      <c r="G288" s="10" t="s">
        <v>18</v>
      </c>
      <c r="H288" s="10">
        <v>-8</v>
      </c>
      <c r="I288" s="11">
        <v>185.94444440000001</v>
      </c>
      <c r="J288" s="11">
        <v>3.0915678</v>
      </c>
      <c r="K288" s="11" t="str">
        <f>IF(Table1[[#This Row],[Solar 
Resource]]&lt;3,"Low", IF(Table1[[#This Row],[Solar 
Resource]]&lt;4, "Moderate","High"))</f>
        <v>Moderate</v>
      </c>
      <c r="L288" s="11">
        <v>1.0207915999999999</v>
      </c>
      <c r="M288" s="11">
        <v>80.915519529999997</v>
      </c>
      <c r="N288" s="11">
        <v>2596.5423030000002</v>
      </c>
      <c r="O288" s="11">
        <v>3479.3673399999998</v>
      </c>
      <c r="P288" s="11">
        <f>Table1[[#This Row],[Installed Capacity 
(AC -MW)]]/Table1[[#This Row],[Installed Capacity 
(DC -MW)]]</f>
        <v>0.74626851644816561</v>
      </c>
      <c r="Q288" s="12">
        <v>0.17797325999999999</v>
      </c>
      <c r="R288" s="12">
        <v>0.13281583999999999</v>
      </c>
      <c r="S288" s="13">
        <v>55.359243030000002</v>
      </c>
      <c r="T288" s="11">
        <v>23.880428559999999</v>
      </c>
      <c r="U288" s="11">
        <v>271.5044479</v>
      </c>
      <c r="V288" s="13">
        <v>949583.45409999997</v>
      </c>
      <c r="W288" s="13">
        <v>1122525.8999999999</v>
      </c>
      <c r="X288" s="13">
        <v>58.248669999999997</v>
      </c>
      <c r="Y288" s="14">
        <f>+Table1[[#This Row],[Generation Cost 
LCOE (USD/MWh)]]+Table1[[#This Row],[Transmission Cost
LCOT (USD/MWh)]]</f>
        <v>113.60791302999999</v>
      </c>
    </row>
    <row r="289" spans="1:25" x14ac:dyDescent="0.3">
      <c r="A289" s="7">
        <v>288</v>
      </c>
      <c r="B289" s="8">
        <v>5345</v>
      </c>
      <c r="C289" s="9">
        <v>47.469883000000003</v>
      </c>
      <c r="D289" s="9">
        <v>-123.86072</v>
      </c>
      <c r="E289" s="10" t="s">
        <v>42</v>
      </c>
      <c r="F289" s="10" t="s">
        <v>4</v>
      </c>
      <c r="G289" s="10" t="s">
        <v>18</v>
      </c>
      <c r="H289" s="10">
        <v>-8</v>
      </c>
      <c r="I289" s="11">
        <v>249.8</v>
      </c>
      <c r="J289" s="11">
        <v>3.0587382000000001</v>
      </c>
      <c r="K289" s="11" t="str">
        <f>IF(Table1[[#This Row],[Solar 
Resource]]&lt;3,"Low", IF(Table1[[#This Row],[Solar 
Resource]]&lt;4, "Moderate","High"))</f>
        <v>Moderate</v>
      </c>
      <c r="L289" s="11">
        <v>1.0207337000000001</v>
      </c>
      <c r="M289" s="11">
        <v>11.05504255</v>
      </c>
      <c r="N289" s="11">
        <v>354.75134100000002</v>
      </c>
      <c r="O289" s="11">
        <v>475.3668298</v>
      </c>
      <c r="P289" s="11">
        <f>Table1[[#This Row],[Installed Capacity 
(AC -MW)]]/Table1[[#This Row],[Installed Capacity 
(DC -MW)]]</f>
        <v>0.74626860513017645</v>
      </c>
      <c r="Q289" s="12">
        <v>0.17333038000000001</v>
      </c>
      <c r="R289" s="12">
        <v>0.12935102000000001</v>
      </c>
      <c r="S289" s="13">
        <v>56.839546370000001</v>
      </c>
      <c r="T289" s="11">
        <v>27.035272710000001</v>
      </c>
      <c r="U289" s="11">
        <v>271.5044479</v>
      </c>
      <c r="V289" s="13">
        <v>949583.45409999997</v>
      </c>
      <c r="W289" s="13">
        <v>1194252.1000000001</v>
      </c>
      <c r="X289" s="13">
        <v>63.630558000000001</v>
      </c>
      <c r="Y289" s="14">
        <f>+Table1[[#This Row],[Generation Cost 
LCOE (USD/MWh)]]+Table1[[#This Row],[Transmission Cost
LCOT (USD/MWh)]]</f>
        <v>120.47010437</v>
      </c>
    </row>
    <row r="290" spans="1:25" x14ac:dyDescent="0.3">
      <c r="A290" s="7">
        <v>289</v>
      </c>
      <c r="B290" s="8">
        <v>5346</v>
      </c>
      <c r="C290" s="9">
        <v>47.498108000000002</v>
      </c>
      <c r="D290" s="9">
        <v>-123.705505</v>
      </c>
      <c r="E290" s="10" t="s">
        <v>42</v>
      </c>
      <c r="F290" s="10" t="s">
        <v>4</v>
      </c>
      <c r="G290" s="10" t="s">
        <v>21</v>
      </c>
      <c r="H290" s="10">
        <v>-8</v>
      </c>
      <c r="I290" s="11">
        <v>231.5</v>
      </c>
      <c r="J290" s="11">
        <v>3.0580728000000001</v>
      </c>
      <c r="K290" s="11" t="str">
        <f>IF(Table1[[#This Row],[Solar 
Resource]]&lt;3,"Low", IF(Table1[[#This Row],[Solar 
Resource]]&lt;4, "Moderate","High"))</f>
        <v>Moderate</v>
      </c>
      <c r="L290" s="11">
        <v>1.0206887</v>
      </c>
      <c r="M290" s="11">
        <v>3.5963996999999998E-2</v>
      </c>
      <c r="N290" s="11">
        <v>1.154068605</v>
      </c>
      <c r="O290" s="11">
        <v>1.5464518540000001</v>
      </c>
      <c r="P290" s="11">
        <f>Table1[[#This Row],[Installed Capacity 
(AC -MW)]]/Table1[[#This Row],[Installed Capacity 
(DC -MW)]]</f>
        <v>0.74626869372940718</v>
      </c>
      <c r="Q290" s="12">
        <v>0.17280729</v>
      </c>
      <c r="R290" s="12">
        <v>0.12896067999999999</v>
      </c>
      <c r="S290" s="13">
        <v>90.225908200000006</v>
      </c>
      <c r="T290" s="11">
        <v>37.66121425</v>
      </c>
      <c r="U290" s="11">
        <v>271.5044479</v>
      </c>
      <c r="V290" s="13">
        <v>949583.45409999997</v>
      </c>
      <c r="W290" s="13">
        <v>1302018.2</v>
      </c>
      <c r="X290" s="13">
        <v>69.582404999999994</v>
      </c>
      <c r="Y290" s="14">
        <f>+Table1[[#This Row],[Generation Cost 
LCOE (USD/MWh)]]+Table1[[#This Row],[Transmission Cost
LCOT (USD/MWh)]]</f>
        <v>159.80831319999999</v>
      </c>
    </row>
    <row r="291" spans="1:25" x14ac:dyDescent="0.3">
      <c r="A291" s="7">
        <v>290</v>
      </c>
      <c r="B291" s="8">
        <v>5350</v>
      </c>
      <c r="C291" s="9">
        <v>47.609467000000002</v>
      </c>
      <c r="D291" s="9">
        <v>-123.08311500000001</v>
      </c>
      <c r="E291" s="10" t="s">
        <v>42</v>
      </c>
      <c r="F291" s="10" t="s">
        <v>4</v>
      </c>
      <c r="G291" s="10" t="s">
        <v>28</v>
      </c>
      <c r="H291" s="10">
        <v>-8</v>
      </c>
      <c r="I291" s="11">
        <v>389.4</v>
      </c>
      <c r="J291" s="11">
        <v>3.2340466999999999</v>
      </c>
      <c r="K291" s="11" t="str">
        <f>IF(Table1[[#This Row],[Solar 
Resource]]&lt;3,"Low", IF(Table1[[#This Row],[Solar 
Resource]]&lt;4, "Moderate","High"))</f>
        <v>Moderate</v>
      </c>
      <c r="L291" s="11">
        <v>1.0208994</v>
      </c>
      <c r="M291" s="11">
        <v>4.709664514</v>
      </c>
      <c r="N291" s="11">
        <v>151.13099700000001</v>
      </c>
      <c r="O291" s="11">
        <v>202.51557410000001</v>
      </c>
      <c r="P291" s="11">
        <f>Table1[[#This Row],[Installed Capacity 
(AC -MW)]]/Table1[[#This Row],[Installed Capacity 
(DC -MW)]]</f>
        <v>0.74626851624445012</v>
      </c>
      <c r="Q291" s="12">
        <v>0.18503627</v>
      </c>
      <c r="R291" s="12">
        <v>0.13808677</v>
      </c>
      <c r="S291" s="13">
        <v>53.250570930000002</v>
      </c>
      <c r="T291" s="11">
        <v>20.012623359999999</v>
      </c>
      <c r="U291" s="11">
        <v>233.38327910000001</v>
      </c>
      <c r="V291" s="13">
        <v>757057.31660000002</v>
      </c>
      <c r="W291" s="13">
        <v>861722.44</v>
      </c>
      <c r="X291" s="13">
        <v>43.008564</v>
      </c>
      <c r="Y291" s="14">
        <f>+Table1[[#This Row],[Generation Cost 
LCOE (USD/MWh)]]+Table1[[#This Row],[Transmission Cost
LCOT (USD/MWh)]]</f>
        <v>96.259134930000002</v>
      </c>
    </row>
    <row r="292" spans="1:25" x14ac:dyDescent="0.3">
      <c r="A292" s="7">
        <v>291</v>
      </c>
      <c r="B292" s="8">
        <v>5351</v>
      </c>
      <c r="C292" s="9">
        <v>47.636924999999998</v>
      </c>
      <c r="D292" s="9">
        <v>-122.92715</v>
      </c>
      <c r="E292" s="10" t="s">
        <v>42</v>
      </c>
      <c r="F292" s="10" t="s">
        <v>4</v>
      </c>
      <c r="G292" s="10" t="s">
        <v>23</v>
      </c>
      <c r="H292" s="10">
        <v>-8</v>
      </c>
      <c r="I292" s="11">
        <v>177.66666670000001</v>
      </c>
      <c r="J292" s="11">
        <v>3.3196970000000001</v>
      </c>
      <c r="K292" s="11" t="str">
        <f>IF(Table1[[#This Row],[Solar 
Resource]]&lt;3,"Low", IF(Table1[[#This Row],[Solar 
Resource]]&lt;4, "Moderate","High"))</f>
        <v>Moderate</v>
      </c>
      <c r="L292" s="11">
        <v>1.0210250000000001</v>
      </c>
      <c r="M292" s="11">
        <v>6.5516037230000004</v>
      </c>
      <c r="N292" s="11">
        <v>210.23804039999999</v>
      </c>
      <c r="O292" s="11">
        <v>281.7189601</v>
      </c>
      <c r="P292" s="11">
        <f>Table1[[#This Row],[Installed Capacity 
(AC -MW)]]/Table1[[#This Row],[Installed Capacity 
(DC -MW)]]</f>
        <v>0.74626869389753925</v>
      </c>
      <c r="Q292" s="12">
        <v>0.18901760000000001</v>
      </c>
      <c r="R292" s="12">
        <v>0.14105791000000001</v>
      </c>
      <c r="S292" s="13">
        <v>52.134020579999998</v>
      </c>
      <c r="T292" s="11">
        <v>3.8955844119999998</v>
      </c>
      <c r="U292" s="11">
        <v>233.38327910000001</v>
      </c>
      <c r="V292" s="13">
        <v>757057.31660000002</v>
      </c>
      <c r="W292" s="13">
        <v>796744.9</v>
      </c>
      <c r="X292" s="13">
        <v>38.927943999999997</v>
      </c>
      <c r="Y292" s="14">
        <f>+Table1[[#This Row],[Generation Cost 
LCOE (USD/MWh)]]+Table1[[#This Row],[Transmission Cost
LCOT (USD/MWh)]]</f>
        <v>91.061964579999994</v>
      </c>
    </row>
    <row r="293" spans="1:25" x14ac:dyDescent="0.3">
      <c r="A293" s="7">
        <v>292</v>
      </c>
      <c r="B293" s="8">
        <v>5352</v>
      </c>
      <c r="C293" s="9">
        <v>47.664230000000003</v>
      </c>
      <c r="D293" s="9">
        <v>-122.77101999999999</v>
      </c>
      <c r="E293" s="10" t="s">
        <v>42</v>
      </c>
      <c r="F293" s="10" t="s">
        <v>4</v>
      </c>
      <c r="G293" s="10" t="s">
        <v>23</v>
      </c>
      <c r="H293" s="10">
        <v>-8</v>
      </c>
      <c r="I293" s="11">
        <v>82.928571430000005</v>
      </c>
      <c r="J293" s="11">
        <v>3.3189560999999999</v>
      </c>
      <c r="K293" s="11" t="str">
        <f>IF(Table1[[#This Row],[Solar 
Resource]]&lt;3,"Low", IF(Table1[[#This Row],[Solar 
Resource]]&lt;4, "Moderate","High"))</f>
        <v>Moderate</v>
      </c>
      <c r="L293" s="11">
        <v>1.021118</v>
      </c>
      <c r="M293" s="11">
        <v>19.305377050000001</v>
      </c>
      <c r="N293" s="11">
        <v>619.50093609999999</v>
      </c>
      <c r="O293" s="11">
        <v>830.13121320000005</v>
      </c>
      <c r="P293" s="11">
        <f>Table1[[#This Row],[Installed Capacity 
(AC -MW)]]/Table1[[#This Row],[Installed Capacity 
(DC -MW)]]</f>
        <v>0.74626869373088645</v>
      </c>
      <c r="Q293" s="12">
        <v>0.19009566</v>
      </c>
      <c r="R293" s="12">
        <v>0.14186241999999999</v>
      </c>
      <c r="S293" s="13">
        <v>51.842109149999999</v>
      </c>
      <c r="T293" s="11">
        <v>13.71682466</v>
      </c>
      <c r="U293" s="11">
        <v>253.35158430000001</v>
      </c>
      <c r="V293" s="13">
        <v>882012.81880000001</v>
      </c>
      <c r="W293" s="13">
        <v>930423.8</v>
      </c>
      <c r="X293" s="13">
        <v>45.201515000000001</v>
      </c>
      <c r="Y293" s="14">
        <f>+Table1[[#This Row],[Generation Cost 
LCOE (USD/MWh)]]+Table1[[#This Row],[Transmission Cost
LCOT (USD/MWh)]]</f>
        <v>97.043624149999999</v>
      </c>
    </row>
    <row r="294" spans="1:25" x14ac:dyDescent="0.3">
      <c r="A294" s="7">
        <v>293</v>
      </c>
      <c r="B294" s="8">
        <v>5353</v>
      </c>
      <c r="C294" s="9">
        <v>47.691383000000002</v>
      </c>
      <c r="D294" s="9">
        <v>-122.614746</v>
      </c>
      <c r="E294" s="10" t="s">
        <v>42</v>
      </c>
      <c r="F294" s="10" t="s">
        <v>4</v>
      </c>
      <c r="G294" s="10" t="s">
        <v>23</v>
      </c>
      <c r="H294" s="10">
        <v>-8</v>
      </c>
      <c r="I294" s="11">
        <v>67.222222220000006</v>
      </c>
      <c r="J294" s="11">
        <v>3.2750762</v>
      </c>
      <c r="K294" s="11" t="str">
        <f>IF(Table1[[#This Row],[Solar 
Resource]]&lt;3,"Low", IF(Table1[[#This Row],[Solar 
Resource]]&lt;4, "Moderate","High"))</f>
        <v>Moderate</v>
      </c>
      <c r="L294" s="11">
        <v>1.0211843</v>
      </c>
      <c r="M294" s="11">
        <v>13.19190304</v>
      </c>
      <c r="N294" s="11">
        <v>423.32228270000002</v>
      </c>
      <c r="O294" s="11">
        <v>567.25183070000003</v>
      </c>
      <c r="P294" s="11">
        <f>Table1[[#This Row],[Installed Capacity 
(AC -MW)]]/Table1[[#This Row],[Installed Capacity 
(DC -MW)]]</f>
        <v>0.74626869370806947</v>
      </c>
      <c r="Q294" s="12">
        <v>0.18711660999999999</v>
      </c>
      <c r="R294" s="12">
        <v>0.13963924</v>
      </c>
      <c r="S294" s="13">
        <v>52.670175219999997</v>
      </c>
      <c r="T294" s="11">
        <v>16.193149340000002</v>
      </c>
      <c r="U294" s="11">
        <v>272.71017519999998</v>
      </c>
      <c r="V294" s="13">
        <v>948930.1727</v>
      </c>
      <c r="W294" s="13">
        <v>978026.8</v>
      </c>
      <c r="X294" s="13">
        <v>48.270614999999999</v>
      </c>
      <c r="Y294" s="14">
        <f>+Table1[[#This Row],[Generation Cost 
LCOE (USD/MWh)]]+Table1[[#This Row],[Transmission Cost
LCOT (USD/MWh)]]</f>
        <v>100.94079022</v>
      </c>
    </row>
    <row r="295" spans="1:25" x14ac:dyDescent="0.3">
      <c r="A295" s="7">
        <v>294</v>
      </c>
      <c r="B295" s="8">
        <v>5355</v>
      </c>
      <c r="C295" s="9">
        <v>47.745224</v>
      </c>
      <c r="D295" s="9">
        <v>-122.30175</v>
      </c>
      <c r="E295" s="10" t="s">
        <v>42</v>
      </c>
      <c r="F295" s="10" t="s">
        <v>4</v>
      </c>
      <c r="G295" s="10" t="s">
        <v>22</v>
      </c>
      <c r="H295" s="10">
        <v>-8</v>
      </c>
      <c r="I295" s="11">
        <v>85.352941180000002</v>
      </c>
      <c r="J295" s="11">
        <v>3.2587804999999999</v>
      </c>
      <c r="K295" s="11" t="str">
        <f>IF(Table1[[#This Row],[Solar 
Resource]]&lt;3,"Low", IF(Table1[[#This Row],[Solar 
Resource]]&lt;4, "Moderate","High"))</f>
        <v>Moderate</v>
      </c>
      <c r="L295" s="11">
        <v>1.0212456999999999</v>
      </c>
      <c r="M295" s="11">
        <v>3.8336488219999998</v>
      </c>
      <c r="N295" s="11">
        <v>123.0200803</v>
      </c>
      <c r="O295" s="11">
        <v>164.84689929999999</v>
      </c>
      <c r="P295" s="11">
        <f>Table1[[#This Row],[Installed Capacity 
(AC -MW)]]/Table1[[#This Row],[Installed Capacity 
(DC -MW)]]</f>
        <v>0.74626869429991161</v>
      </c>
      <c r="Q295" s="12">
        <v>0.18508816</v>
      </c>
      <c r="R295" s="12">
        <v>0.13812550000000001</v>
      </c>
      <c r="S295" s="13">
        <v>53.249934670000002</v>
      </c>
      <c r="T295" s="11">
        <v>2.5700714269999998</v>
      </c>
      <c r="U295" s="11">
        <v>24.777779209999998</v>
      </c>
      <c r="V295" s="13">
        <v>97427.689029999994</v>
      </c>
      <c r="W295" s="13">
        <v>140362.70000000001</v>
      </c>
      <c r="X295" s="13">
        <v>7.0035379999999998</v>
      </c>
      <c r="Y295" s="14">
        <f>+Table1[[#This Row],[Generation Cost 
LCOE (USD/MWh)]]+Table1[[#This Row],[Transmission Cost
LCOT (USD/MWh)]]</f>
        <v>60.253472670000001</v>
      </c>
    </row>
    <row r="296" spans="1:25" x14ac:dyDescent="0.3">
      <c r="A296" s="7">
        <v>295</v>
      </c>
      <c r="B296" s="8">
        <v>5356</v>
      </c>
      <c r="C296" s="9">
        <v>47.771909999999998</v>
      </c>
      <c r="D296" s="9">
        <v>-122.14503499999999</v>
      </c>
      <c r="E296" s="10" t="s">
        <v>42</v>
      </c>
      <c r="F296" s="10" t="s">
        <v>4</v>
      </c>
      <c r="G296" s="10" t="s">
        <v>22</v>
      </c>
      <c r="H296" s="10">
        <v>-8</v>
      </c>
      <c r="I296" s="11">
        <v>94</v>
      </c>
      <c r="J296" s="11">
        <v>3.1147816000000002</v>
      </c>
      <c r="K296" s="11" t="str">
        <f>IF(Table1[[#This Row],[Solar 
Resource]]&lt;3,"Low", IF(Table1[[#This Row],[Solar 
Resource]]&lt;4, "Moderate","High"))</f>
        <v>Moderate</v>
      </c>
      <c r="L296" s="11">
        <v>1.0211536000000001</v>
      </c>
      <c r="M296" s="11">
        <v>10.94415205</v>
      </c>
      <c r="N296" s="11">
        <v>351.19295640000001</v>
      </c>
      <c r="O296" s="11">
        <v>470.59853820000001</v>
      </c>
      <c r="P296" s="11">
        <f>Table1[[#This Row],[Installed Capacity 
(AC -MW)]]/Table1[[#This Row],[Installed Capacity 
(DC -MW)]]</f>
        <v>0.74626869378575555</v>
      </c>
      <c r="Q296" s="12">
        <v>0.17546708999999999</v>
      </c>
      <c r="R296" s="12">
        <v>0.1309456</v>
      </c>
      <c r="S296" s="13">
        <v>56.165687290000001</v>
      </c>
      <c r="T296" s="11">
        <v>2.3373506470000001</v>
      </c>
      <c r="U296" s="11">
        <v>50.412980490000002</v>
      </c>
      <c r="V296" s="13">
        <v>199373.08420000001</v>
      </c>
      <c r="W296" s="13">
        <v>239398.28</v>
      </c>
      <c r="X296" s="13">
        <v>12.5999775</v>
      </c>
      <c r="Y296" s="14">
        <f>+Table1[[#This Row],[Generation Cost 
LCOE (USD/MWh)]]+Table1[[#This Row],[Transmission Cost
LCOT (USD/MWh)]]</f>
        <v>68.765664790000002</v>
      </c>
    </row>
    <row r="297" spans="1:25" x14ac:dyDescent="0.3">
      <c r="A297" s="7">
        <v>296</v>
      </c>
      <c r="B297" s="8">
        <v>5357</v>
      </c>
      <c r="C297" s="9">
        <v>47.798447000000003</v>
      </c>
      <c r="D297" s="9">
        <v>-121.988174</v>
      </c>
      <c r="E297" s="10" t="s">
        <v>42</v>
      </c>
      <c r="F297" s="10" t="s">
        <v>4</v>
      </c>
      <c r="G297" s="10" t="s">
        <v>35</v>
      </c>
      <c r="H297" s="10">
        <v>-8</v>
      </c>
      <c r="I297" s="11">
        <v>107.85</v>
      </c>
      <c r="J297" s="11">
        <v>3.0735060000000001</v>
      </c>
      <c r="K297" s="11" t="str">
        <f>IF(Table1[[#This Row],[Solar 
Resource]]&lt;3,"Low", IF(Table1[[#This Row],[Solar 
Resource]]&lt;4, "Moderate","High"))</f>
        <v>Moderate</v>
      </c>
      <c r="L297" s="11">
        <v>1.0209599</v>
      </c>
      <c r="M297" s="11">
        <v>21.308102049999999</v>
      </c>
      <c r="N297" s="11">
        <v>683.76748780000003</v>
      </c>
      <c r="O297" s="11">
        <v>916.24838820000002</v>
      </c>
      <c r="P297" s="11">
        <f>Table1[[#This Row],[Installed Capacity 
(AC -MW)]]/Table1[[#This Row],[Installed Capacity 
(DC -MW)]]</f>
        <v>0.74626869373629534</v>
      </c>
      <c r="Q297" s="12">
        <v>0.17193306999999999</v>
      </c>
      <c r="R297" s="12">
        <v>0.12830828</v>
      </c>
      <c r="S297" s="13">
        <v>57.311537600000001</v>
      </c>
      <c r="T297" s="11">
        <v>0.45</v>
      </c>
      <c r="U297" s="11">
        <v>55.478564900000002</v>
      </c>
      <c r="V297" s="13">
        <v>224705.32180000001</v>
      </c>
      <c r="W297" s="13">
        <v>262638.44</v>
      </c>
      <c r="X297" s="13">
        <v>14.107279999999999</v>
      </c>
      <c r="Y297" s="14">
        <f>+Table1[[#This Row],[Generation Cost 
LCOE (USD/MWh)]]+Table1[[#This Row],[Transmission Cost
LCOT (USD/MWh)]]</f>
        <v>71.418817599999997</v>
      </c>
    </row>
    <row r="298" spans="1:25" x14ac:dyDescent="0.3">
      <c r="A298" s="7">
        <v>297</v>
      </c>
      <c r="B298" s="8">
        <v>5358</v>
      </c>
      <c r="C298" s="9">
        <v>47.824824999999997</v>
      </c>
      <c r="D298" s="9">
        <v>-121.831154</v>
      </c>
      <c r="E298" s="10" t="s">
        <v>42</v>
      </c>
      <c r="F298" s="10" t="s">
        <v>4</v>
      </c>
      <c r="G298" s="10" t="s">
        <v>35</v>
      </c>
      <c r="H298" s="10">
        <v>-8</v>
      </c>
      <c r="I298" s="11">
        <v>252</v>
      </c>
      <c r="J298" s="11">
        <v>3.0133238000000002</v>
      </c>
      <c r="K298" s="11" t="str">
        <f>IF(Table1[[#This Row],[Solar 
Resource]]&lt;3,"Low", IF(Table1[[#This Row],[Solar 
Resource]]&lt;4, "Moderate","High"))</f>
        <v>Moderate</v>
      </c>
      <c r="L298" s="11">
        <v>1.0203507999999999</v>
      </c>
      <c r="M298" s="11">
        <v>27.731318989999998</v>
      </c>
      <c r="N298" s="11">
        <v>889.88565370000003</v>
      </c>
      <c r="O298" s="11">
        <v>1192.446717</v>
      </c>
      <c r="P298" s="11">
        <f>Table1[[#This Row],[Installed Capacity 
(AC -MW)]]/Table1[[#This Row],[Installed Capacity 
(DC -MW)]]</f>
        <v>0.74626869361408965</v>
      </c>
      <c r="Q298" s="12">
        <v>0.16835263</v>
      </c>
      <c r="R298" s="12">
        <v>0.12563630000000001</v>
      </c>
      <c r="S298" s="13">
        <v>58.502779779999997</v>
      </c>
      <c r="T298" s="11">
        <v>4.6155844119999996</v>
      </c>
      <c r="U298" s="11">
        <v>67.571642819999994</v>
      </c>
      <c r="V298" s="13">
        <v>290313.3187</v>
      </c>
      <c r="W298" s="13">
        <v>369739.2</v>
      </c>
      <c r="X298" s="13">
        <v>20.282430000000002</v>
      </c>
      <c r="Y298" s="14">
        <f>+Table1[[#This Row],[Generation Cost 
LCOE (USD/MWh)]]+Table1[[#This Row],[Transmission Cost
LCOT (USD/MWh)]]</f>
        <v>78.785209780000002</v>
      </c>
    </row>
    <row r="299" spans="1:25" x14ac:dyDescent="0.3">
      <c r="A299" s="7">
        <v>298</v>
      </c>
      <c r="B299" s="8">
        <v>5359</v>
      </c>
      <c r="C299" s="9">
        <v>47.851050000000001</v>
      </c>
      <c r="D299" s="9">
        <v>-121.673996</v>
      </c>
      <c r="E299" s="10" t="s">
        <v>42</v>
      </c>
      <c r="F299" s="10" t="s">
        <v>4</v>
      </c>
      <c r="G299" s="10" t="s">
        <v>35</v>
      </c>
      <c r="H299" s="10">
        <v>-8</v>
      </c>
      <c r="I299" s="11">
        <v>304.2857143</v>
      </c>
      <c r="J299" s="11">
        <v>2.9274247</v>
      </c>
      <c r="K299" s="11" t="str">
        <f>IF(Table1[[#This Row],[Solar 
Resource]]&lt;3,"Low", IF(Table1[[#This Row],[Solar 
Resource]]&lt;4, "Moderate","High"))</f>
        <v>Low</v>
      </c>
      <c r="L299" s="11">
        <v>1.0196978999999999</v>
      </c>
      <c r="M299" s="11">
        <v>13.46851725</v>
      </c>
      <c r="N299" s="11">
        <v>432.19870930000002</v>
      </c>
      <c r="O299" s="11">
        <v>579.14624170000002</v>
      </c>
      <c r="P299" s="11">
        <f>Table1[[#This Row],[Installed Capacity 
(AC -MW)]]/Table1[[#This Row],[Installed Capacity 
(DC -MW)]]</f>
        <v>0.74626869377817806</v>
      </c>
      <c r="Q299" s="12">
        <v>0.16318145000000001</v>
      </c>
      <c r="R299" s="12">
        <v>0.12177721399999999</v>
      </c>
      <c r="S299" s="13">
        <v>60.326161069999998</v>
      </c>
      <c r="T299" s="11">
        <v>1.6700714270000001</v>
      </c>
      <c r="U299" s="11">
        <v>102.43865580000001</v>
      </c>
      <c r="V299" s="13">
        <v>380717.73609999998</v>
      </c>
      <c r="W299" s="13">
        <v>410672.97</v>
      </c>
      <c r="X299" s="13">
        <v>23.241797999999999</v>
      </c>
      <c r="Y299" s="14">
        <f>+Table1[[#This Row],[Generation Cost 
LCOE (USD/MWh)]]+Table1[[#This Row],[Transmission Cost
LCOT (USD/MWh)]]</f>
        <v>83.567959070000001</v>
      </c>
    </row>
    <row r="300" spans="1:25" x14ac:dyDescent="0.3">
      <c r="A300" s="7">
        <v>299</v>
      </c>
      <c r="B300" s="8">
        <v>5369</v>
      </c>
      <c r="C300" s="9">
        <v>48.104725000000002</v>
      </c>
      <c r="D300" s="9">
        <v>-120.09457399999999</v>
      </c>
      <c r="E300" s="10" t="s">
        <v>42</v>
      </c>
      <c r="F300" s="10" t="s">
        <v>4</v>
      </c>
      <c r="G300" s="10" t="s">
        <v>29</v>
      </c>
      <c r="H300" s="10">
        <v>-8</v>
      </c>
      <c r="I300" s="11">
        <v>757.61538459999997</v>
      </c>
      <c r="J300" s="11">
        <v>3.8718433000000001</v>
      </c>
      <c r="K300" s="11" t="str">
        <f>IF(Table1[[#This Row],[Solar 
Resource]]&lt;3,"Low", IF(Table1[[#This Row],[Solar 
Resource]]&lt;4, "Moderate","High"))</f>
        <v>Moderate</v>
      </c>
      <c r="L300" s="11">
        <v>1.0047029999999999</v>
      </c>
      <c r="M300" s="11">
        <v>2.7484918120000001</v>
      </c>
      <c r="N300" s="11">
        <v>88.197875969999998</v>
      </c>
      <c r="O300" s="11">
        <v>118.1851479</v>
      </c>
      <c r="P300" s="11">
        <f>Table1[[#This Row],[Installed Capacity 
(AC -MW)]]/Table1[[#This Row],[Installed Capacity 
(DC -MW)]]</f>
        <v>0.74626869397013296</v>
      </c>
      <c r="Q300" s="12">
        <v>0.23304722</v>
      </c>
      <c r="R300" s="12">
        <v>0.17391585000000001</v>
      </c>
      <c r="S300" s="13">
        <v>41.749303910000002</v>
      </c>
      <c r="T300" s="11">
        <v>14.372409080000001</v>
      </c>
      <c r="U300" s="11">
        <v>195.53411679999999</v>
      </c>
      <c r="V300" s="13">
        <v>577044.15890000004</v>
      </c>
      <c r="W300" s="13">
        <v>714389.6</v>
      </c>
      <c r="X300" s="13">
        <v>28.309723000000002</v>
      </c>
      <c r="Y300" s="14">
        <f>+Table1[[#This Row],[Generation Cost 
LCOE (USD/MWh)]]+Table1[[#This Row],[Transmission Cost
LCOT (USD/MWh)]]</f>
        <v>70.05902691</v>
      </c>
    </row>
    <row r="301" spans="1:25" x14ac:dyDescent="0.3">
      <c r="A301" s="7">
        <v>300</v>
      </c>
      <c r="B301" s="8">
        <v>5370</v>
      </c>
      <c r="C301" s="9">
        <v>48.12923</v>
      </c>
      <c r="D301" s="9">
        <v>-119.93585</v>
      </c>
      <c r="E301" s="10" t="s">
        <v>42</v>
      </c>
      <c r="F301" s="10" t="s">
        <v>4</v>
      </c>
      <c r="G301" s="10" t="s">
        <v>29</v>
      </c>
      <c r="H301" s="10">
        <v>-8</v>
      </c>
      <c r="I301" s="11">
        <v>733.66666669999995</v>
      </c>
      <c r="J301" s="11">
        <v>3.9407093999999998</v>
      </c>
      <c r="K301" s="11" t="str">
        <f>IF(Table1[[#This Row],[Solar 
Resource]]&lt;3,"Low", IF(Table1[[#This Row],[Solar 
Resource]]&lt;4, "Moderate","High"))</f>
        <v>Moderate</v>
      </c>
      <c r="L301" s="11">
        <v>1.0025729999999999</v>
      </c>
      <c r="M301" s="11">
        <v>11.7798304</v>
      </c>
      <c r="N301" s="11">
        <v>378.00945669999999</v>
      </c>
      <c r="O301" s="11">
        <v>506.53270700000002</v>
      </c>
      <c r="P301" s="11">
        <f>Table1[[#This Row],[Installed Capacity 
(AC -MW)]]/Table1[[#This Row],[Installed Capacity 
(DC -MW)]]</f>
        <v>0.74626860511891879</v>
      </c>
      <c r="Q301" s="12">
        <v>0.23803884</v>
      </c>
      <c r="R301" s="12">
        <v>0.17764091000000001</v>
      </c>
      <c r="S301" s="13">
        <v>40.805473859999999</v>
      </c>
      <c r="T301" s="11">
        <v>7.1819090890000004</v>
      </c>
      <c r="U301" s="11">
        <v>191.23485700000001</v>
      </c>
      <c r="V301" s="13">
        <v>560226.47039999999</v>
      </c>
      <c r="W301" s="13">
        <v>653322.19999999995</v>
      </c>
      <c r="X301" s="13">
        <v>25.346851000000001</v>
      </c>
      <c r="Y301" s="14">
        <f>+Table1[[#This Row],[Generation Cost 
LCOE (USD/MWh)]]+Table1[[#This Row],[Transmission Cost
LCOT (USD/MWh)]]</f>
        <v>66.152324859999993</v>
      </c>
    </row>
    <row r="302" spans="1:25" x14ac:dyDescent="0.3">
      <c r="A302" s="7">
        <v>301</v>
      </c>
      <c r="B302" s="8">
        <v>5371</v>
      </c>
      <c r="C302" s="9">
        <v>48.153576000000001</v>
      </c>
      <c r="D302" s="9">
        <v>-119.77701</v>
      </c>
      <c r="E302" s="10" t="s">
        <v>42</v>
      </c>
      <c r="F302" s="10" t="s">
        <v>4</v>
      </c>
      <c r="G302" s="10" t="s">
        <v>29</v>
      </c>
      <c r="H302" s="10">
        <v>-8</v>
      </c>
      <c r="I302" s="11">
        <v>567.63157890000002</v>
      </c>
      <c r="J302" s="11">
        <v>3.9230209999999999</v>
      </c>
      <c r="K302" s="11" t="str">
        <f>IF(Table1[[#This Row],[Solar 
Resource]]&lt;3,"Low", IF(Table1[[#This Row],[Solar 
Resource]]&lt;4, "Moderate","High"))</f>
        <v>Moderate</v>
      </c>
      <c r="L302" s="11">
        <v>1.0004280999999999</v>
      </c>
      <c r="M302" s="11">
        <v>21.508660110000001</v>
      </c>
      <c r="N302" s="11">
        <v>690.20322429999999</v>
      </c>
      <c r="O302" s="11">
        <v>924.87238460000003</v>
      </c>
      <c r="P302" s="11">
        <f>Table1[[#This Row],[Installed Capacity 
(AC -MW)]]/Table1[[#This Row],[Installed Capacity 
(DC -MW)]]</f>
        <v>0.74626860504490833</v>
      </c>
      <c r="Q302" s="12">
        <v>0.23605385000000001</v>
      </c>
      <c r="R302" s="12">
        <v>0.1761596</v>
      </c>
      <c r="S302" s="13">
        <v>41.07919425</v>
      </c>
      <c r="T302" s="11">
        <v>2.4800714269999999</v>
      </c>
      <c r="U302" s="11">
        <v>186.70397389999999</v>
      </c>
      <c r="V302" s="13">
        <v>543984.37280000001</v>
      </c>
      <c r="W302" s="13">
        <v>599223.19999999995</v>
      </c>
      <c r="X302" s="13">
        <v>23.443472</v>
      </c>
      <c r="Y302" s="14">
        <f>+Table1[[#This Row],[Generation Cost 
LCOE (USD/MWh)]]+Table1[[#This Row],[Transmission Cost
LCOT (USD/MWh)]]</f>
        <v>64.52266625</v>
      </c>
    </row>
    <row r="303" spans="1:25" x14ac:dyDescent="0.3">
      <c r="A303" s="7">
        <v>302</v>
      </c>
      <c r="B303" s="8">
        <v>5372</v>
      </c>
      <c r="C303" s="9">
        <v>48.177765000000001</v>
      </c>
      <c r="D303" s="9">
        <v>-119.61803</v>
      </c>
      <c r="E303" s="10" t="s">
        <v>42</v>
      </c>
      <c r="F303" s="10" t="s">
        <v>4</v>
      </c>
      <c r="G303" s="10" t="s">
        <v>29</v>
      </c>
      <c r="H303" s="10">
        <v>-8</v>
      </c>
      <c r="I303" s="11">
        <v>602.31578950000005</v>
      </c>
      <c r="J303" s="11">
        <v>3.929907</v>
      </c>
      <c r="K303" s="11" t="str">
        <f>IF(Table1[[#This Row],[Solar 
Resource]]&lt;3,"Low", IF(Table1[[#This Row],[Solar 
Resource]]&lt;4, "Moderate","High"))</f>
        <v>Moderate</v>
      </c>
      <c r="L303" s="11">
        <v>0.99824729999999995</v>
      </c>
      <c r="M303" s="11">
        <v>44.608317630000002</v>
      </c>
      <c r="N303" s="11">
        <v>1431.46084</v>
      </c>
      <c r="O303" s="11">
        <v>1918.1576580000001</v>
      </c>
      <c r="P303" s="11">
        <f>Table1[[#This Row],[Installed Capacity 
(AC -MW)]]/Table1[[#This Row],[Installed Capacity 
(DC -MW)]]</f>
        <v>0.74626860520554761</v>
      </c>
      <c r="Q303" s="12">
        <v>0.23814448999999999</v>
      </c>
      <c r="R303" s="12">
        <v>0.17771976</v>
      </c>
      <c r="S303" s="13">
        <v>40.648615370000002</v>
      </c>
      <c r="T303" s="11">
        <v>2.3091168820000001</v>
      </c>
      <c r="U303" s="11">
        <v>185.65266220000001</v>
      </c>
      <c r="V303" s="13">
        <v>524066.47230000002</v>
      </c>
      <c r="W303" s="13">
        <v>579264.06000000006</v>
      </c>
      <c r="X303" s="13">
        <v>22.463654999999999</v>
      </c>
      <c r="Y303" s="14">
        <f>+Table1[[#This Row],[Generation Cost 
LCOE (USD/MWh)]]+Table1[[#This Row],[Transmission Cost
LCOT (USD/MWh)]]</f>
        <v>63.112270370000005</v>
      </c>
    </row>
    <row r="304" spans="1:25" x14ac:dyDescent="0.3">
      <c r="A304" s="7">
        <v>303</v>
      </c>
      <c r="B304" s="8">
        <v>5373</v>
      </c>
      <c r="C304" s="9">
        <v>48.201796999999999</v>
      </c>
      <c r="D304" s="9">
        <v>-119.45891</v>
      </c>
      <c r="E304" s="10" t="s">
        <v>42</v>
      </c>
      <c r="F304" s="10" t="s">
        <v>4</v>
      </c>
      <c r="G304" s="10" t="s">
        <v>29</v>
      </c>
      <c r="H304" s="10">
        <v>-8</v>
      </c>
      <c r="I304" s="11">
        <v>764.94444439999995</v>
      </c>
      <c r="J304" s="11">
        <v>3.9093955</v>
      </c>
      <c r="K304" s="11" t="str">
        <f>IF(Table1[[#This Row],[Solar 
Resource]]&lt;3,"Low", IF(Table1[[#This Row],[Solar 
Resource]]&lt;4, "Moderate","High"))</f>
        <v>Moderate</v>
      </c>
      <c r="L304" s="11">
        <v>0.99630390000000002</v>
      </c>
      <c r="M304" s="11">
        <v>57.233065430000003</v>
      </c>
      <c r="N304" s="11">
        <v>1836.583097</v>
      </c>
      <c r="O304" s="11">
        <v>2461.0218129999998</v>
      </c>
      <c r="P304" s="11">
        <f>Table1[[#This Row],[Installed Capacity 
(AC -MW)]]/Table1[[#This Row],[Installed Capacity 
(DC -MW)]]</f>
        <v>0.7462685163124152</v>
      </c>
      <c r="Q304" s="12">
        <v>0.23773174999999999</v>
      </c>
      <c r="R304" s="12">
        <v>0.17741175000000001</v>
      </c>
      <c r="S304" s="13">
        <v>40.656732179999999</v>
      </c>
      <c r="T304" s="11">
        <v>4.6555129859999997</v>
      </c>
      <c r="U304" s="11">
        <v>156.04796089999999</v>
      </c>
      <c r="V304" s="13">
        <v>438322.56630000001</v>
      </c>
      <c r="W304" s="13">
        <v>506244.3</v>
      </c>
      <c r="X304" s="13">
        <v>19.666060000000002</v>
      </c>
      <c r="Y304" s="14">
        <f>+Table1[[#This Row],[Generation Cost 
LCOE (USD/MWh)]]+Table1[[#This Row],[Transmission Cost
LCOT (USD/MWh)]]</f>
        <v>60.32279218</v>
      </c>
    </row>
    <row r="305" spans="1:25" x14ac:dyDescent="0.3">
      <c r="A305" s="7">
        <v>304</v>
      </c>
      <c r="B305" s="8">
        <v>5374</v>
      </c>
      <c r="C305" s="9">
        <v>48.225670000000001</v>
      </c>
      <c r="D305" s="9">
        <v>-119.299644</v>
      </c>
      <c r="E305" s="10" t="s">
        <v>42</v>
      </c>
      <c r="F305" s="10" t="s">
        <v>4</v>
      </c>
      <c r="G305" s="10" t="s">
        <v>29</v>
      </c>
      <c r="H305" s="10">
        <v>-8</v>
      </c>
      <c r="I305" s="11">
        <v>710.33333330000005</v>
      </c>
      <c r="J305" s="11">
        <v>3.8456073000000002</v>
      </c>
      <c r="K305" s="11" t="str">
        <f>IF(Table1[[#This Row],[Solar 
Resource]]&lt;3,"Low", IF(Table1[[#This Row],[Solar 
Resource]]&lt;4, "Moderate","High"))</f>
        <v>Moderate</v>
      </c>
      <c r="L305" s="11">
        <v>0.99428079999999996</v>
      </c>
      <c r="M305" s="11">
        <v>29.261412159999999</v>
      </c>
      <c r="N305" s="11">
        <v>938.98554909999996</v>
      </c>
      <c r="O305" s="11">
        <v>1258.2407229999999</v>
      </c>
      <c r="P305" s="11">
        <f>Table1[[#This Row],[Installed Capacity 
(AC -MW)]]/Table1[[#This Row],[Installed Capacity 
(DC -MW)]]</f>
        <v>0.74626860499411773</v>
      </c>
      <c r="Q305" s="12">
        <v>0.23194031000000001</v>
      </c>
      <c r="R305" s="12">
        <v>0.17308982000000001</v>
      </c>
      <c r="S305" s="13">
        <v>41.605275399999996</v>
      </c>
      <c r="T305" s="11">
        <v>11.66116882</v>
      </c>
      <c r="U305" s="11">
        <v>145.1877466</v>
      </c>
      <c r="V305" s="13">
        <v>407296.6703</v>
      </c>
      <c r="W305" s="13">
        <v>483094.53</v>
      </c>
      <c r="X305" s="13">
        <v>19.23536</v>
      </c>
      <c r="Y305" s="14">
        <f>+Table1[[#This Row],[Generation Cost 
LCOE (USD/MWh)]]+Table1[[#This Row],[Transmission Cost
LCOT (USD/MWh)]]</f>
        <v>60.840635399999996</v>
      </c>
    </row>
    <row r="306" spans="1:25" x14ac:dyDescent="0.3">
      <c r="A306" s="7">
        <v>305</v>
      </c>
      <c r="B306" s="8">
        <v>5375</v>
      </c>
      <c r="C306" s="9">
        <v>48.249386000000001</v>
      </c>
      <c r="D306" s="9">
        <v>-119.14026</v>
      </c>
      <c r="E306" s="10" t="s">
        <v>42</v>
      </c>
      <c r="F306" s="10" t="s">
        <v>4</v>
      </c>
      <c r="G306" s="10" t="s">
        <v>29</v>
      </c>
      <c r="H306" s="10">
        <v>-8</v>
      </c>
      <c r="I306" s="11">
        <v>934.2</v>
      </c>
      <c r="J306" s="11">
        <v>3.8073098999999999</v>
      </c>
      <c r="K306" s="11" t="str">
        <f>IF(Table1[[#This Row],[Solar 
Resource]]&lt;3,"Low", IF(Table1[[#This Row],[Solar 
Resource]]&lt;4, "Moderate","High"))</f>
        <v>Moderate</v>
      </c>
      <c r="L306" s="11">
        <v>0.99234860000000003</v>
      </c>
      <c r="M306" s="11">
        <v>29.49436626</v>
      </c>
      <c r="N306" s="11">
        <v>946.46094140000002</v>
      </c>
      <c r="O306" s="11">
        <v>1268.2577490000001</v>
      </c>
      <c r="P306" s="11">
        <f>Table1[[#This Row],[Installed Capacity 
(AC -MW)]]/Table1[[#This Row],[Installed Capacity 
(DC -MW)]]</f>
        <v>0.74626860521551597</v>
      </c>
      <c r="Q306" s="12">
        <v>0.23067133000000001</v>
      </c>
      <c r="R306" s="12">
        <v>0.17214277</v>
      </c>
      <c r="S306" s="13">
        <v>41.770168169999998</v>
      </c>
      <c r="T306" s="11">
        <v>21.4285909</v>
      </c>
      <c r="U306" s="11">
        <v>145.1877466</v>
      </c>
      <c r="V306" s="13">
        <v>407296.6703</v>
      </c>
      <c r="W306" s="13">
        <v>548118.56000000006</v>
      </c>
      <c r="X306" s="13">
        <v>21.944479000000001</v>
      </c>
      <c r="Y306" s="14">
        <f>+Table1[[#This Row],[Generation Cost 
LCOE (USD/MWh)]]+Table1[[#This Row],[Transmission Cost
LCOT (USD/MWh)]]</f>
        <v>63.714647169999999</v>
      </c>
    </row>
    <row r="307" spans="1:25" x14ac:dyDescent="0.3">
      <c r="A307" s="7">
        <v>306</v>
      </c>
      <c r="B307" s="8">
        <v>5376</v>
      </c>
      <c r="C307" s="9">
        <v>48.272939999999998</v>
      </c>
      <c r="D307" s="9">
        <v>-118.98072999999999</v>
      </c>
      <c r="E307" s="10" t="s">
        <v>42</v>
      </c>
      <c r="F307" s="10" t="s">
        <v>4</v>
      </c>
      <c r="G307" s="10" t="s">
        <v>29</v>
      </c>
      <c r="H307" s="10">
        <v>-8</v>
      </c>
      <c r="I307" s="11">
        <v>850.52631580000002</v>
      </c>
      <c r="J307" s="11">
        <v>3.7380477999999999</v>
      </c>
      <c r="K307" s="11" t="str">
        <f>IF(Table1[[#This Row],[Solar 
Resource]]&lt;3,"Low", IF(Table1[[#This Row],[Solar 
Resource]]&lt;4, "Moderate","High"))</f>
        <v>Moderate</v>
      </c>
      <c r="L307" s="11">
        <v>0.99032900000000001</v>
      </c>
      <c r="M307" s="11">
        <v>16.49289529</v>
      </c>
      <c r="N307" s="11">
        <v>529.24965120000002</v>
      </c>
      <c r="O307" s="11">
        <v>709.19449740000005</v>
      </c>
      <c r="P307" s="11">
        <f>Table1[[#This Row],[Installed Capacity 
(AC -MW)]]/Table1[[#This Row],[Installed Capacity 
(DC -MW)]]</f>
        <v>0.74626869376496663</v>
      </c>
      <c r="Q307" s="12">
        <v>0.22464629999999999</v>
      </c>
      <c r="R307" s="12">
        <v>0.1676465</v>
      </c>
      <c r="S307" s="13">
        <v>42.821774959999999</v>
      </c>
      <c r="T307" s="11">
        <v>18.498519470000002</v>
      </c>
      <c r="U307" s="11">
        <v>138.28488300000001</v>
      </c>
      <c r="V307" s="13">
        <v>390752.50829999999</v>
      </c>
      <c r="W307" s="13">
        <v>490256.22</v>
      </c>
      <c r="X307" s="13">
        <v>20.154323999999999</v>
      </c>
      <c r="Y307" s="14">
        <f>+Table1[[#This Row],[Generation Cost 
LCOE (USD/MWh)]]+Table1[[#This Row],[Transmission Cost
LCOT (USD/MWh)]]</f>
        <v>62.976098960000002</v>
      </c>
    </row>
    <row r="308" spans="1:25" x14ac:dyDescent="0.3">
      <c r="A308" s="7">
        <v>307</v>
      </c>
      <c r="B308" s="8">
        <v>5377</v>
      </c>
      <c r="C308" s="9">
        <v>48.296337000000001</v>
      </c>
      <c r="D308" s="9">
        <v>-118.82107000000001</v>
      </c>
      <c r="E308" s="10" t="s">
        <v>42</v>
      </c>
      <c r="F308" s="10" t="s">
        <v>4</v>
      </c>
      <c r="G308" s="10" t="s">
        <v>14</v>
      </c>
      <c r="H308" s="10">
        <v>-8</v>
      </c>
      <c r="I308" s="11">
        <v>951.8125</v>
      </c>
      <c r="J308" s="11">
        <v>3.7274215000000002</v>
      </c>
      <c r="K308" s="11" t="str">
        <f>IF(Table1[[#This Row],[Solar 
Resource]]&lt;3,"Low", IF(Table1[[#This Row],[Solar 
Resource]]&lt;4, "Moderate","High"))</f>
        <v>Moderate</v>
      </c>
      <c r="L308" s="11">
        <v>0.98878560000000004</v>
      </c>
      <c r="M308" s="11">
        <v>13.261643919999999</v>
      </c>
      <c r="N308" s="11">
        <v>425.56018590000002</v>
      </c>
      <c r="O308" s="11">
        <v>570.25068859999999</v>
      </c>
      <c r="P308" s="11">
        <f>Table1[[#This Row],[Installed Capacity 
(AC -MW)]]/Table1[[#This Row],[Installed Capacity 
(DC -MW)]]</f>
        <v>0.74626860503189585</v>
      </c>
      <c r="Q308" s="12">
        <v>0.22339313</v>
      </c>
      <c r="R308" s="12">
        <v>0.16671130000000001</v>
      </c>
      <c r="S308" s="13">
        <v>43.009208530000002</v>
      </c>
      <c r="T308" s="11">
        <v>25.062766209999999</v>
      </c>
      <c r="U308" s="11">
        <v>138.28488300000001</v>
      </c>
      <c r="V308" s="13">
        <v>390752.50829999999</v>
      </c>
      <c r="W308" s="13">
        <v>555972.75</v>
      </c>
      <c r="X308" s="13">
        <v>22.984133</v>
      </c>
      <c r="Y308" s="14">
        <f>+Table1[[#This Row],[Generation Cost 
LCOE (USD/MWh)]]+Table1[[#This Row],[Transmission Cost
LCOT (USD/MWh)]]</f>
        <v>65.993341530000009</v>
      </c>
    </row>
    <row r="309" spans="1:25" x14ac:dyDescent="0.3">
      <c r="A309" s="7">
        <v>308</v>
      </c>
      <c r="B309" s="8">
        <v>5378</v>
      </c>
      <c r="C309" s="9">
        <v>48.319580000000002</v>
      </c>
      <c r="D309" s="9">
        <v>-118.66128500000001</v>
      </c>
      <c r="E309" s="10" t="s">
        <v>42</v>
      </c>
      <c r="F309" s="10" t="s">
        <v>4</v>
      </c>
      <c r="G309" s="10" t="s">
        <v>14</v>
      </c>
      <c r="H309" s="10">
        <v>-8</v>
      </c>
      <c r="I309" s="11">
        <v>971.17647060000002</v>
      </c>
      <c r="J309" s="11">
        <v>3.6896615000000001</v>
      </c>
      <c r="K309" s="11" t="str">
        <f>IF(Table1[[#This Row],[Solar 
Resource]]&lt;3,"Low", IF(Table1[[#This Row],[Solar 
Resource]]&lt;4, "Moderate","High"))</f>
        <v>Moderate</v>
      </c>
      <c r="L309" s="11">
        <v>0.98729014000000004</v>
      </c>
      <c r="M309" s="11">
        <v>12.830886469999999</v>
      </c>
      <c r="N309" s="11">
        <v>411.7373733</v>
      </c>
      <c r="O309" s="11">
        <v>551.72811839999997</v>
      </c>
      <c r="P309" s="11">
        <f>Table1[[#This Row],[Installed Capacity 
(AC -MW)]]/Table1[[#This Row],[Installed Capacity 
(DC -MW)]]</f>
        <v>0.74626860507677184</v>
      </c>
      <c r="Q309" s="12">
        <v>0.21856286999999999</v>
      </c>
      <c r="R309" s="12">
        <v>0.16310659999999999</v>
      </c>
      <c r="S309" s="13">
        <v>43.90745235</v>
      </c>
      <c r="T309" s="11">
        <v>33.121740240000001</v>
      </c>
      <c r="U309" s="11">
        <v>145.19304539999999</v>
      </c>
      <c r="V309" s="13">
        <v>450701.7818</v>
      </c>
      <c r="W309" s="13">
        <v>679646.1</v>
      </c>
      <c r="X309" s="13">
        <v>28.717780999999999</v>
      </c>
      <c r="Y309" s="14">
        <f>+Table1[[#This Row],[Generation Cost 
LCOE (USD/MWh)]]+Table1[[#This Row],[Transmission Cost
LCOT (USD/MWh)]]</f>
        <v>72.625233350000002</v>
      </c>
    </row>
    <row r="310" spans="1:25" x14ac:dyDescent="0.3">
      <c r="A310" s="7">
        <v>309</v>
      </c>
      <c r="B310" s="8">
        <v>5379</v>
      </c>
      <c r="C310" s="9">
        <v>48.342655000000001</v>
      </c>
      <c r="D310" s="9">
        <v>-118.50136000000001</v>
      </c>
      <c r="E310" s="10" t="s">
        <v>42</v>
      </c>
      <c r="F310" s="10" t="s">
        <v>4</v>
      </c>
      <c r="G310" s="10" t="s">
        <v>14</v>
      </c>
      <c r="H310" s="10">
        <v>-8</v>
      </c>
      <c r="I310" s="11">
        <v>1297.5882349999999</v>
      </c>
      <c r="J310" s="11">
        <v>3.6924538999999998</v>
      </c>
      <c r="K310" s="11" t="str">
        <f>IF(Table1[[#This Row],[Solar 
Resource]]&lt;3,"Low", IF(Table1[[#This Row],[Solar 
Resource]]&lt;4, "Moderate","High"))</f>
        <v>Moderate</v>
      </c>
      <c r="L310" s="11">
        <v>0.98622829999999995</v>
      </c>
      <c r="M310" s="11">
        <v>9.2702878420000001</v>
      </c>
      <c r="N310" s="11">
        <v>297.47936540000001</v>
      </c>
      <c r="O310" s="11">
        <v>398.62237720000002</v>
      </c>
      <c r="P310" s="11">
        <f>Table1[[#This Row],[Installed Capacity 
(AC -MW)]]/Table1[[#This Row],[Installed Capacity 
(DC -MW)]]</f>
        <v>0.74626860511332072</v>
      </c>
      <c r="Q310" s="12">
        <v>0.22034210000000001</v>
      </c>
      <c r="R310" s="12">
        <v>0.16443439000000001</v>
      </c>
      <c r="S310" s="13">
        <v>43.51609526</v>
      </c>
      <c r="T310" s="11">
        <v>51.914292170000003</v>
      </c>
      <c r="U310" s="11">
        <v>134.9008766</v>
      </c>
      <c r="V310" s="13">
        <v>483202.20209999999</v>
      </c>
      <c r="W310" s="13">
        <v>955373.6</v>
      </c>
      <c r="X310" s="13">
        <v>40.042408000000002</v>
      </c>
      <c r="Y310" s="14">
        <f>+Table1[[#This Row],[Generation Cost 
LCOE (USD/MWh)]]+Table1[[#This Row],[Transmission Cost
LCOT (USD/MWh)]]</f>
        <v>83.558503260000009</v>
      </c>
    </row>
    <row r="311" spans="1:25" x14ac:dyDescent="0.3">
      <c r="A311" s="7">
        <v>310</v>
      </c>
      <c r="B311" s="8">
        <v>5380</v>
      </c>
      <c r="C311" s="9">
        <v>48.365574000000002</v>
      </c>
      <c r="D311" s="9">
        <v>-118.34130999999999</v>
      </c>
      <c r="E311" s="10" t="s">
        <v>42</v>
      </c>
      <c r="F311" s="10" t="s">
        <v>4</v>
      </c>
      <c r="G311" s="10" t="s">
        <v>14</v>
      </c>
      <c r="H311" s="10">
        <v>-8</v>
      </c>
      <c r="I311" s="11">
        <v>904.375</v>
      </c>
      <c r="J311" s="11">
        <v>3.6262276</v>
      </c>
      <c r="K311" s="11" t="str">
        <f>IF(Table1[[#This Row],[Solar 
Resource]]&lt;3,"Low", IF(Table1[[#This Row],[Solar 
Resource]]&lt;4, "Moderate","High"))</f>
        <v>Moderate</v>
      </c>
      <c r="L311" s="11">
        <v>0.98471326000000003</v>
      </c>
      <c r="M311" s="11">
        <v>9.5756584349999994</v>
      </c>
      <c r="N311" s="11">
        <v>307.27857030000001</v>
      </c>
      <c r="O311" s="11">
        <v>411.75331269999998</v>
      </c>
      <c r="P311" s="11">
        <f>Table1[[#This Row],[Installed Capacity 
(AC -MW)]]/Table1[[#This Row],[Installed Capacity 
(DC -MW)]]</f>
        <v>0.74626860506616155</v>
      </c>
      <c r="Q311" s="12">
        <v>0.21153707999999999</v>
      </c>
      <c r="R311" s="12">
        <v>0.15786349999999999</v>
      </c>
      <c r="S311" s="13">
        <v>45.272686020000002</v>
      </c>
      <c r="T311" s="11">
        <v>25.362551929999999</v>
      </c>
      <c r="U311" s="11">
        <v>134.9008766</v>
      </c>
      <c r="V311" s="13">
        <v>483202.20209999999</v>
      </c>
      <c r="W311" s="13">
        <v>697888.4</v>
      </c>
      <c r="X311" s="13">
        <v>30.467994999999998</v>
      </c>
      <c r="Y311" s="14">
        <f>+Table1[[#This Row],[Generation Cost 
LCOE (USD/MWh)]]+Table1[[#This Row],[Transmission Cost
LCOT (USD/MWh)]]</f>
        <v>75.740681019999997</v>
      </c>
    </row>
    <row r="312" spans="1:25" x14ac:dyDescent="0.3">
      <c r="A312" s="7">
        <v>311</v>
      </c>
      <c r="B312" s="8">
        <v>5381</v>
      </c>
      <c r="C312" s="9">
        <v>48.388331999999998</v>
      </c>
      <c r="D312" s="9">
        <v>-118.18112000000001</v>
      </c>
      <c r="E312" s="10" t="s">
        <v>42</v>
      </c>
      <c r="F312" s="10" t="s">
        <v>4</v>
      </c>
      <c r="G312" s="10" t="s">
        <v>37</v>
      </c>
      <c r="H312" s="10">
        <v>-8</v>
      </c>
      <c r="I312" s="11">
        <v>611.57894739999995</v>
      </c>
      <c r="J312" s="11">
        <v>3.649435</v>
      </c>
      <c r="K312" s="11" t="str">
        <f>IF(Table1[[#This Row],[Solar 
Resource]]&lt;3,"Low", IF(Table1[[#This Row],[Solar 
Resource]]&lt;4, "Moderate","High"))</f>
        <v>Moderate</v>
      </c>
      <c r="L312" s="11">
        <v>0.98402506000000001</v>
      </c>
      <c r="M312" s="11">
        <v>17.32266079</v>
      </c>
      <c r="N312" s="11">
        <v>555.87638990000005</v>
      </c>
      <c r="O312" s="11">
        <v>744.874414</v>
      </c>
      <c r="P312" s="11">
        <f>Table1[[#This Row],[Installed Capacity 
(AC -MW)]]/Table1[[#This Row],[Installed Capacity 
(DC -MW)]]</f>
        <v>0.74626860508595749</v>
      </c>
      <c r="Q312" s="12">
        <v>0.21086050000000001</v>
      </c>
      <c r="R312" s="12">
        <v>0.15735857</v>
      </c>
      <c r="S312" s="13">
        <v>45.393024050000001</v>
      </c>
      <c r="T312" s="11">
        <v>10.996538960000001</v>
      </c>
      <c r="U312" s="11">
        <v>134.9008766</v>
      </c>
      <c r="V312" s="13">
        <v>483202.20209999999</v>
      </c>
      <c r="W312" s="13">
        <v>605946.9</v>
      </c>
      <c r="X312" s="13">
        <v>26.538948000000001</v>
      </c>
      <c r="Y312" s="14">
        <f>+Table1[[#This Row],[Generation Cost 
LCOE (USD/MWh)]]+Table1[[#This Row],[Transmission Cost
LCOT (USD/MWh)]]</f>
        <v>71.931972049999999</v>
      </c>
    </row>
    <row r="313" spans="1:25" x14ac:dyDescent="0.3">
      <c r="A313" s="7">
        <v>312</v>
      </c>
      <c r="B313" s="8">
        <v>5382</v>
      </c>
      <c r="C313" s="9">
        <v>48.410933999999997</v>
      </c>
      <c r="D313" s="9">
        <v>-118.02081</v>
      </c>
      <c r="E313" s="10" t="s">
        <v>42</v>
      </c>
      <c r="F313" s="10" t="s">
        <v>4</v>
      </c>
      <c r="G313" s="10" t="s">
        <v>37</v>
      </c>
      <c r="H313" s="10">
        <v>-8</v>
      </c>
      <c r="I313" s="11">
        <v>920.46666670000002</v>
      </c>
      <c r="J313" s="11">
        <v>3.6585502999999999</v>
      </c>
      <c r="K313" s="11" t="str">
        <f>IF(Table1[[#This Row],[Solar 
Resource]]&lt;3,"Low", IF(Table1[[#This Row],[Solar 
Resource]]&lt;4, "Moderate","High"))</f>
        <v>Moderate</v>
      </c>
      <c r="L313" s="11">
        <v>0.98330439999999997</v>
      </c>
      <c r="M313" s="11">
        <v>11.70377029</v>
      </c>
      <c r="N313" s="11">
        <v>375.56876670000003</v>
      </c>
      <c r="O313" s="11">
        <v>503.26212240000001</v>
      </c>
      <c r="P313" s="11">
        <f>Table1[[#This Row],[Installed Capacity 
(AC -MW)]]/Table1[[#This Row],[Installed Capacity 
(DC -MW)]]</f>
        <v>0.74626869375536387</v>
      </c>
      <c r="Q313" s="12">
        <v>0.21327397000000001</v>
      </c>
      <c r="R313" s="12">
        <v>0.15915968999999999</v>
      </c>
      <c r="S313" s="13">
        <v>44.853525589999997</v>
      </c>
      <c r="T313" s="11">
        <v>15.49873375</v>
      </c>
      <c r="U313" s="11">
        <v>115.389422</v>
      </c>
      <c r="V313" s="13">
        <v>416170.24969999999</v>
      </c>
      <c r="W313" s="13">
        <v>529485.1</v>
      </c>
      <c r="X313" s="13">
        <v>22.927689999999998</v>
      </c>
      <c r="Y313" s="14">
        <f>+Table1[[#This Row],[Generation Cost 
LCOE (USD/MWh)]]+Table1[[#This Row],[Transmission Cost
LCOT (USD/MWh)]]</f>
        <v>67.781215589999988</v>
      </c>
    </row>
    <row r="314" spans="1:25" x14ac:dyDescent="0.3">
      <c r="A314" s="7">
        <v>313</v>
      </c>
      <c r="B314" s="8">
        <v>5383</v>
      </c>
      <c r="C314" s="9">
        <v>48.433371999999999</v>
      </c>
      <c r="D314" s="9">
        <v>-117.86038000000001</v>
      </c>
      <c r="E314" s="10" t="s">
        <v>42</v>
      </c>
      <c r="F314" s="10" t="s">
        <v>4</v>
      </c>
      <c r="G314" s="10" t="s">
        <v>37</v>
      </c>
      <c r="H314" s="10">
        <v>-8</v>
      </c>
      <c r="I314" s="11">
        <v>664</v>
      </c>
      <c r="J314" s="11">
        <v>3.6167026</v>
      </c>
      <c r="K314" s="11" t="str">
        <f>IF(Table1[[#This Row],[Solar 
Resource]]&lt;3,"Low", IF(Table1[[#This Row],[Solar 
Resource]]&lt;4, "Moderate","High"))</f>
        <v>Moderate</v>
      </c>
      <c r="L314" s="11">
        <v>0.98293319999999995</v>
      </c>
      <c r="M314" s="11">
        <v>12.6036</v>
      </c>
      <c r="N314" s="11">
        <v>404.44385260000001</v>
      </c>
      <c r="O314" s="11">
        <v>541.95479999999998</v>
      </c>
      <c r="P314" s="11">
        <f>Table1[[#This Row],[Installed Capacity 
(AC -MW)]]/Table1[[#This Row],[Installed Capacity 
(DC -MW)]]</f>
        <v>0.7462686050571008</v>
      </c>
      <c r="Q314" s="12">
        <v>0.20843255999999999</v>
      </c>
      <c r="R314" s="12">
        <v>0.15554667999999999</v>
      </c>
      <c r="S314" s="13">
        <v>45.881763509999999</v>
      </c>
      <c r="T314" s="11">
        <v>1.558233765</v>
      </c>
      <c r="U314" s="11">
        <v>126.50044800000001</v>
      </c>
      <c r="V314" s="13">
        <v>449189.90330000001</v>
      </c>
      <c r="W314" s="13">
        <v>475548.47</v>
      </c>
      <c r="X314" s="13">
        <v>21.070442</v>
      </c>
      <c r="Y314" s="14">
        <f>+Table1[[#This Row],[Generation Cost 
LCOE (USD/MWh)]]+Table1[[#This Row],[Transmission Cost
LCOT (USD/MWh)]]</f>
        <v>66.952205509999999</v>
      </c>
    </row>
    <row r="315" spans="1:25" x14ac:dyDescent="0.3">
      <c r="A315" s="7">
        <v>314</v>
      </c>
      <c r="B315" s="8">
        <v>5384</v>
      </c>
      <c r="C315" s="9">
        <v>48.455649999999999</v>
      </c>
      <c r="D315" s="9">
        <v>-117.699814</v>
      </c>
      <c r="E315" s="10" t="s">
        <v>42</v>
      </c>
      <c r="F315" s="10" t="s">
        <v>4</v>
      </c>
      <c r="G315" s="10" t="s">
        <v>37</v>
      </c>
      <c r="H315" s="10">
        <v>-8</v>
      </c>
      <c r="I315" s="11">
        <v>849.2</v>
      </c>
      <c r="J315" s="11">
        <v>3.5951270000000002</v>
      </c>
      <c r="K315" s="11" t="str">
        <f>IF(Table1[[#This Row],[Solar 
Resource]]&lt;3,"Low", IF(Table1[[#This Row],[Solar 
Resource]]&lt;4, "Moderate","High"))</f>
        <v>Moderate</v>
      </c>
      <c r="L315" s="11">
        <v>0.98287517000000002</v>
      </c>
      <c r="M315" s="11">
        <v>3.2294698519999998</v>
      </c>
      <c r="N315" s="11">
        <v>103.63223429999999</v>
      </c>
      <c r="O315" s="11">
        <v>138.86720360000001</v>
      </c>
      <c r="P315" s="11">
        <f>Table1[[#This Row],[Installed Capacity 
(AC -MW)]]/Table1[[#This Row],[Installed Capacity 
(DC -MW)]]</f>
        <v>0.74626860492206226</v>
      </c>
      <c r="Q315" s="12">
        <v>0.20720395</v>
      </c>
      <c r="R315" s="12">
        <v>0.15462981000000001</v>
      </c>
      <c r="S315" s="13">
        <v>46.151687709999997</v>
      </c>
      <c r="T315" s="11">
        <v>17.180499990000001</v>
      </c>
      <c r="U315" s="11">
        <v>135.7587532</v>
      </c>
      <c r="V315" s="13">
        <v>487336.57169999997</v>
      </c>
      <c r="W315" s="13">
        <v>618601</v>
      </c>
      <c r="X315" s="13">
        <v>27.571283000000001</v>
      </c>
      <c r="Y315" s="14">
        <f>+Table1[[#This Row],[Generation Cost 
LCOE (USD/MWh)]]+Table1[[#This Row],[Transmission Cost
LCOT (USD/MWh)]]</f>
        <v>73.722970709999998</v>
      </c>
    </row>
    <row r="316" spans="1:25" x14ac:dyDescent="0.3">
      <c r="A316" s="7">
        <v>315</v>
      </c>
      <c r="B316" s="8">
        <v>5385</v>
      </c>
      <c r="C316" s="9">
        <v>48.477767999999998</v>
      </c>
      <c r="D316" s="9">
        <v>-117.53910999999999</v>
      </c>
      <c r="E316" s="10" t="s">
        <v>42</v>
      </c>
      <c r="F316" s="10" t="s">
        <v>4</v>
      </c>
      <c r="G316" s="10" t="s">
        <v>30</v>
      </c>
      <c r="H316" s="10">
        <v>-8</v>
      </c>
      <c r="I316" s="11">
        <v>1327.1</v>
      </c>
      <c r="J316" s="11">
        <v>3.5495896</v>
      </c>
      <c r="K316" s="11" t="str">
        <f>IF(Table1[[#This Row],[Solar 
Resource]]&lt;3,"Low", IF(Table1[[#This Row],[Solar 
Resource]]&lt;4, "Moderate","High"))</f>
        <v>Moderate</v>
      </c>
      <c r="L316" s="11">
        <v>0.98245716000000005</v>
      </c>
      <c r="M316" s="11">
        <v>1.69241402</v>
      </c>
      <c r="N316" s="11">
        <v>54.308804340000002</v>
      </c>
      <c r="O316" s="11">
        <v>72.773802849999996</v>
      </c>
      <c r="P316" s="11">
        <f>Table1[[#This Row],[Installed Capacity 
(AC -MW)]]/Table1[[#This Row],[Installed Capacity 
(DC -MW)]]</f>
        <v>0.74626860509049242</v>
      </c>
      <c r="Q316" s="12">
        <v>0.20770632</v>
      </c>
      <c r="R316" s="12">
        <v>0.1550047</v>
      </c>
      <c r="S316" s="13">
        <v>47.261640409999998</v>
      </c>
      <c r="T316" s="11">
        <v>17.422266220000001</v>
      </c>
      <c r="U316" s="11">
        <v>120.09345450000001</v>
      </c>
      <c r="V316" s="13">
        <v>491772.13050000003</v>
      </c>
      <c r="W316" s="13">
        <v>664782.75</v>
      </c>
      <c r="X316" s="13">
        <v>29.557959</v>
      </c>
      <c r="Y316" s="14">
        <f>+Table1[[#This Row],[Generation Cost 
LCOE (USD/MWh)]]+Table1[[#This Row],[Transmission Cost
LCOT (USD/MWh)]]</f>
        <v>76.819599409999995</v>
      </c>
    </row>
    <row r="317" spans="1:25" x14ac:dyDescent="0.3">
      <c r="A317" s="7">
        <v>316</v>
      </c>
      <c r="B317" s="8">
        <v>5386</v>
      </c>
      <c r="C317" s="9">
        <v>48.499724999999998</v>
      </c>
      <c r="D317" s="9">
        <v>-117.37829600000001</v>
      </c>
      <c r="E317" s="10" t="s">
        <v>42</v>
      </c>
      <c r="F317" s="10" t="s">
        <v>4</v>
      </c>
      <c r="G317" s="10" t="s">
        <v>30</v>
      </c>
      <c r="H317" s="10">
        <v>-8</v>
      </c>
      <c r="I317" s="11">
        <v>890.8</v>
      </c>
      <c r="J317" s="11">
        <v>3.445138</v>
      </c>
      <c r="K317" s="11" t="str">
        <f>IF(Table1[[#This Row],[Solar 
Resource]]&lt;3,"Low", IF(Table1[[#This Row],[Solar 
Resource]]&lt;4, "Moderate","High"))</f>
        <v>Moderate</v>
      </c>
      <c r="L317" s="11">
        <v>0.98237056</v>
      </c>
      <c r="M317" s="11">
        <v>7.1456574460000004</v>
      </c>
      <c r="N317" s="11">
        <v>229.30095929999999</v>
      </c>
      <c r="O317" s="11">
        <v>307.26327020000002</v>
      </c>
      <c r="P317" s="11">
        <f>Table1[[#This Row],[Installed Capacity 
(AC -MW)]]/Table1[[#This Row],[Installed Capacity 
(DC -MW)]]</f>
        <v>0.74626869378414884</v>
      </c>
      <c r="Q317" s="12">
        <v>0.19829689</v>
      </c>
      <c r="R317" s="12">
        <v>0.14798275999999999</v>
      </c>
      <c r="S317" s="13">
        <v>48.205268709999999</v>
      </c>
      <c r="T317" s="11">
        <v>1.5672792209999999</v>
      </c>
      <c r="U317" s="11">
        <v>128.00440900000001</v>
      </c>
      <c r="V317" s="13">
        <v>499255.511</v>
      </c>
      <c r="W317" s="13">
        <v>570474.06000000006</v>
      </c>
      <c r="X317" s="13">
        <v>26.568338000000001</v>
      </c>
      <c r="Y317" s="14">
        <f>+Table1[[#This Row],[Generation Cost 
LCOE (USD/MWh)]]+Table1[[#This Row],[Transmission Cost
LCOT (USD/MWh)]]</f>
        <v>74.773606709999996</v>
      </c>
    </row>
    <row r="318" spans="1:25" x14ac:dyDescent="0.3">
      <c r="A318" s="7">
        <v>317</v>
      </c>
      <c r="B318" s="8">
        <v>5387</v>
      </c>
      <c r="C318" s="9">
        <v>48.521520000000002</v>
      </c>
      <c r="D318" s="9">
        <v>-117.21735</v>
      </c>
      <c r="E318" s="10" t="s">
        <v>42</v>
      </c>
      <c r="F318" s="10" t="s">
        <v>4</v>
      </c>
      <c r="G318" s="10" t="s">
        <v>30</v>
      </c>
      <c r="H318" s="10">
        <v>-8</v>
      </c>
      <c r="I318" s="11">
        <v>1000.4117649999999</v>
      </c>
      <c r="J318" s="11">
        <v>3.4947661999999999</v>
      </c>
      <c r="K318" s="11" t="str">
        <f>IF(Table1[[#This Row],[Solar 
Resource]]&lt;3,"Low", IF(Table1[[#This Row],[Solar 
Resource]]&lt;4, "Moderate","High"))</f>
        <v>Moderate</v>
      </c>
      <c r="L318" s="11">
        <v>0.98249920000000002</v>
      </c>
      <c r="M318" s="11">
        <v>15.02339392</v>
      </c>
      <c r="N318" s="11">
        <v>482.09395069999999</v>
      </c>
      <c r="O318" s="11">
        <v>646.00593860000004</v>
      </c>
      <c r="P318" s="11">
        <f>Table1[[#This Row],[Installed Capacity 
(AC -MW)]]/Table1[[#This Row],[Installed Capacity 
(DC -MW)]]</f>
        <v>0.74626860512269599</v>
      </c>
      <c r="Q318" s="12">
        <v>0.20169482999999999</v>
      </c>
      <c r="R318" s="12">
        <v>0.15051851999999999</v>
      </c>
      <c r="S318" s="13">
        <v>47.398037500000001</v>
      </c>
      <c r="T318" s="11">
        <v>5.1774220739999999</v>
      </c>
      <c r="U318" s="11">
        <v>143.4455778</v>
      </c>
      <c r="V318" s="13">
        <v>530178.27350000001</v>
      </c>
      <c r="W318" s="13">
        <v>632984.93999999994</v>
      </c>
      <c r="X318" s="13">
        <v>28.982979</v>
      </c>
      <c r="Y318" s="14">
        <f>+Table1[[#This Row],[Generation Cost 
LCOE (USD/MWh)]]+Table1[[#This Row],[Transmission Cost
LCOT (USD/MWh)]]</f>
        <v>76.381016500000001</v>
      </c>
    </row>
    <row r="319" spans="1:25" x14ac:dyDescent="0.3">
      <c r="A319" s="7">
        <v>318</v>
      </c>
      <c r="B319" s="8">
        <v>5388</v>
      </c>
      <c r="C319" s="9">
        <v>48.54316</v>
      </c>
      <c r="D319" s="9">
        <v>-117.056274</v>
      </c>
      <c r="E319" s="10" t="s">
        <v>42</v>
      </c>
      <c r="F319" s="10" t="s">
        <v>1</v>
      </c>
      <c r="G319" s="10" t="s">
        <v>9</v>
      </c>
      <c r="H319" s="10">
        <v>-8</v>
      </c>
      <c r="I319" s="11">
        <v>962.07692310000004</v>
      </c>
      <c r="J319" s="11">
        <v>3.3800626</v>
      </c>
      <c r="K319" s="11" t="str">
        <f>IF(Table1[[#This Row],[Solar 
Resource]]&lt;3,"Low", IF(Table1[[#This Row],[Solar 
Resource]]&lt;4, "Moderate","High"))</f>
        <v>Moderate</v>
      </c>
      <c r="L319" s="11">
        <v>0.98269419999999996</v>
      </c>
      <c r="M319" s="11">
        <v>3.7869119109999998</v>
      </c>
      <c r="N319" s="11">
        <v>121.52031359999999</v>
      </c>
      <c r="O319" s="11">
        <v>162.83721220000001</v>
      </c>
      <c r="P319" s="11">
        <f>Table1[[#This Row],[Installed Capacity 
(AC -MW)]]/Table1[[#This Row],[Installed Capacity 
(DC -MW)]]</f>
        <v>0.74626869348970581</v>
      </c>
      <c r="Q319" s="12">
        <v>0.19441336000000001</v>
      </c>
      <c r="R319" s="12">
        <v>0.14508459000000001</v>
      </c>
      <c r="S319" s="13">
        <v>49.180927709999999</v>
      </c>
      <c r="T319" s="11">
        <v>17.815798690000001</v>
      </c>
      <c r="U319" s="11">
        <v>143.4455778</v>
      </c>
      <c r="V319" s="13">
        <v>530178.27350000001</v>
      </c>
      <c r="W319" s="13">
        <v>746084.7</v>
      </c>
      <c r="X319" s="13">
        <v>35.441035999999997</v>
      </c>
      <c r="Y319" s="14">
        <f>+Table1[[#This Row],[Generation Cost 
LCOE (USD/MWh)]]+Table1[[#This Row],[Transmission Cost
LCOT (USD/MWh)]]</f>
        <v>84.621963709999989</v>
      </c>
    </row>
    <row r="320" spans="1:25" x14ac:dyDescent="0.3">
      <c r="A320" s="7">
        <v>319</v>
      </c>
      <c r="B320" s="8">
        <v>5389</v>
      </c>
      <c r="C320" s="9">
        <v>48.564630000000001</v>
      </c>
      <c r="D320" s="9">
        <v>-116.89507999999999</v>
      </c>
      <c r="E320" s="10" t="s">
        <v>42</v>
      </c>
      <c r="F320" s="10" t="s">
        <v>1</v>
      </c>
      <c r="G320" s="10" t="s">
        <v>9</v>
      </c>
      <c r="H320" s="10">
        <v>-8</v>
      </c>
      <c r="I320" s="11">
        <v>818.46666670000002</v>
      </c>
      <c r="J320" s="11">
        <v>3.3862429000000001</v>
      </c>
      <c r="K320" s="11" t="str">
        <f>IF(Table1[[#This Row],[Solar 
Resource]]&lt;3,"Low", IF(Table1[[#This Row],[Solar 
Resource]]&lt;4, "Moderate","High"))</f>
        <v>Moderate</v>
      </c>
      <c r="L320" s="11">
        <v>0.98201685999999999</v>
      </c>
      <c r="M320" s="11">
        <v>15.457149319999999</v>
      </c>
      <c r="N320" s="11">
        <v>496.01296610000003</v>
      </c>
      <c r="O320" s="11">
        <v>664.65742060000002</v>
      </c>
      <c r="P320" s="11">
        <f>Table1[[#This Row],[Installed Capacity 
(AC -MW)]]/Table1[[#This Row],[Installed Capacity 
(DC -MW)]]</f>
        <v>0.74626860503902726</v>
      </c>
      <c r="Q320" s="12">
        <v>0.19408560999999999</v>
      </c>
      <c r="R320" s="12">
        <v>0.14484</v>
      </c>
      <c r="S320" s="13">
        <v>49.237316280000002</v>
      </c>
      <c r="T320" s="11">
        <v>51.841285679999999</v>
      </c>
      <c r="U320" s="11">
        <v>368.57361020000002</v>
      </c>
      <c r="V320" s="13">
        <v>1403156.943</v>
      </c>
      <c r="W320" s="13">
        <v>1887866.2</v>
      </c>
      <c r="X320" s="13">
        <v>89.830185</v>
      </c>
      <c r="Y320" s="14">
        <f>+Table1[[#This Row],[Generation Cost 
LCOE (USD/MWh)]]+Table1[[#This Row],[Transmission Cost
LCOT (USD/MWh)]]</f>
        <v>139.06750127999999</v>
      </c>
    </row>
    <row r="321" spans="1:25" x14ac:dyDescent="0.3">
      <c r="A321" s="7">
        <v>320</v>
      </c>
      <c r="B321" s="8">
        <v>5390</v>
      </c>
      <c r="C321" s="9">
        <v>48.585940000000001</v>
      </c>
      <c r="D321" s="9">
        <v>-116.73376500000001</v>
      </c>
      <c r="E321" s="10" t="s">
        <v>42</v>
      </c>
      <c r="F321" s="10" t="s">
        <v>1</v>
      </c>
      <c r="G321" s="10" t="s">
        <v>10</v>
      </c>
      <c r="H321" s="10">
        <v>-8</v>
      </c>
      <c r="I321" s="11">
        <v>1492.416667</v>
      </c>
      <c r="J321" s="11">
        <v>3.4642773</v>
      </c>
      <c r="K321" s="11" t="str">
        <f>IF(Table1[[#This Row],[Solar 
Resource]]&lt;3,"Low", IF(Table1[[#This Row],[Solar 
Resource]]&lt;4, "Moderate","High"))</f>
        <v>Moderate</v>
      </c>
      <c r="L321" s="11">
        <v>0.98208969999999995</v>
      </c>
      <c r="M321" s="11">
        <v>1.911276054</v>
      </c>
      <c r="N321" s="11">
        <v>61.331981249999998</v>
      </c>
      <c r="O321" s="11">
        <v>82.184870340000003</v>
      </c>
      <c r="P321" s="11">
        <f>Table1[[#This Row],[Installed Capacity 
(AC -MW)]]/Table1[[#This Row],[Installed Capacity 
(DC -MW)]]</f>
        <v>0.74626851628856627</v>
      </c>
      <c r="Q321" s="12">
        <v>0.20152695000000001</v>
      </c>
      <c r="R321" s="12">
        <v>0.15039322999999999</v>
      </c>
      <c r="S321" s="13">
        <v>48.071740810000001</v>
      </c>
      <c r="T321" s="11">
        <v>29.260785689999999</v>
      </c>
      <c r="U321" s="11">
        <v>368.57361020000002</v>
      </c>
      <c r="V321" s="13">
        <v>1403156.943</v>
      </c>
      <c r="W321" s="13">
        <v>1684292.1</v>
      </c>
      <c r="X321" s="13">
        <v>77.184250000000006</v>
      </c>
      <c r="Y321" s="14">
        <f>+Table1[[#This Row],[Generation Cost 
LCOE (USD/MWh)]]+Table1[[#This Row],[Transmission Cost
LCOT (USD/MWh)]]</f>
        <v>125.25599081000001</v>
      </c>
    </row>
    <row r="322" spans="1:25" x14ac:dyDescent="0.3">
      <c r="A322" s="7">
        <v>321</v>
      </c>
      <c r="B322" s="8">
        <v>5391</v>
      </c>
      <c r="C322" s="9">
        <v>48.607093999999996</v>
      </c>
      <c r="D322" s="9">
        <v>-116.57232999999999</v>
      </c>
      <c r="E322" s="10" t="s">
        <v>42</v>
      </c>
      <c r="F322" s="10" t="s">
        <v>1</v>
      </c>
      <c r="G322" s="10" t="s">
        <v>10</v>
      </c>
      <c r="H322" s="10">
        <v>-8</v>
      </c>
      <c r="I322" s="11">
        <v>1396.375</v>
      </c>
      <c r="J322" s="11">
        <v>3.4392008999999999</v>
      </c>
      <c r="K322" s="11" t="str">
        <f>IF(Table1[[#This Row],[Solar 
Resource]]&lt;3,"Low", IF(Table1[[#This Row],[Solar 
Resource]]&lt;4, "Moderate","High"))</f>
        <v>Moderate</v>
      </c>
      <c r="L322" s="11">
        <v>0.98220589999999997</v>
      </c>
      <c r="M322" s="11">
        <v>3.130488089</v>
      </c>
      <c r="N322" s="11">
        <v>100.4559541</v>
      </c>
      <c r="O322" s="11">
        <v>134.6109878</v>
      </c>
      <c r="P322" s="11">
        <f>Table1[[#This Row],[Installed Capacity 
(AC -MW)]]/Table1[[#This Row],[Installed Capacity 
(DC -MW)]]</f>
        <v>0.7462686051249674</v>
      </c>
      <c r="Q322" s="12">
        <v>0.20008567999999999</v>
      </c>
      <c r="R322" s="12">
        <v>0.1493177</v>
      </c>
      <c r="S322" s="13">
        <v>47.76802035</v>
      </c>
      <c r="T322" s="11">
        <v>13.73866233</v>
      </c>
      <c r="U322" s="11">
        <v>377.87029200000001</v>
      </c>
      <c r="V322" s="13">
        <v>1440230.074</v>
      </c>
      <c r="W322" s="13">
        <v>1610223.8</v>
      </c>
      <c r="X322" s="13">
        <v>74.321526000000006</v>
      </c>
      <c r="Y322" s="14">
        <f>+Table1[[#This Row],[Generation Cost 
LCOE (USD/MWh)]]+Table1[[#This Row],[Transmission Cost
LCOT (USD/MWh)]]</f>
        <v>122.08954635000001</v>
      </c>
    </row>
    <row r="323" spans="1:25" x14ac:dyDescent="0.3">
      <c r="A323" s="7">
        <v>322</v>
      </c>
      <c r="B323" s="8">
        <v>5392</v>
      </c>
      <c r="C323" s="9">
        <v>48.628079999999997</v>
      </c>
      <c r="D323" s="9">
        <v>-116.41077</v>
      </c>
      <c r="E323" s="10" t="s">
        <v>42</v>
      </c>
      <c r="F323" s="10" t="s">
        <v>1</v>
      </c>
      <c r="G323" s="10" t="s">
        <v>10</v>
      </c>
      <c r="H323" s="10">
        <v>-8</v>
      </c>
      <c r="I323" s="11">
        <v>831.73684209999999</v>
      </c>
      <c r="J323" s="11">
        <v>3.517077</v>
      </c>
      <c r="K323" s="11" t="str">
        <f>IF(Table1[[#This Row],[Solar 
Resource]]&lt;3,"Low", IF(Table1[[#This Row],[Solar 
Resource]]&lt;4, "Moderate","High"))</f>
        <v>Moderate</v>
      </c>
      <c r="L323" s="11">
        <v>0.98252916000000001</v>
      </c>
      <c r="M323" s="11">
        <v>21.067289209999998</v>
      </c>
      <c r="N323" s="11">
        <v>676.0398308</v>
      </c>
      <c r="O323" s="11">
        <v>905.89343599999995</v>
      </c>
      <c r="P323" s="11">
        <f>Table1[[#This Row],[Installed Capacity 
(AC -MW)]]/Table1[[#This Row],[Installed Capacity 
(DC -MW)]]</f>
        <v>0.7462686050415317</v>
      </c>
      <c r="Q323" s="12">
        <v>0.20221917</v>
      </c>
      <c r="R323" s="12">
        <v>0.15090983999999999</v>
      </c>
      <c r="S323" s="13">
        <v>47.276256580000002</v>
      </c>
      <c r="T323" s="11">
        <v>3.281025971</v>
      </c>
      <c r="U323" s="11">
        <v>387.50248679999999</v>
      </c>
      <c r="V323" s="13">
        <v>1482382.004</v>
      </c>
      <c r="W323" s="13">
        <v>1552303.4</v>
      </c>
      <c r="X323" s="13">
        <v>70.892240000000001</v>
      </c>
      <c r="Y323" s="14">
        <f>+Table1[[#This Row],[Generation Cost 
LCOE (USD/MWh)]]+Table1[[#This Row],[Transmission Cost
LCOT (USD/MWh)]]</f>
        <v>118.16849658000001</v>
      </c>
    </row>
    <row r="324" spans="1:25" x14ac:dyDescent="0.3">
      <c r="A324" s="7">
        <v>323</v>
      </c>
      <c r="B324" s="8">
        <v>5393</v>
      </c>
      <c r="C324" s="9">
        <v>48.648907000000001</v>
      </c>
      <c r="D324" s="9">
        <v>-116.249084</v>
      </c>
      <c r="E324" s="10" t="s">
        <v>42</v>
      </c>
      <c r="F324" s="10" t="s">
        <v>1</v>
      </c>
      <c r="G324" s="10" t="s">
        <v>10</v>
      </c>
      <c r="H324" s="10">
        <v>-8</v>
      </c>
      <c r="I324" s="11">
        <v>809.25</v>
      </c>
      <c r="J324" s="11">
        <v>3.5758622</v>
      </c>
      <c r="K324" s="11" t="str">
        <f>IF(Table1[[#This Row],[Solar 
Resource]]&lt;3,"Low", IF(Table1[[#This Row],[Solar 
Resource]]&lt;4, "Moderate","High"))</f>
        <v>Moderate</v>
      </c>
      <c r="L324" s="11">
        <v>0.98282944999999999</v>
      </c>
      <c r="M324" s="11">
        <v>17.22845676</v>
      </c>
      <c r="N324" s="11">
        <v>552.85342500000002</v>
      </c>
      <c r="O324" s="11">
        <v>740.82364080000002</v>
      </c>
      <c r="P324" s="11">
        <f>Table1[[#This Row],[Installed Capacity 
(AC -MW)]]/Table1[[#This Row],[Installed Capacity 
(DC -MW)]]</f>
        <v>0.74626860503936554</v>
      </c>
      <c r="Q324" s="12">
        <v>0.20591404999999999</v>
      </c>
      <c r="R324" s="12">
        <v>0.15366721</v>
      </c>
      <c r="S324" s="13">
        <v>46.439090200000003</v>
      </c>
      <c r="T324" s="11">
        <v>7.7874220740000002</v>
      </c>
      <c r="U324" s="11">
        <v>396.70012320000001</v>
      </c>
      <c r="V324" s="13">
        <v>1520048.6880000001</v>
      </c>
      <c r="W324" s="13">
        <v>1586959.5</v>
      </c>
      <c r="X324" s="13">
        <v>71.174480000000003</v>
      </c>
      <c r="Y324" s="14">
        <f>+Table1[[#This Row],[Generation Cost 
LCOE (USD/MWh)]]+Table1[[#This Row],[Transmission Cost
LCOT (USD/MWh)]]</f>
        <v>117.6135702</v>
      </c>
    </row>
    <row r="325" spans="1:25" x14ac:dyDescent="0.3">
      <c r="A325" s="7">
        <v>324</v>
      </c>
      <c r="B325" s="8">
        <v>5394</v>
      </c>
      <c r="C325" s="9">
        <v>48.66957</v>
      </c>
      <c r="D325" s="9">
        <v>-116.08729</v>
      </c>
      <c r="E325" s="10" t="s">
        <v>42</v>
      </c>
      <c r="F325" s="10" t="s">
        <v>1</v>
      </c>
      <c r="G325" s="10" t="s">
        <v>10</v>
      </c>
      <c r="H325" s="10">
        <v>-8</v>
      </c>
      <c r="I325" s="11">
        <v>878.125</v>
      </c>
      <c r="J325" s="11">
        <v>3.4515444999999998</v>
      </c>
      <c r="K325" s="11" t="str">
        <f>IF(Table1[[#This Row],[Solar 
Resource]]&lt;3,"Low", IF(Table1[[#This Row],[Solar 
Resource]]&lt;4, "Moderate","High"))</f>
        <v>Moderate</v>
      </c>
      <c r="L325" s="11">
        <v>0.98309857</v>
      </c>
      <c r="M325" s="11">
        <v>20.687724320000001</v>
      </c>
      <c r="N325" s="11">
        <v>663.85976419999997</v>
      </c>
      <c r="O325" s="11">
        <v>889.5721456</v>
      </c>
      <c r="P325" s="11">
        <f>Table1[[#This Row],[Installed Capacity 
(AC -MW)]]/Table1[[#This Row],[Installed Capacity 
(DC -MW)]]</f>
        <v>0.74626860506321135</v>
      </c>
      <c r="Q325" s="12">
        <v>0.19834636</v>
      </c>
      <c r="R325" s="12">
        <v>0.14801966999999999</v>
      </c>
      <c r="S325" s="13">
        <v>48.221288049999998</v>
      </c>
      <c r="T325" s="11">
        <v>0.43455844100000002</v>
      </c>
      <c r="U325" s="11">
        <v>414.78592190000001</v>
      </c>
      <c r="V325" s="13">
        <v>1604597.399</v>
      </c>
      <c r="W325" s="13">
        <v>1645658.2</v>
      </c>
      <c r="X325" s="13">
        <v>76.623115999999996</v>
      </c>
      <c r="Y325" s="14">
        <f>+Table1[[#This Row],[Generation Cost 
LCOE (USD/MWh)]]+Table1[[#This Row],[Transmission Cost
LCOT (USD/MWh)]]</f>
        <v>124.84440404999999</v>
      </c>
    </row>
    <row r="326" spans="1:25" x14ac:dyDescent="0.3">
      <c r="A326" s="7">
        <v>325</v>
      </c>
      <c r="B326" s="8">
        <v>5395</v>
      </c>
      <c r="C326" s="9">
        <v>48.690066999999999</v>
      </c>
      <c r="D326" s="9">
        <v>-115.92537</v>
      </c>
      <c r="E326" s="10" t="s">
        <v>42</v>
      </c>
      <c r="F326" s="10" t="s">
        <v>3</v>
      </c>
      <c r="G326" s="10" t="s">
        <v>27</v>
      </c>
      <c r="H326" s="10">
        <v>-7</v>
      </c>
      <c r="I326" s="11">
        <v>1027</v>
      </c>
      <c r="J326" s="11">
        <v>3.4090997999999999</v>
      </c>
      <c r="K326" s="11" t="str">
        <f>IF(Table1[[#This Row],[Solar 
Resource]]&lt;3,"Low", IF(Table1[[#This Row],[Solar 
Resource]]&lt;4, "Moderate","High"))</f>
        <v>Moderate</v>
      </c>
      <c r="L326" s="11">
        <v>0.9833383</v>
      </c>
      <c r="M326" s="11">
        <v>2.1390478910000001</v>
      </c>
      <c r="N326" s="11">
        <v>68.641092459999996</v>
      </c>
      <c r="O326" s="11">
        <v>91.979059320000005</v>
      </c>
      <c r="P326" s="11">
        <f>Table1[[#This Row],[Installed Capacity 
(AC -MW)]]/Table1[[#This Row],[Installed Capacity 
(DC -MW)]]</f>
        <v>0.746268693846868</v>
      </c>
      <c r="Q326" s="12">
        <v>0.19592655</v>
      </c>
      <c r="R326" s="12">
        <v>0.14621386</v>
      </c>
      <c r="S326" s="13">
        <v>48.909064800000003</v>
      </c>
      <c r="T326" s="11">
        <v>12.12396103</v>
      </c>
      <c r="U326" s="11">
        <v>362.84714270000001</v>
      </c>
      <c r="V326" s="13">
        <v>1621424.642</v>
      </c>
      <c r="W326" s="13">
        <v>1785821.4</v>
      </c>
      <c r="X326" s="13">
        <v>84.176169999999999</v>
      </c>
      <c r="Y326" s="14">
        <f>+Table1[[#This Row],[Generation Cost 
LCOE (USD/MWh)]]+Table1[[#This Row],[Transmission Cost
LCOT (USD/MWh)]]</f>
        <v>133.08523479999999</v>
      </c>
    </row>
    <row r="327" spans="1:25" x14ac:dyDescent="0.3">
      <c r="A327" s="7">
        <v>326</v>
      </c>
      <c r="B327" s="8">
        <v>5396</v>
      </c>
      <c r="C327" s="9">
        <v>48.710406999999996</v>
      </c>
      <c r="D327" s="9">
        <v>-115.763336</v>
      </c>
      <c r="E327" s="10" t="s">
        <v>42</v>
      </c>
      <c r="F327" s="10" t="s">
        <v>3</v>
      </c>
      <c r="G327" s="10" t="s">
        <v>27</v>
      </c>
      <c r="H327" s="10">
        <v>-7</v>
      </c>
      <c r="I327" s="11">
        <v>1253.5714290000001</v>
      </c>
      <c r="J327" s="11">
        <v>3.4651402999999998</v>
      </c>
      <c r="K327" s="11" t="str">
        <f>IF(Table1[[#This Row],[Solar 
Resource]]&lt;3,"Low", IF(Table1[[#This Row],[Solar 
Resource]]&lt;4, "Moderate","High"))</f>
        <v>Moderate</v>
      </c>
      <c r="L327" s="11">
        <v>0.98369366000000003</v>
      </c>
      <c r="M327" s="11">
        <v>0.78861606699999998</v>
      </c>
      <c r="N327" s="11">
        <v>25.306331709999998</v>
      </c>
      <c r="O327" s="11">
        <v>33.910490869999997</v>
      </c>
      <c r="P327" s="11">
        <f>Table1[[#This Row],[Installed Capacity 
(AC -MW)]]/Table1[[#This Row],[Installed Capacity 
(DC -MW)]]</f>
        <v>0.74626851634247671</v>
      </c>
      <c r="Q327" s="12">
        <v>0.20033681</v>
      </c>
      <c r="R327" s="12">
        <v>0.14950506</v>
      </c>
      <c r="S327" s="13">
        <v>53.245264669999997</v>
      </c>
      <c r="T327" s="11">
        <v>24.03438959</v>
      </c>
      <c r="U327" s="11">
        <v>355.64604530000003</v>
      </c>
      <c r="V327" s="13">
        <v>1582315.5260000001</v>
      </c>
      <c r="W327" s="13">
        <v>1838025.1</v>
      </c>
      <c r="X327" s="13">
        <v>84.729590000000002</v>
      </c>
      <c r="Y327" s="14">
        <f>+Table1[[#This Row],[Generation Cost 
LCOE (USD/MWh)]]+Table1[[#This Row],[Transmission Cost
LCOT (USD/MWh)]]</f>
        <v>137.97485467000001</v>
      </c>
    </row>
    <row r="328" spans="1:25" x14ac:dyDescent="0.3">
      <c r="A328" s="7">
        <v>327</v>
      </c>
      <c r="B328" s="8">
        <v>5397</v>
      </c>
      <c r="C328" s="9">
        <v>48.730583000000003</v>
      </c>
      <c r="D328" s="9">
        <v>-115.60118</v>
      </c>
      <c r="E328" s="10" t="s">
        <v>42</v>
      </c>
      <c r="F328" s="10" t="s">
        <v>3</v>
      </c>
      <c r="G328" s="10" t="s">
        <v>27</v>
      </c>
      <c r="H328" s="10">
        <v>-7</v>
      </c>
      <c r="I328" s="11">
        <v>1284.5</v>
      </c>
      <c r="J328" s="11">
        <v>3.4675145000000001</v>
      </c>
      <c r="K328" s="11" t="str">
        <f>IF(Table1[[#This Row],[Solar 
Resource]]&lt;3,"Low", IF(Table1[[#This Row],[Solar 
Resource]]&lt;4, "Moderate","High"))</f>
        <v>Moderate</v>
      </c>
      <c r="L328" s="11">
        <v>0.98391289999999998</v>
      </c>
      <c r="M328" s="11">
        <v>2.6435158809999999</v>
      </c>
      <c r="N328" s="11">
        <v>84.829245180000001</v>
      </c>
      <c r="O328" s="11">
        <v>113.67118290000001</v>
      </c>
      <c r="P328" s="11">
        <f>Table1[[#This Row],[Installed Capacity 
(AC -MW)]]/Table1[[#This Row],[Installed Capacity 
(DC -MW)]]</f>
        <v>0.74626869375175642</v>
      </c>
      <c r="Q328" s="12">
        <v>0.19991033999999999</v>
      </c>
      <c r="R328" s="12">
        <v>0.14918680000000001</v>
      </c>
      <c r="S328" s="13">
        <v>47.875163030000003</v>
      </c>
      <c r="T328" s="11">
        <v>34.956370110000002</v>
      </c>
      <c r="U328" s="11">
        <v>355.64604530000003</v>
      </c>
      <c r="V328" s="13">
        <v>1582315.5260000001</v>
      </c>
      <c r="W328" s="13">
        <v>1993938</v>
      </c>
      <c r="X328" s="13">
        <v>92.112970000000004</v>
      </c>
      <c r="Y328" s="14">
        <f>+Table1[[#This Row],[Generation Cost 
LCOE (USD/MWh)]]+Table1[[#This Row],[Transmission Cost
LCOT (USD/MWh)]]</f>
        <v>139.98813303</v>
      </c>
    </row>
    <row r="329" spans="1:25" x14ac:dyDescent="0.3">
      <c r="A329" s="7">
        <v>328</v>
      </c>
      <c r="B329" s="8">
        <v>5398</v>
      </c>
      <c r="C329" s="9">
        <v>48.750594999999997</v>
      </c>
      <c r="D329" s="9">
        <v>-115.43891000000001</v>
      </c>
      <c r="E329" s="10" t="s">
        <v>42</v>
      </c>
      <c r="F329" s="10" t="s">
        <v>3</v>
      </c>
      <c r="G329" s="10" t="s">
        <v>27</v>
      </c>
      <c r="H329" s="10">
        <v>-7</v>
      </c>
      <c r="I329" s="11">
        <v>1262</v>
      </c>
      <c r="J329" s="11">
        <v>3.4774639999999999</v>
      </c>
      <c r="K329" s="11" t="str">
        <f>IF(Table1[[#This Row],[Solar 
Resource]]&lt;3,"Low", IF(Table1[[#This Row],[Solar 
Resource]]&lt;4, "Moderate","High"))</f>
        <v>Moderate</v>
      </c>
      <c r="L329" s="11">
        <v>0.98403839999999998</v>
      </c>
      <c r="M329" s="11">
        <v>0.15778799600000001</v>
      </c>
      <c r="N329" s="11">
        <v>5.0633457990000004</v>
      </c>
      <c r="O329" s="11">
        <v>6.7848838410000001</v>
      </c>
      <c r="P329" s="11">
        <f>Table1[[#This Row],[Installed Capacity 
(AC -MW)]]/Table1[[#This Row],[Installed Capacity 
(DC -MW)]]</f>
        <v>0.74626860498377101</v>
      </c>
      <c r="Q329" s="12">
        <v>0.20314616999999999</v>
      </c>
      <c r="R329" s="12">
        <v>0.15160162999999999</v>
      </c>
      <c r="S329" s="13">
        <v>62.771000520000001</v>
      </c>
      <c r="T329" s="11">
        <v>47.356727239999998</v>
      </c>
      <c r="U329" s="11">
        <v>293.43996090000002</v>
      </c>
      <c r="V329" s="13">
        <v>1211180.9369999999</v>
      </c>
      <c r="W329" s="13">
        <v>1672703.9</v>
      </c>
      <c r="X329" s="13">
        <v>76.04222</v>
      </c>
      <c r="Y329" s="14">
        <f>+Table1[[#This Row],[Generation Cost 
LCOE (USD/MWh)]]+Table1[[#This Row],[Transmission Cost
LCOT (USD/MWh)]]</f>
        <v>138.81322052000002</v>
      </c>
    </row>
    <row r="330" spans="1:25" x14ac:dyDescent="0.3">
      <c r="A330" s="7">
        <v>329</v>
      </c>
      <c r="B330" s="8">
        <v>5399</v>
      </c>
      <c r="C330" s="9">
        <v>48.770443</v>
      </c>
      <c r="D330" s="9">
        <v>-115.27652999999999</v>
      </c>
      <c r="E330" s="10" t="s">
        <v>42</v>
      </c>
      <c r="F330" s="10" t="s">
        <v>3</v>
      </c>
      <c r="G330" s="10" t="s">
        <v>27</v>
      </c>
      <c r="H330" s="10">
        <v>-7</v>
      </c>
      <c r="I330" s="11">
        <v>1232.5714290000001</v>
      </c>
      <c r="J330" s="11">
        <v>3.5157747000000001</v>
      </c>
      <c r="K330" s="11" t="str">
        <f>IF(Table1[[#This Row],[Solar 
Resource]]&lt;3,"Low", IF(Table1[[#This Row],[Solar 
Resource]]&lt;4, "Moderate","High"))</f>
        <v>Moderate</v>
      </c>
      <c r="L330" s="11">
        <v>0.98417639999999995</v>
      </c>
      <c r="M330" s="11">
        <v>0.202824007</v>
      </c>
      <c r="N330" s="11">
        <v>6.5085303569999997</v>
      </c>
      <c r="O330" s="11">
        <v>8.7214323189999998</v>
      </c>
      <c r="P330" s="11">
        <f>Table1[[#This Row],[Installed Capacity 
(AC -MW)]]/Table1[[#This Row],[Installed Capacity 
(DC -MW)]]</f>
        <v>0.74626851633313696</v>
      </c>
      <c r="Q330" s="12">
        <v>0.20421658000000001</v>
      </c>
      <c r="R330" s="12">
        <v>0.15240044999999999</v>
      </c>
      <c r="S330" s="13">
        <v>60.709614600000002</v>
      </c>
      <c r="T330" s="11">
        <v>38.826370109999999</v>
      </c>
      <c r="U330" s="11">
        <v>277.9694609</v>
      </c>
      <c r="V330" s="13">
        <v>1119163.2320000001</v>
      </c>
      <c r="W330" s="13">
        <v>1452881.5</v>
      </c>
      <c r="X330" s="13">
        <v>65.702759999999998</v>
      </c>
      <c r="Y330" s="14">
        <f>+Table1[[#This Row],[Generation Cost 
LCOE (USD/MWh)]]+Table1[[#This Row],[Transmission Cost
LCOT (USD/MWh)]]</f>
        <v>126.41237459999999</v>
      </c>
    </row>
    <row r="331" spans="1:25" x14ac:dyDescent="0.3">
      <c r="A331" s="7">
        <v>330</v>
      </c>
      <c r="B331" s="8">
        <v>5400</v>
      </c>
      <c r="C331" s="9">
        <v>48.790126999999998</v>
      </c>
      <c r="D331" s="9">
        <v>-115.11402</v>
      </c>
      <c r="E331" s="10" t="s">
        <v>42</v>
      </c>
      <c r="F331" s="10" t="s">
        <v>3</v>
      </c>
      <c r="G331" s="10" t="s">
        <v>27</v>
      </c>
      <c r="H331" s="10">
        <v>-7</v>
      </c>
      <c r="I331" s="11">
        <v>1139.7142859999999</v>
      </c>
      <c r="J331" s="11">
        <v>3.5090281999999999</v>
      </c>
      <c r="K331" s="11" t="str">
        <f>IF(Table1[[#This Row],[Solar 
Resource]]&lt;3,"Low", IF(Table1[[#This Row],[Solar 
Resource]]&lt;4, "Moderate","High"))</f>
        <v>Moderate</v>
      </c>
      <c r="L331" s="11">
        <v>0.98435664</v>
      </c>
      <c r="M331" s="11">
        <v>12.254327050000001</v>
      </c>
      <c r="N331" s="11">
        <v>393.23584080000001</v>
      </c>
      <c r="O331" s="11">
        <v>526.93606320000004</v>
      </c>
      <c r="P331" s="11">
        <f>Table1[[#This Row],[Installed Capacity 
(AC -MW)]]/Table1[[#This Row],[Installed Capacity 
(DC -MW)]]</f>
        <v>0.74626860498395275</v>
      </c>
      <c r="Q331" s="12">
        <v>0.20392504</v>
      </c>
      <c r="R331" s="12">
        <v>0.15218287999999999</v>
      </c>
      <c r="S331" s="13">
        <v>46.94924623</v>
      </c>
      <c r="T331" s="11">
        <v>25.784318160000002</v>
      </c>
      <c r="U331" s="11">
        <v>277.9694609</v>
      </c>
      <c r="V331" s="13">
        <v>1119163.2320000001</v>
      </c>
      <c r="W331" s="13">
        <v>1343594.5</v>
      </c>
      <c r="X331" s="13">
        <v>60.847403999999997</v>
      </c>
      <c r="Y331" s="14">
        <f>+Table1[[#This Row],[Generation Cost 
LCOE (USD/MWh)]]+Table1[[#This Row],[Transmission Cost
LCOT (USD/MWh)]]</f>
        <v>107.79665023</v>
      </c>
    </row>
    <row r="332" spans="1:25" x14ac:dyDescent="0.3">
      <c r="A332" s="7">
        <v>331</v>
      </c>
      <c r="B332" s="8">
        <v>5401</v>
      </c>
      <c r="C332" s="9">
        <v>48.809646999999998</v>
      </c>
      <c r="D332" s="9">
        <v>-114.95140000000001</v>
      </c>
      <c r="E332" s="10" t="s">
        <v>42</v>
      </c>
      <c r="F332" s="10" t="s">
        <v>3</v>
      </c>
      <c r="G332" s="10" t="s">
        <v>27</v>
      </c>
      <c r="H332" s="10">
        <v>-7</v>
      </c>
      <c r="I332" s="11">
        <v>970.1333333</v>
      </c>
      <c r="J332" s="11">
        <v>3.3820386</v>
      </c>
      <c r="K332" s="11" t="str">
        <f>IF(Table1[[#This Row],[Solar 
Resource]]&lt;3,"Low", IF(Table1[[#This Row],[Solar 
Resource]]&lt;4, "Moderate","High"))</f>
        <v>Moderate</v>
      </c>
      <c r="L332" s="11">
        <v>0.98441380000000001</v>
      </c>
      <c r="M332" s="11">
        <v>43.128691259999997</v>
      </c>
      <c r="N332" s="11">
        <v>1383.9802950000001</v>
      </c>
      <c r="O332" s="11">
        <v>1854.5337239999999</v>
      </c>
      <c r="P332" s="11">
        <f>Table1[[#This Row],[Installed Capacity 
(AC -MW)]]/Table1[[#This Row],[Installed Capacity 
(DC -MW)]]</f>
        <v>0.74626860492724056</v>
      </c>
      <c r="Q332" s="12">
        <v>0.19405755</v>
      </c>
      <c r="R332" s="12">
        <v>0.14481907999999999</v>
      </c>
      <c r="S332" s="13">
        <v>49.338791290000003</v>
      </c>
      <c r="T332" s="11">
        <v>15.407636350000001</v>
      </c>
      <c r="U332" s="11">
        <v>277.9694609</v>
      </c>
      <c r="V332" s="13">
        <v>1119163.2320000001</v>
      </c>
      <c r="W332" s="13">
        <v>1248522.3999999999</v>
      </c>
      <c r="X332" s="13">
        <v>59.416927000000001</v>
      </c>
      <c r="Y332" s="14">
        <f>+Table1[[#This Row],[Generation Cost 
LCOE (USD/MWh)]]+Table1[[#This Row],[Transmission Cost
LCOT (USD/MWh)]]</f>
        <v>108.75571829</v>
      </c>
    </row>
    <row r="333" spans="1:25" x14ac:dyDescent="0.3">
      <c r="A333" s="7">
        <v>332</v>
      </c>
      <c r="B333" s="8">
        <v>5402</v>
      </c>
      <c r="C333" s="9">
        <v>48.829006</v>
      </c>
      <c r="D333" s="9">
        <v>-114.78868</v>
      </c>
      <c r="E333" s="10" t="s">
        <v>42</v>
      </c>
      <c r="F333" s="10" t="s">
        <v>3</v>
      </c>
      <c r="G333" s="10" t="s">
        <v>27</v>
      </c>
      <c r="H333" s="10">
        <v>-7</v>
      </c>
      <c r="I333" s="11">
        <v>1196</v>
      </c>
      <c r="J333" s="11">
        <v>3.3130000000000002</v>
      </c>
      <c r="K333" s="11" t="str">
        <f>IF(Table1[[#This Row],[Solar 
Resource]]&lt;3,"Low", IF(Table1[[#This Row],[Solar 
Resource]]&lt;4, "Moderate","High"))</f>
        <v>Moderate</v>
      </c>
      <c r="L333" s="11">
        <v>0.98142563999999999</v>
      </c>
      <c r="M333" s="11">
        <v>5.6376000000000002E-2</v>
      </c>
      <c r="N333" s="11">
        <v>1.8090804819999999</v>
      </c>
      <c r="O333" s="11">
        <v>2.4241680130000001</v>
      </c>
      <c r="P333" s="11">
        <f>Table1[[#This Row],[Installed Capacity 
(AC -MW)]]/Table1[[#This Row],[Installed Capacity 
(DC -MW)]]</f>
        <v>0.74626860526931638</v>
      </c>
      <c r="Q333" s="12">
        <v>0.19052646000000001</v>
      </c>
      <c r="R333" s="12">
        <v>0.14218392999999999</v>
      </c>
      <c r="S333" s="13">
        <v>75.09337644</v>
      </c>
      <c r="T333" s="11">
        <v>19.48057141</v>
      </c>
      <c r="U333" s="11">
        <v>277.9694609</v>
      </c>
      <c r="V333" s="13">
        <v>1119163.2320000001</v>
      </c>
      <c r="W333" s="13">
        <v>1320627.6000000001</v>
      </c>
      <c r="X333" s="13">
        <v>64.013199999999998</v>
      </c>
      <c r="Y333" s="14">
        <f>+Table1[[#This Row],[Generation Cost 
LCOE (USD/MWh)]]+Table1[[#This Row],[Transmission Cost
LCOT (USD/MWh)]]</f>
        <v>139.10657644</v>
      </c>
    </row>
    <row r="334" spans="1:25" x14ac:dyDescent="0.3">
      <c r="A334" s="7">
        <v>333</v>
      </c>
      <c r="B334" s="8">
        <v>5404</v>
      </c>
      <c r="C334" s="9">
        <v>48.867226000000002</v>
      </c>
      <c r="D334" s="9">
        <v>-114.46289</v>
      </c>
      <c r="E334" s="10" t="s">
        <v>42</v>
      </c>
      <c r="F334" s="10" t="s">
        <v>3</v>
      </c>
      <c r="G334" s="10" t="s">
        <v>15</v>
      </c>
      <c r="H334" s="10">
        <v>-7</v>
      </c>
      <c r="I334" s="11">
        <v>1269.4000000000001</v>
      </c>
      <c r="J334" s="11">
        <v>3.4131236</v>
      </c>
      <c r="K334" s="11" t="str">
        <f>IF(Table1[[#This Row],[Solar 
Resource]]&lt;3,"Low", IF(Table1[[#This Row],[Solar 
Resource]]&lt;4, "Moderate","High"))</f>
        <v>Moderate</v>
      </c>
      <c r="L334" s="11">
        <v>0.98145150000000003</v>
      </c>
      <c r="M334" s="11">
        <v>6.9280920589999999</v>
      </c>
      <c r="N334" s="11">
        <v>222.31938310000001</v>
      </c>
      <c r="O334" s="11">
        <v>297.90795859999997</v>
      </c>
      <c r="P334" s="11">
        <f>Table1[[#This Row],[Installed Capacity 
(AC -MW)]]/Table1[[#This Row],[Installed Capacity 
(DC -MW)]]</f>
        <v>0.74626869367564463</v>
      </c>
      <c r="Q334" s="12">
        <v>0.19706415999999999</v>
      </c>
      <c r="R334" s="12">
        <v>0.14706279999999999</v>
      </c>
      <c r="S334" s="13">
        <v>48.47119721</v>
      </c>
      <c r="T334" s="11">
        <v>38.073935030000001</v>
      </c>
      <c r="U334" s="11">
        <v>271.89468820000002</v>
      </c>
      <c r="V334" s="13">
        <v>1084734.3330000001</v>
      </c>
      <c r="W334" s="13">
        <v>1469621.6</v>
      </c>
      <c r="X334" s="13">
        <v>68.871930000000006</v>
      </c>
      <c r="Y334" s="14">
        <f>+Table1[[#This Row],[Generation Cost 
LCOE (USD/MWh)]]+Table1[[#This Row],[Transmission Cost
LCOT (USD/MWh)]]</f>
        <v>117.34312721000001</v>
      </c>
    </row>
    <row r="335" spans="1:25" x14ac:dyDescent="0.3">
      <c r="A335" s="7">
        <v>334</v>
      </c>
      <c r="B335" s="8">
        <v>5405</v>
      </c>
      <c r="C335" s="9">
        <v>48.886090000000003</v>
      </c>
      <c r="D335" s="9">
        <v>-114.29982</v>
      </c>
      <c r="E335" s="10" t="s">
        <v>42</v>
      </c>
      <c r="F335" s="10" t="s">
        <v>3</v>
      </c>
      <c r="G335" s="10" t="s">
        <v>15</v>
      </c>
      <c r="H335" s="10">
        <v>-7</v>
      </c>
      <c r="I335" s="11">
        <v>1186.333333</v>
      </c>
      <c r="J335" s="11">
        <v>3.4007947000000001</v>
      </c>
      <c r="K335" s="11" t="str">
        <f>IF(Table1[[#This Row],[Solar 
Resource]]&lt;3,"Low", IF(Table1[[#This Row],[Solar 
Resource]]&lt;4, "Moderate","High"))</f>
        <v>Moderate</v>
      </c>
      <c r="L335" s="11">
        <v>0.98146146999999995</v>
      </c>
      <c r="M335" s="11">
        <v>2.3311799010000001</v>
      </c>
      <c r="N335" s="11">
        <v>74.80652293</v>
      </c>
      <c r="O335" s="11">
        <v>100.2407357</v>
      </c>
      <c r="P335" s="11">
        <f>Table1[[#This Row],[Installed Capacity 
(AC -MW)]]/Table1[[#This Row],[Installed Capacity 
(DC -MW)]]</f>
        <v>0.74626869413529251</v>
      </c>
      <c r="Q335" s="12">
        <v>0.19595660000000001</v>
      </c>
      <c r="R335" s="12">
        <v>0.14623627</v>
      </c>
      <c r="S335" s="13">
        <v>48.745541969999998</v>
      </c>
      <c r="T335" s="11">
        <v>50.583480479999999</v>
      </c>
      <c r="U335" s="11">
        <v>256.31235049999998</v>
      </c>
      <c r="V335" s="13">
        <v>994259.30619999999</v>
      </c>
      <c r="W335" s="13">
        <v>1494335.2</v>
      </c>
      <c r="X335" s="13">
        <v>70.425929999999994</v>
      </c>
      <c r="Y335" s="14">
        <f>+Table1[[#This Row],[Generation Cost 
LCOE (USD/MWh)]]+Table1[[#This Row],[Transmission Cost
LCOT (USD/MWh)]]</f>
        <v>119.17147197</v>
      </c>
    </row>
    <row r="336" spans="1:25" x14ac:dyDescent="0.3">
      <c r="A336" s="7">
        <v>335</v>
      </c>
      <c r="B336" s="8">
        <v>5409</v>
      </c>
      <c r="C336" s="9">
        <v>48.959899999999998</v>
      </c>
      <c r="D336" s="9">
        <v>-113.646484</v>
      </c>
      <c r="E336" s="10" t="s">
        <v>42</v>
      </c>
      <c r="F336" s="10" t="s">
        <v>3</v>
      </c>
      <c r="G336" s="10" t="s">
        <v>16</v>
      </c>
      <c r="H336" s="10">
        <v>-7</v>
      </c>
      <c r="I336" s="11">
        <v>1707.6</v>
      </c>
      <c r="J336" s="11">
        <v>3.6546047000000002</v>
      </c>
      <c r="K336" s="11" t="str">
        <f>IF(Table1[[#This Row],[Solar 
Resource]]&lt;3,"Low", IF(Table1[[#This Row],[Solar 
Resource]]&lt;4, "Moderate","High"))</f>
        <v>Moderate</v>
      </c>
      <c r="L336" s="11">
        <v>0.98153800000000002</v>
      </c>
      <c r="M336" s="11">
        <v>4.3127640200000004</v>
      </c>
      <c r="N336" s="11">
        <v>138.39465670000001</v>
      </c>
      <c r="O336" s="11">
        <v>185.44885289999999</v>
      </c>
      <c r="P336" s="11">
        <f>Table1[[#This Row],[Installed Capacity 
(AC -MW)]]/Table1[[#This Row],[Installed Capacity 
(DC -MW)]]</f>
        <v>0.74626860471672418</v>
      </c>
      <c r="Q336" s="12">
        <v>0.22051974999999999</v>
      </c>
      <c r="R336" s="12">
        <v>0.16456698</v>
      </c>
      <c r="S336" s="13">
        <v>43.318545579999999</v>
      </c>
      <c r="T336" s="11">
        <v>28.477922060000001</v>
      </c>
      <c r="U336" s="11">
        <v>291.48444790000002</v>
      </c>
      <c r="V336" s="13">
        <v>795282.28289999999</v>
      </c>
      <c r="W336" s="13">
        <v>1048441.25</v>
      </c>
      <c r="X336" s="13">
        <v>43.907733999999998</v>
      </c>
      <c r="Y336" s="14">
        <f>+Table1[[#This Row],[Generation Cost 
LCOE (USD/MWh)]]+Table1[[#This Row],[Transmission Cost
LCOT (USD/MWh)]]</f>
        <v>87.226279579999996</v>
      </c>
    </row>
    <row r="337" spans="1:25" x14ac:dyDescent="0.3">
      <c r="A337" s="7">
        <v>336</v>
      </c>
      <c r="B337" s="8">
        <v>5410</v>
      </c>
      <c r="C337" s="9">
        <v>48.977936</v>
      </c>
      <c r="D337" s="9">
        <v>-113.48287999999999</v>
      </c>
      <c r="E337" s="10" t="s">
        <v>42</v>
      </c>
      <c r="F337" s="10" t="s">
        <v>3</v>
      </c>
      <c r="G337" s="10" t="s">
        <v>16</v>
      </c>
      <c r="H337" s="10">
        <v>-7</v>
      </c>
      <c r="I337" s="11">
        <v>1522.727273</v>
      </c>
      <c r="J337" s="11">
        <v>3.6737301000000002</v>
      </c>
      <c r="K337" s="11" t="str">
        <f>IF(Table1[[#This Row],[Solar 
Resource]]&lt;3,"Low", IF(Table1[[#This Row],[Solar 
Resource]]&lt;4, "Moderate","High"))</f>
        <v>Moderate</v>
      </c>
      <c r="L337" s="11">
        <v>0.98157139999999998</v>
      </c>
      <c r="M337" s="11">
        <v>39.098700000000001</v>
      </c>
      <c r="N337" s="11">
        <v>1254.6596890000001</v>
      </c>
      <c r="O337" s="11">
        <v>1681.2440999999999</v>
      </c>
      <c r="P337" s="11">
        <f>Table1[[#This Row],[Installed Capacity 
(AC -MW)]]/Table1[[#This Row],[Installed Capacity 
(DC -MW)]]</f>
        <v>0.74626860489800395</v>
      </c>
      <c r="Q337" s="12">
        <v>0.22279428000000001</v>
      </c>
      <c r="R337" s="12">
        <v>0.16626440000000001</v>
      </c>
      <c r="S337" s="13">
        <v>42.877446480000003</v>
      </c>
      <c r="T337" s="11">
        <v>21.112266219999999</v>
      </c>
      <c r="U337" s="11">
        <v>291.48444790000002</v>
      </c>
      <c r="V337" s="13">
        <v>795282.28289999999</v>
      </c>
      <c r="W337" s="13">
        <v>949387.7</v>
      </c>
      <c r="X337" s="13">
        <v>39.353554000000003</v>
      </c>
      <c r="Y337" s="14">
        <f>+Table1[[#This Row],[Generation Cost 
LCOE (USD/MWh)]]+Table1[[#This Row],[Transmission Cost
LCOT (USD/MWh)]]</f>
        <v>82.231000480000006</v>
      </c>
    </row>
    <row r="338" spans="1:25" x14ac:dyDescent="0.3">
      <c r="A338" s="7">
        <v>337</v>
      </c>
      <c r="B338" s="8">
        <v>5411</v>
      </c>
      <c r="C338" s="9">
        <v>48.995809999999999</v>
      </c>
      <c r="D338" s="9">
        <v>-113.31917</v>
      </c>
      <c r="E338" s="10" t="s">
        <v>42</v>
      </c>
      <c r="F338" s="10" t="s">
        <v>3</v>
      </c>
      <c r="G338" s="10" t="s">
        <v>16</v>
      </c>
      <c r="H338" s="10">
        <v>-7</v>
      </c>
      <c r="I338" s="11">
        <v>1407.8888890000001</v>
      </c>
      <c r="J338" s="11">
        <v>3.6556864</v>
      </c>
      <c r="K338" s="11" t="str">
        <f>IF(Table1[[#This Row],[Solar 
Resource]]&lt;3,"Low", IF(Table1[[#This Row],[Solar 
Resource]]&lt;4, "Moderate","High"))</f>
        <v>Moderate</v>
      </c>
      <c r="L338" s="11">
        <v>0.98159724000000004</v>
      </c>
      <c r="M338" s="11">
        <v>28.45141216</v>
      </c>
      <c r="N338" s="11">
        <v>912.99290499999995</v>
      </c>
      <c r="O338" s="11">
        <v>1223.410723</v>
      </c>
      <c r="P338" s="11">
        <f>Table1[[#This Row],[Installed Capacity 
(AC -MW)]]/Table1[[#This Row],[Installed Capacity 
(DC -MW)]]</f>
        <v>0.74626851623565504</v>
      </c>
      <c r="Q338" s="12">
        <v>0.22323277999999999</v>
      </c>
      <c r="R338" s="12">
        <v>0.16659162999999999</v>
      </c>
      <c r="S338" s="13">
        <v>42.794115339999998</v>
      </c>
      <c r="T338" s="11">
        <v>17.560142849999998</v>
      </c>
      <c r="U338" s="11">
        <v>283.56709719999998</v>
      </c>
      <c r="V338" s="13">
        <v>767152.33550000004</v>
      </c>
      <c r="W338" s="13">
        <v>903386.3</v>
      </c>
      <c r="X338" s="13">
        <v>37.373173000000001</v>
      </c>
      <c r="Y338" s="14">
        <f>+Table1[[#This Row],[Generation Cost 
LCOE (USD/MWh)]]+Table1[[#This Row],[Transmission Cost
LCOT (USD/MWh)]]</f>
        <v>80.167288339999999</v>
      </c>
    </row>
    <row r="339" spans="1:25" x14ac:dyDescent="0.3">
      <c r="A339" s="7">
        <v>338</v>
      </c>
      <c r="B339" s="8">
        <v>5723</v>
      </c>
      <c r="C339" s="9">
        <v>47.319583999999999</v>
      </c>
      <c r="D339" s="9">
        <v>-124.12335</v>
      </c>
      <c r="E339" s="10" t="s">
        <v>42</v>
      </c>
      <c r="F339" s="10" t="s">
        <v>4</v>
      </c>
      <c r="G339" s="10" t="s">
        <v>18</v>
      </c>
      <c r="H339" s="10">
        <v>-8</v>
      </c>
      <c r="I339" s="11">
        <v>85.473684210000002</v>
      </c>
      <c r="J339" s="11">
        <v>3.1586344</v>
      </c>
      <c r="K339" s="11" t="str">
        <f>IF(Table1[[#This Row],[Solar 
Resource]]&lt;3,"Low", IF(Table1[[#This Row],[Solar 
Resource]]&lt;4, "Moderate","High"))</f>
        <v>Moderate</v>
      </c>
      <c r="L339" s="11">
        <v>1.0208492</v>
      </c>
      <c r="M339" s="11">
        <v>87.884351370000005</v>
      </c>
      <c r="N339" s="11">
        <v>2820.1692889999999</v>
      </c>
      <c r="O339" s="11">
        <v>3779.0271090000001</v>
      </c>
      <c r="P339" s="11">
        <f>Table1[[#This Row],[Installed Capacity 
(AC -MW)]]/Table1[[#This Row],[Installed Capacity 
(DC -MW)]]</f>
        <v>0.74626860502894576</v>
      </c>
      <c r="Q339" s="12">
        <v>0.18396652999999999</v>
      </c>
      <c r="R339" s="12">
        <v>0.13728845000000001</v>
      </c>
      <c r="S339" s="13">
        <v>53.558141759999998</v>
      </c>
      <c r="T339" s="11">
        <v>17.966012970000001</v>
      </c>
      <c r="U339" s="11">
        <v>271.5044479</v>
      </c>
      <c r="V339" s="13">
        <v>949583.45409999997</v>
      </c>
      <c r="W339" s="13">
        <v>1087684.5</v>
      </c>
      <c r="X339" s="13">
        <v>54.601993999999998</v>
      </c>
      <c r="Y339" s="14">
        <f>+Table1[[#This Row],[Generation Cost 
LCOE (USD/MWh)]]+Table1[[#This Row],[Transmission Cost
LCOT (USD/MWh)]]</f>
        <v>108.16013576</v>
      </c>
    </row>
    <row r="340" spans="1:25" x14ac:dyDescent="0.3">
      <c r="A340" s="7">
        <v>339</v>
      </c>
      <c r="B340" s="8">
        <v>5724</v>
      </c>
      <c r="C340" s="9">
        <v>47.348059999999997</v>
      </c>
      <c r="D340" s="9">
        <v>-123.96867</v>
      </c>
      <c r="E340" s="10" t="s">
        <v>42</v>
      </c>
      <c r="F340" s="10" t="s">
        <v>4</v>
      </c>
      <c r="G340" s="10" t="s">
        <v>18</v>
      </c>
      <c r="H340" s="10">
        <v>-8</v>
      </c>
      <c r="I340" s="11">
        <v>110.6111111</v>
      </c>
      <c r="J340" s="11">
        <v>3.1039789</v>
      </c>
      <c r="K340" s="11" t="str">
        <f>IF(Table1[[#This Row],[Solar 
Resource]]&lt;3,"Low", IF(Table1[[#This Row],[Solar 
Resource]]&lt;4, "Moderate","High"))</f>
        <v>Moderate</v>
      </c>
      <c r="L340" s="11">
        <v>1.0207516000000001</v>
      </c>
      <c r="M340" s="11">
        <v>71.576456840000006</v>
      </c>
      <c r="N340" s="11">
        <v>2296.8562919999999</v>
      </c>
      <c r="O340" s="11">
        <v>3077.787644</v>
      </c>
      <c r="P340" s="11">
        <f>Table1[[#This Row],[Installed Capacity 
(AC -MW)]]/Table1[[#This Row],[Installed Capacity 
(DC -MW)]]</f>
        <v>0.74626860513837323</v>
      </c>
      <c r="Q340" s="12">
        <v>0.17830461</v>
      </c>
      <c r="R340" s="12">
        <v>0.13306314999999999</v>
      </c>
      <c r="S340" s="13">
        <v>55.254655700000001</v>
      </c>
      <c r="T340" s="11">
        <v>11.24205194</v>
      </c>
      <c r="U340" s="11">
        <v>271.5044479</v>
      </c>
      <c r="V340" s="13">
        <v>949583.45409999997</v>
      </c>
      <c r="W340" s="13">
        <v>1059641.2</v>
      </c>
      <c r="X340" s="13">
        <v>54.883360000000003</v>
      </c>
      <c r="Y340" s="14">
        <f>+Table1[[#This Row],[Generation Cost 
LCOE (USD/MWh)]]+Table1[[#This Row],[Transmission Cost
LCOT (USD/MWh)]]</f>
        <v>110.13801570000001</v>
      </c>
    </row>
    <row r="341" spans="1:25" x14ac:dyDescent="0.3">
      <c r="A341" s="7">
        <v>340</v>
      </c>
      <c r="B341" s="8">
        <v>5725</v>
      </c>
      <c r="C341" s="9">
        <v>47.376390000000001</v>
      </c>
      <c r="D341" s="9">
        <v>-123.81384</v>
      </c>
      <c r="E341" s="10" t="s">
        <v>42</v>
      </c>
      <c r="F341" s="10" t="s">
        <v>4</v>
      </c>
      <c r="G341" s="10" t="s">
        <v>18</v>
      </c>
      <c r="H341" s="10">
        <v>-8</v>
      </c>
      <c r="I341" s="11">
        <v>247</v>
      </c>
      <c r="J341" s="11">
        <v>3.0818509999999999</v>
      </c>
      <c r="K341" s="11" t="str">
        <f>IF(Table1[[#This Row],[Solar 
Resource]]&lt;3,"Low", IF(Table1[[#This Row],[Solar 
Resource]]&lt;4, "Moderate","High"))</f>
        <v>Moderate</v>
      </c>
      <c r="L341" s="11">
        <v>1.0206838</v>
      </c>
      <c r="M341" s="11">
        <v>5.4717121579999999</v>
      </c>
      <c r="N341" s="11">
        <v>175.58478099999999</v>
      </c>
      <c r="O341" s="11">
        <v>235.28362279999999</v>
      </c>
      <c r="P341" s="11">
        <f>Table1[[#This Row],[Installed Capacity 
(AC -MW)]]/Table1[[#This Row],[Installed Capacity 
(DC -MW)]]</f>
        <v>0.74626860514322202</v>
      </c>
      <c r="Q341" s="12">
        <v>0.17547876000000001</v>
      </c>
      <c r="R341" s="12">
        <v>0.1309543</v>
      </c>
      <c r="S341" s="13">
        <v>56.14149742</v>
      </c>
      <c r="T341" s="11">
        <v>16.70601297</v>
      </c>
      <c r="U341" s="11">
        <v>271.5044479</v>
      </c>
      <c r="V341" s="13">
        <v>949583.45409999997</v>
      </c>
      <c r="W341" s="13">
        <v>1101759.8</v>
      </c>
      <c r="X341" s="13">
        <v>57.983809999999998</v>
      </c>
      <c r="Y341" s="14">
        <f>+Table1[[#This Row],[Generation Cost 
LCOE (USD/MWh)]]+Table1[[#This Row],[Transmission Cost
LCOT (USD/MWh)]]</f>
        <v>114.12530742</v>
      </c>
    </row>
    <row r="342" spans="1:25" x14ac:dyDescent="0.3">
      <c r="A342" s="7">
        <v>341</v>
      </c>
      <c r="B342" s="8">
        <v>5726</v>
      </c>
      <c r="C342" s="9">
        <v>47.404555999999999</v>
      </c>
      <c r="D342" s="9">
        <v>-123.65886</v>
      </c>
      <c r="E342" s="10" t="s">
        <v>42</v>
      </c>
      <c r="F342" s="10" t="s">
        <v>4</v>
      </c>
      <c r="G342" s="10" t="s">
        <v>18</v>
      </c>
      <c r="H342" s="10">
        <v>-8</v>
      </c>
      <c r="I342" s="11">
        <v>342.4</v>
      </c>
      <c r="J342" s="11">
        <v>3.1438486999999999</v>
      </c>
      <c r="K342" s="11" t="str">
        <f>IF(Table1[[#This Row],[Solar 
Resource]]&lt;3,"Low", IF(Table1[[#This Row],[Solar 
Resource]]&lt;4, "Moderate","High"))</f>
        <v>Moderate</v>
      </c>
      <c r="L342" s="11">
        <v>1.020651</v>
      </c>
      <c r="M342" s="11">
        <v>6.6342243160000001</v>
      </c>
      <c r="N342" s="11">
        <v>212.889273</v>
      </c>
      <c r="O342" s="11">
        <v>285.2716456</v>
      </c>
      <c r="P342" s="11">
        <f>Table1[[#This Row],[Installed Capacity 
(AC -MW)]]/Table1[[#This Row],[Installed Capacity 
(DC -MW)]]</f>
        <v>0.74626860497207437</v>
      </c>
      <c r="Q342" s="12">
        <v>0.18043718</v>
      </c>
      <c r="R342" s="12">
        <v>0.13465461000000001</v>
      </c>
      <c r="S342" s="13">
        <v>54.597341919999998</v>
      </c>
      <c r="T342" s="11">
        <v>27.109831150000002</v>
      </c>
      <c r="U342" s="11">
        <v>271.5044479</v>
      </c>
      <c r="V342" s="13">
        <v>949583.45409999997</v>
      </c>
      <c r="W342" s="13">
        <v>1211457.8999999999</v>
      </c>
      <c r="X342" s="13">
        <v>62.004997000000003</v>
      </c>
      <c r="Y342" s="14">
        <f>+Table1[[#This Row],[Generation Cost 
LCOE (USD/MWh)]]+Table1[[#This Row],[Transmission Cost
LCOT (USD/MWh)]]</f>
        <v>116.60233891999999</v>
      </c>
    </row>
    <row r="343" spans="1:25" x14ac:dyDescent="0.3">
      <c r="A343" s="7">
        <v>342</v>
      </c>
      <c r="B343" s="8">
        <v>5728</v>
      </c>
      <c r="C343" s="9">
        <v>47.460445</v>
      </c>
      <c r="D343" s="9">
        <v>-123.348434</v>
      </c>
      <c r="E343" s="10" t="s">
        <v>42</v>
      </c>
      <c r="F343" s="10" t="s">
        <v>4</v>
      </c>
      <c r="G343" s="10" t="s">
        <v>28</v>
      </c>
      <c r="H343" s="10">
        <v>-8</v>
      </c>
      <c r="I343" s="11">
        <v>517</v>
      </c>
      <c r="J343" s="11">
        <v>3.3080002999999998</v>
      </c>
      <c r="K343" s="11" t="str">
        <f>IF(Table1[[#This Row],[Solar 
Resource]]&lt;3,"Low", IF(Table1[[#This Row],[Solar 
Resource]]&lt;4, "Moderate","High"))</f>
        <v>Moderate</v>
      </c>
      <c r="L343" s="11">
        <v>1.0208024</v>
      </c>
      <c r="M343" s="11">
        <v>5.5079999999999999E-3</v>
      </c>
      <c r="N343" s="11">
        <v>0.176749243</v>
      </c>
      <c r="O343" s="11">
        <v>0.236844002</v>
      </c>
      <c r="P343" s="11">
        <f>Table1[[#This Row],[Installed Capacity 
(AC -MW)]]/Table1[[#This Row],[Installed Capacity 
(DC -MW)]]</f>
        <v>0.7462686051048909</v>
      </c>
      <c r="Q343" s="12">
        <v>0.19170825</v>
      </c>
      <c r="R343" s="12">
        <v>0.14306587000000001</v>
      </c>
      <c r="S343" s="13">
        <v>101.6113637</v>
      </c>
      <c r="T343" s="11">
        <v>16.51322077</v>
      </c>
      <c r="U343" s="11">
        <v>193.420896</v>
      </c>
      <c r="V343" s="13">
        <v>609422.67050000001</v>
      </c>
      <c r="W343" s="13">
        <v>757197.06</v>
      </c>
      <c r="X343" s="13">
        <v>36.476447999999998</v>
      </c>
      <c r="Y343" s="14">
        <f>+Table1[[#This Row],[Generation Cost 
LCOE (USD/MWh)]]+Table1[[#This Row],[Transmission Cost
LCOT (USD/MWh)]]</f>
        <v>138.0878117</v>
      </c>
    </row>
    <row r="344" spans="1:25" x14ac:dyDescent="0.3">
      <c r="A344" s="7">
        <v>343</v>
      </c>
      <c r="B344" s="8">
        <v>5729</v>
      </c>
      <c r="C344" s="9">
        <v>47.488160000000001</v>
      </c>
      <c r="D344" s="9">
        <v>-123.19298999999999</v>
      </c>
      <c r="E344" s="10" t="s">
        <v>42</v>
      </c>
      <c r="F344" s="10" t="s">
        <v>4</v>
      </c>
      <c r="G344" s="10" t="s">
        <v>28</v>
      </c>
      <c r="H344" s="10">
        <v>-8</v>
      </c>
      <c r="I344" s="11">
        <v>412.6</v>
      </c>
      <c r="J344" s="11">
        <v>3.2671399999999999</v>
      </c>
      <c r="K344" s="11" t="str">
        <f>IF(Table1[[#This Row],[Solar 
Resource]]&lt;3,"Low", IF(Table1[[#This Row],[Solar 
Resource]]&lt;4, "Moderate","High"))</f>
        <v>Moderate</v>
      </c>
      <c r="L344" s="11">
        <v>1.0208105999999999</v>
      </c>
      <c r="M344" s="11">
        <v>15.52737568</v>
      </c>
      <c r="N344" s="11">
        <v>498.26655790000001</v>
      </c>
      <c r="O344" s="11">
        <v>667.67715439999995</v>
      </c>
      <c r="P344" s="11">
        <f>Table1[[#This Row],[Installed Capacity 
(AC -MW)]]/Table1[[#This Row],[Installed Capacity 
(DC -MW)]]</f>
        <v>0.74626869380870353</v>
      </c>
      <c r="Q344" s="12">
        <v>0.18806571</v>
      </c>
      <c r="R344" s="12">
        <v>0.14034756000000001</v>
      </c>
      <c r="S344" s="13">
        <v>52.38917841</v>
      </c>
      <c r="T344" s="11">
        <v>5.2674220739999997</v>
      </c>
      <c r="U344" s="11">
        <v>207.2431622</v>
      </c>
      <c r="V344" s="13">
        <v>655676.57889999996</v>
      </c>
      <c r="W344" s="13">
        <v>742498.5</v>
      </c>
      <c r="X344" s="13">
        <v>36.461150000000004</v>
      </c>
      <c r="Y344" s="14">
        <f>+Table1[[#This Row],[Generation Cost 
LCOE (USD/MWh)]]+Table1[[#This Row],[Transmission Cost
LCOT (USD/MWh)]]</f>
        <v>88.850328410000003</v>
      </c>
    </row>
    <row r="345" spans="1:25" x14ac:dyDescent="0.3">
      <c r="A345" s="7">
        <v>344</v>
      </c>
      <c r="B345" s="8">
        <v>5731</v>
      </c>
      <c r="C345" s="9">
        <v>47.543132999999997</v>
      </c>
      <c r="D345" s="9">
        <v>-122.88164999999999</v>
      </c>
      <c r="E345" s="10" t="s">
        <v>42</v>
      </c>
      <c r="F345" s="10" t="s">
        <v>4</v>
      </c>
      <c r="G345" s="10" t="s">
        <v>23</v>
      </c>
      <c r="H345" s="10">
        <v>-8</v>
      </c>
      <c r="I345" s="11">
        <v>161.11111109999999</v>
      </c>
      <c r="J345" s="11">
        <v>3.2770402000000001</v>
      </c>
      <c r="K345" s="11" t="str">
        <f>IF(Table1[[#This Row],[Solar 
Resource]]&lt;3,"Low", IF(Table1[[#This Row],[Solar 
Resource]]&lt;4, "Moderate","High"))</f>
        <v>Moderate</v>
      </c>
      <c r="L345" s="11">
        <v>1.0210281999999999</v>
      </c>
      <c r="M345" s="11">
        <v>52.030516110000001</v>
      </c>
      <c r="N345" s="11">
        <v>1669.6356510000001</v>
      </c>
      <c r="O345" s="11">
        <v>2237.3121930000002</v>
      </c>
      <c r="P345" s="11">
        <f>Table1[[#This Row],[Installed Capacity 
(AC -MW)]]/Table1[[#This Row],[Installed Capacity 
(DC -MW)]]</f>
        <v>0.74626851640279779</v>
      </c>
      <c r="Q345" s="12">
        <v>0.18623175</v>
      </c>
      <c r="R345" s="12">
        <v>0.13897891000000001</v>
      </c>
      <c r="S345" s="13">
        <v>52.91402231</v>
      </c>
      <c r="T345" s="11">
        <v>16.674032459999999</v>
      </c>
      <c r="U345" s="11">
        <v>203.75125310000001</v>
      </c>
      <c r="V345" s="13">
        <v>653289.25870000001</v>
      </c>
      <c r="W345" s="13">
        <v>774214.06</v>
      </c>
      <c r="X345" s="13">
        <v>38.392975</v>
      </c>
      <c r="Y345" s="14">
        <f>+Table1[[#This Row],[Generation Cost 
LCOE (USD/MWh)]]+Table1[[#This Row],[Transmission Cost
LCOT (USD/MWh)]]</f>
        <v>91.30699731</v>
      </c>
    </row>
    <row r="346" spans="1:25" x14ac:dyDescent="0.3">
      <c r="A346" s="7">
        <v>345</v>
      </c>
      <c r="B346" s="8">
        <v>5732</v>
      </c>
      <c r="C346" s="9">
        <v>47.570390000000003</v>
      </c>
      <c r="D346" s="9">
        <v>-122.72577</v>
      </c>
      <c r="E346" s="10" t="s">
        <v>42</v>
      </c>
      <c r="F346" s="10" t="s">
        <v>4</v>
      </c>
      <c r="G346" s="10" t="s">
        <v>23</v>
      </c>
      <c r="H346" s="10">
        <v>-8</v>
      </c>
      <c r="I346" s="11">
        <v>137.92857140000001</v>
      </c>
      <c r="J346" s="11">
        <v>3.2889971999999998</v>
      </c>
      <c r="K346" s="11" t="str">
        <f>IF(Table1[[#This Row],[Solar 
Resource]]&lt;3,"Low", IF(Table1[[#This Row],[Solar 
Resource]]&lt;4, "Moderate","High"))</f>
        <v>Moderate</v>
      </c>
      <c r="L346" s="11">
        <v>1.021139</v>
      </c>
      <c r="M346" s="11">
        <v>15.14035745</v>
      </c>
      <c r="N346" s="11">
        <v>485.84731529999999</v>
      </c>
      <c r="O346" s="11">
        <v>651.03537019999999</v>
      </c>
      <c r="P346" s="11">
        <f>Table1[[#This Row],[Installed Capacity 
(AC -MW)]]/Table1[[#This Row],[Installed Capacity 
(DC -MW)]]</f>
        <v>0.74626869374354621</v>
      </c>
      <c r="Q346" s="12">
        <v>0.18917510000000001</v>
      </c>
      <c r="R346" s="12">
        <v>0.14117542999999999</v>
      </c>
      <c r="S346" s="13">
        <v>52.09522235</v>
      </c>
      <c r="T346" s="11">
        <v>0.70455844099999998</v>
      </c>
      <c r="U346" s="11">
        <v>227.39366219999999</v>
      </c>
      <c r="V346" s="13">
        <v>746716.15040000004</v>
      </c>
      <c r="W346" s="13">
        <v>791903.7</v>
      </c>
      <c r="X346" s="13">
        <v>38.659194999999997</v>
      </c>
      <c r="Y346" s="14">
        <f>+Table1[[#This Row],[Generation Cost 
LCOE (USD/MWh)]]+Table1[[#This Row],[Transmission Cost
LCOT (USD/MWh)]]</f>
        <v>90.754417349999997</v>
      </c>
    </row>
    <row r="347" spans="1:25" x14ac:dyDescent="0.3">
      <c r="A347" s="7">
        <v>346</v>
      </c>
      <c r="B347" s="8">
        <v>5733</v>
      </c>
      <c r="C347" s="9">
        <v>47.597492000000003</v>
      </c>
      <c r="D347" s="9">
        <v>-122.56973000000001</v>
      </c>
      <c r="E347" s="10" t="s">
        <v>42</v>
      </c>
      <c r="F347" s="10" t="s">
        <v>4</v>
      </c>
      <c r="G347" s="10" t="s">
        <v>23</v>
      </c>
      <c r="H347" s="10">
        <v>-8</v>
      </c>
      <c r="I347" s="11">
        <v>50.125</v>
      </c>
      <c r="J347" s="11">
        <v>3.3071628</v>
      </c>
      <c r="K347" s="11" t="str">
        <f>IF(Table1[[#This Row],[Solar 
Resource]]&lt;3,"Low", IF(Table1[[#This Row],[Solar 
Resource]]&lt;4, "Moderate","High"))</f>
        <v>Moderate</v>
      </c>
      <c r="L347" s="11">
        <v>1.0212213000000001</v>
      </c>
      <c r="M347" s="11">
        <v>3.1709067630000001</v>
      </c>
      <c r="N347" s="11">
        <v>101.7529833</v>
      </c>
      <c r="O347" s="11">
        <v>136.3489908</v>
      </c>
      <c r="P347" s="11">
        <f>Table1[[#This Row],[Installed Capacity 
(AC -MW)]]/Table1[[#This Row],[Installed Capacity 
(DC -MW)]]</f>
        <v>0.74626869405475649</v>
      </c>
      <c r="Q347" s="12">
        <v>0.18974907999999999</v>
      </c>
      <c r="R347" s="12">
        <v>0.1416038</v>
      </c>
      <c r="S347" s="13">
        <v>51.940951099999999</v>
      </c>
      <c r="T347" s="11">
        <v>3.979188309</v>
      </c>
      <c r="U347" s="11">
        <v>276.78575960000001</v>
      </c>
      <c r="V347" s="13">
        <v>964315.01560000004</v>
      </c>
      <c r="W347" s="13">
        <v>1018719.4</v>
      </c>
      <c r="X347" s="13">
        <v>49.58146</v>
      </c>
      <c r="Y347" s="14">
        <f>+Table1[[#This Row],[Generation Cost 
LCOE (USD/MWh)]]+Table1[[#This Row],[Transmission Cost
LCOT (USD/MWh)]]</f>
        <v>101.5224111</v>
      </c>
    </row>
    <row r="348" spans="1:25" x14ac:dyDescent="0.3">
      <c r="A348" s="7">
        <v>347</v>
      </c>
      <c r="B348" s="8">
        <v>5734</v>
      </c>
      <c r="C348" s="9">
        <v>47.624442999999999</v>
      </c>
      <c r="D348" s="9">
        <v>-122.41354</v>
      </c>
      <c r="E348" s="10" t="s">
        <v>42</v>
      </c>
      <c r="F348" s="10" t="s">
        <v>4</v>
      </c>
      <c r="G348" s="10" t="s">
        <v>22</v>
      </c>
      <c r="H348" s="10">
        <v>-8</v>
      </c>
      <c r="I348" s="11">
        <v>47.142857139999997</v>
      </c>
      <c r="J348" s="11">
        <v>3.3895729000000001</v>
      </c>
      <c r="K348" s="11" t="str">
        <f>IF(Table1[[#This Row],[Solar 
Resource]]&lt;3,"Low", IF(Table1[[#This Row],[Solar 
Resource]]&lt;4, "Moderate","High"))</f>
        <v>Moderate</v>
      </c>
      <c r="L348" s="11">
        <v>1.0212996999999999</v>
      </c>
      <c r="M348" s="11">
        <v>0.55946699799999999</v>
      </c>
      <c r="N348" s="11">
        <v>17.953044200000001</v>
      </c>
      <c r="O348" s="11">
        <v>24.057080890000002</v>
      </c>
      <c r="P348" s="11">
        <f>Table1[[#This Row],[Installed Capacity 
(AC -MW)]]/Table1[[#This Row],[Installed Capacity 
(DC -MW)]]</f>
        <v>0.74626860515993387</v>
      </c>
      <c r="Q348" s="12">
        <v>0.19386682</v>
      </c>
      <c r="R348" s="12">
        <v>0.14467672000000001</v>
      </c>
      <c r="S348" s="13">
        <v>58.900229160000002</v>
      </c>
      <c r="T348" s="11">
        <v>5.2519805149999996</v>
      </c>
      <c r="U348" s="11">
        <v>8.1628636330000006</v>
      </c>
      <c r="V348" s="13">
        <v>33734.327799999999</v>
      </c>
      <c r="W348" s="13">
        <v>69891.88</v>
      </c>
      <c r="X348" s="13">
        <v>3.3294131999999999</v>
      </c>
      <c r="Y348" s="14">
        <f>+Table1[[#This Row],[Generation Cost 
LCOE (USD/MWh)]]+Table1[[#This Row],[Transmission Cost
LCOT (USD/MWh)]]</f>
        <v>62.22964236</v>
      </c>
    </row>
    <row r="349" spans="1:25" x14ac:dyDescent="0.3">
      <c r="A349" s="7">
        <v>348</v>
      </c>
      <c r="B349" s="8">
        <v>5735</v>
      </c>
      <c r="C349" s="9">
        <v>47.651237000000002</v>
      </c>
      <c r="D349" s="9">
        <v>-122.25721</v>
      </c>
      <c r="E349" s="10" t="s">
        <v>42</v>
      </c>
      <c r="F349" s="10" t="s">
        <v>4</v>
      </c>
      <c r="G349" s="10" t="s">
        <v>22</v>
      </c>
      <c r="H349" s="10">
        <v>-8</v>
      </c>
      <c r="I349" s="11">
        <v>57.866666670000001</v>
      </c>
      <c r="J349" s="11">
        <v>3.2548401</v>
      </c>
      <c r="K349" s="11" t="str">
        <f>IF(Table1[[#This Row],[Solar 
Resource]]&lt;3,"Low", IF(Table1[[#This Row],[Solar 
Resource]]&lt;4, "Moderate","High"))</f>
        <v>Moderate</v>
      </c>
      <c r="L349" s="11">
        <v>1.0212890999999999</v>
      </c>
      <c r="M349" s="11">
        <v>3.1826518620000002</v>
      </c>
      <c r="N349" s="11">
        <v>102.12987819999999</v>
      </c>
      <c r="O349" s="11">
        <v>136.85402999999999</v>
      </c>
      <c r="P349" s="11">
        <f>Table1[[#This Row],[Installed Capacity 
(AC -MW)]]/Table1[[#This Row],[Installed Capacity 
(DC -MW)]]</f>
        <v>0.74626869373156202</v>
      </c>
      <c r="Q349" s="12">
        <v>0.18529092</v>
      </c>
      <c r="R349" s="12">
        <v>0.13827681999999999</v>
      </c>
      <c r="S349" s="13">
        <v>53.193456419999997</v>
      </c>
      <c r="T349" s="11">
        <v>5.1710259709999997</v>
      </c>
      <c r="U349" s="11">
        <v>11.391168820000001</v>
      </c>
      <c r="V349" s="13">
        <v>53438.662980000001</v>
      </c>
      <c r="W349" s="13">
        <v>177400.62</v>
      </c>
      <c r="X349" s="13">
        <v>8.8418960000000002</v>
      </c>
      <c r="Y349" s="14">
        <f>+Table1[[#This Row],[Generation Cost 
LCOE (USD/MWh)]]+Table1[[#This Row],[Transmission Cost
LCOT (USD/MWh)]]</f>
        <v>62.035352419999995</v>
      </c>
    </row>
    <row r="350" spans="1:25" x14ac:dyDescent="0.3">
      <c r="A350" s="7">
        <v>349</v>
      </c>
      <c r="B350" s="8">
        <v>5736</v>
      </c>
      <c r="C350" s="9">
        <v>47.677880000000002</v>
      </c>
      <c r="D350" s="9">
        <v>-122.10074</v>
      </c>
      <c r="E350" s="10" t="s">
        <v>42</v>
      </c>
      <c r="F350" s="10" t="s">
        <v>4</v>
      </c>
      <c r="G350" s="10" t="s">
        <v>22</v>
      </c>
      <c r="H350" s="10">
        <v>-8</v>
      </c>
      <c r="I350" s="11">
        <v>89.166666669999998</v>
      </c>
      <c r="J350" s="11">
        <v>3.1389040000000001</v>
      </c>
      <c r="K350" s="11" t="str">
        <f>IF(Table1[[#This Row],[Solar 
Resource]]&lt;3,"Low", IF(Table1[[#This Row],[Solar 
Resource]]&lt;4, "Moderate","High"))</f>
        <v>Moderate</v>
      </c>
      <c r="L350" s="11">
        <v>1.0211878999999999</v>
      </c>
      <c r="M350" s="11">
        <v>12.01157029</v>
      </c>
      <c r="N350" s="11">
        <v>385.44593140000001</v>
      </c>
      <c r="O350" s="11">
        <v>516.49752239999998</v>
      </c>
      <c r="P350" s="11">
        <f>Table1[[#This Row],[Installed Capacity 
(AC -MW)]]/Table1[[#This Row],[Installed Capacity 
(DC -MW)]]</f>
        <v>0.74626869381474503</v>
      </c>
      <c r="Q350" s="12">
        <v>0.17677358000000001</v>
      </c>
      <c r="R350" s="12">
        <v>0.13192059</v>
      </c>
      <c r="S350" s="13">
        <v>55.752063720000002</v>
      </c>
      <c r="T350" s="11">
        <v>1.356396103</v>
      </c>
      <c r="U350" s="11">
        <v>48.892025949999997</v>
      </c>
      <c r="V350" s="13">
        <v>197601.63070000001</v>
      </c>
      <c r="W350" s="13">
        <v>225658.36</v>
      </c>
      <c r="X350" s="13">
        <v>11.7890415</v>
      </c>
      <c r="Y350" s="14">
        <f>+Table1[[#This Row],[Generation Cost 
LCOE (USD/MWh)]]+Table1[[#This Row],[Transmission Cost
LCOT (USD/MWh)]]</f>
        <v>67.541105220000006</v>
      </c>
    </row>
    <row r="351" spans="1:25" x14ac:dyDescent="0.3">
      <c r="A351" s="7">
        <v>350</v>
      </c>
      <c r="B351" s="8">
        <v>5737</v>
      </c>
      <c r="C351" s="9">
        <v>47.704369999999997</v>
      </c>
      <c r="D351" s="9">
        <v>-121.94410999999999</v>
      </c>
      <c r="E351" s="10" t="s">
        <v>42</v>
      </c>
      <c r="F351" s="10" t="s">
        <v>4</v>
      </c>
      <c r="G351" s="10" t="s">
        <v>22</v>
      </c>
      <c r="H351" s="10">
        <v>-8</v>
      </c>
      <c r="I351" s="11">
        <v>141.44444440000001</v>
      </c>
      <c r="J351" s="11">
        <v>3.0657260000000002</v>
      </c>
      <c r="K351" s="11" t="str">
        <f>IF(Table1[[#This Row],[Solar 
Resource]]&lt;3,"Low", IF(Table1[[#This Row],[Solar 
Resource]]&lt;4, "Moderate","High"))</f>
        <v>Moderate</v>
      </c>
      <c r="L351" s="11">
        <v>1.0209303999999999</v>
      </c>
      <c r="M351" s="11">
        <v>27.612089210000001</v>
      </c>
      <c r="N351" s="11">
        <v>886.05962309999995</v>
      </c>
      <c r="O351" s="11">
        <v>1187.3198359999999</v>
      </c>
      <c r="P351" s="11">
        <f>Table1[[#This Row],[Installed Capacity 
(AC -MW)]]/Table1[[#This Row],[Installed Capacity 
(DC -MW)]]</f>
        <v>0.74626869377090066</v>
      </c>
      <c r="Q351" s="12">
        <v>0.17137958</v>
      </c>
      <c r="R351" s="12">
        <v>0.12789519999999999</v>
      </c>
      <c r="S351" s="13">
        <v>57.495320929999998</v>
      </c>
      <c r="T351" s="11">
        <v>0.27</v>
      </c>
      <c r="U351" s="11">
        <v>64.609590870000005</v>
      </c>
      <c r="V351" s="13">
        <v>260006.3014</v>
      </c>
      <c r="W351" s="13">
        <v>298430.62</v>
      </c>
      <c r="X351" s="13">
        <v>16.081579999999999</v>
      </c>
      <c r="Y351" s="14">
        <f>+Table1[[#This Row],[Generation Cost 
LCOE (USD/MWh)]]+Table1[[#This Row],[Transmission Cost
LCOT (USD/MWh)]]</f>
        <v>73.576900929999994</v>
      </c>
    </row>
    <row r="352" spans="1:25" x14ac:dyDescent="0.3">
      <c r="A352" s="7">
        <v>351</v>
      </c>
      <c r="B352" s="8">
        <v>5738</v>
      </c>
      <c r="C352" s="9">
        <v>47.730697999999997</v>
      </c>
      <c r="D352" s="9">
        <v>-121.78734</v>
      </c>
      <c r="E352" s="10" t="s">
        <v>42</v>
      </c>
      <c r="F352" s="10" t="s">
        <v>4</v>
      </c>
      <c r="G352" s="10" t="s">
        <v>22</v>
      </c>
      <c r="H352" s="10">
        <v>-8</v>
      </c>
      <c r="I352" s="11">
        <v>388.61538460000003</v>
      </c>
      <c r="J352" s="11">
        <v>3.0183453999999998</v>
      </c>
      <c r="K352" s="11" t="str">
        <f>IF(Table1[[#This Row],[Solar 
Resource]]&lt;3,"Low", IF(Table1[[#This Row],[Solar 
Resource]]&lt;4, "Moderate","High"))</f>
        <v>Moderate</v>
      </c>
      <c r="L352" s="11">
        <v>1.0203518</v>
      </c>
      <c r="M352" s="11">
        <v>9.9633243159999996</v>
      </c>
      <c r="N352" s="11">
        <v>319.718594</v>
      </c>
      <c r="O352" s="11">
        <v>428.42294559999999</v>
      </c>
      <c r="P352" s="11">
        <f>Table1[[#This Row],[Installed Capacity 
(AC -MW)]]/Table1[[#This Row],[Installed Capacity 
(DC -MW)]]</f>
        <v>0.74626860508658999</v>
      </c>
      <c r="Q352" s="12">
        <v>0.16968196999999999</v>
      </c>
      <c r="R352" s="12">
        <v>0.12662834000000001</v>
      </c>
      <c r="S352" s="13">
        <v>58.044485659999999</v>
      </c>
      <c r="T352" s="11">
        <v>3.2437467500000001</v>
      </c>
      <c r="U352" s="11">
        <v>76.538110349999997</v>
      </c>
      <c r="V352" s="13">
        <v>322507.76030000002</v>
      </c>
      <c r="W352" s="13">
        <v>388944.56</v>
      </c>
      <c r="X352" s="13">
        <v>21.168807999999999</v>
      </c>
      <c r="Y352" s="14">
        <f>+Table1[[#This Row],[Generation Cost 
LCOE (USD/MWh)]]+Table1[[#This Row],[Transmission Cost
LCOT (USD/MWh)]]</f>
        <v>79.213293660000005</v>
      </c>
    </row>
    <row r="353" spans="1:25" x14ac:dyDescent="0.3">
      <c r="A353" s="7">
        <v>352</v>
      </c>
      <c r="B353" s="8">
        <v>5739</v>
      </c>
      <c r="C353" s="9">
        <v>47.756878</v>
      </c>
      <c r="D353" s="9">
        <v>-121.63042</v>
      </c>
      <c r="E353" s="10" t="s">
        <v>42</v>
      </c>
      <c r="F353" s="10" t="s">
        <v>4</v>
      </c>
      <c r="G353" s="10" t="s">
        <v>22</v>
      </c>
      <c r="H353" s="10">
        <v>-8</v>
      </c>
      <c r="I353" s="11">
        <v>725.125</v>
      </c>
      <c r="J353" s="11">
        <v>3.0202464999999998</v>
      </c>
      <c r="K353" s="11" t="str">
        <f>IF(Table1[[#This Row],[Solar 
Resource]]&lt;3,"Low", IF(Table1[[#This Row],[Solar 
Resource]]&lt;4, "Moderate","High"))</f>
        <v>Moderate</v>
      </c>
      <c r="L353" s="11">
        <v>1.0197240999999999</v>
      </c>
      <c r="M353" s="11">
        <v>1.0244880270000001</v>
      </c>
      <c r="N353" s="11">
        <v>32.875363700000001</v>
      </c>
      <c r="O353" s="11">
        <v>44.052985169999999</v>
      </c>
      <c r="P353" s="11">
        <f>Table1[[#This Row],[Installed Capacity 
(AC -MW)]]/Table1[[#This Row],[Installed Capacity 
(DC -MW)]]</f>
        <v>0.7462686937816887</v>
      </c>
      <c r="Q353" s="12">
        <v>0.17297045999999999</v>
      </c>
      <c r="R353" s="12">
        <v>0.12908241000000001</v>
      </c>
      <c r="S353" s="13">
        <v>61.708198760000002</v>
      </c>
      <c r="T353" s="11">
        <v>14.703077909999999</v>
      </c>
      <c r="U353" s="11">
        <v>102.43865580000001</v>
      </c>
      <c r="V353" s="13">
        <v>380717.73609999998</v>
      </c>
      <c r="W353" s="13">
        <v>513677.06</v>
      </c>
      <c r="X353" s="13">
        <v>27.426010000000002</v>
      </c>
      <c r="Y353" s="14">
        <f>+Table1[[#This Row],[Generation Cost 
LCOE (USD/MWh)]]+Table1[[#This Row],[Transmission Cost
LCOT (USD/MWh)]]</f>
        <v>89.134208760000007</v>
      </c>
    </row>
    <row r="354" spans="1:25" x14ac:dyDescent="0.3">
      <c r="A354" s="7">
        <v>353</v>
      </c>
      <c r="B354" s="8">
        <v>5740</v>
      </c>
      <c r="C354" s="9">
        <v>47.782898000000003</v>
      </c>
      <c r="D354" s="9">
        <v>-121.47336</v>
      </c>
      <c r="E354" s="10" t="s">
        <v>42</v>
      </c>
      <c r="F354" s="10" t="s">
        <v>4</v>
      </c>
      <c r="G354" s="10" t="s">
        <v>35</v>
      </c>
      <c r="H354" s="10">
        <v>-8</v>
      </c>
      <c r="I354" s="11">
        <v>405</v>
      </c>
      <c r="J354" s="11">
        <v>2.9938411999999999</v>
      </c>
      <c r="K354" s="11" t="str">
        <f>IF(Table1[[#This Row],[Solar 
Resource]]&lt;3,"Low", IF(Table1[[#This Row],[Solar 
Resource]]&lt;4, "Moderate","High"))</f>
        <v>Low</v>
      </c>
      <c r="L354" s="11">
        <v>1.019242</v>
      </c>
      <c r="M354" s="11">
        <v>0.15487199099999999</v>
      </c>
      <c r="N354" s="11">
        <v>4.9697731039999997</v>
      </c>
      <c r="O354" s="11">
        <v>6.6594956280000002</v>
      </c>
      <c r="P354" s="11">
        <f>Table1[[#This Row],[Installed Capacity 
(AC -MW)]]/Table1[[#This Row],[Installed Capacity 
(DC -MW)]]</f>
        <v>0.74626869384889694</v>
      </c>
      <c r="Q354" s="12">
        <v>0.16788879000000001</v>
      </c>
      <c r="R354" s="12">
        <v>0.12529013</v>
      </c>
      <c r="S354" s="13">
        <v>78.398432189999994</v>
      </c>
      <c r="T354" s="11">
        <v>1.0491168820000001</v>
      </c>
      <c r="U354" s="11">
        <v>108.2743116</v>
      </c>
      <c r="V354" s="13">
        <v>421864.65120000002</v>
      </c>
      <c r="W354" s="13">
        <v>480947.38</v>
      </c>
      <c r="X354" s="13">
        <v>26.455760999999999</v>
      </c>
      <c r="Y354" s="14">
        <f>+Table1[[#This Row],[Generation Cost 
LCOE (USD/MWh)]]+Table1[[#This Row],[Transmission Cost
LCOT (USD/MWh)]]</f>
        <v>104.85419318999999</v>
      </c>
    </row>
    <row r="355" spans="1:25" x14ac:dyDescent="0.3">
      <c r="A355" s="7">
        <v>354</v>
      </c>
      <c r="B355" s="8">
        <v>5745</v>
      </c>
      <c r="C355" s="9">
        <v>47.910682999999999</v>
      </c>
      <c r="D355" s="9">
        <v>-120.68591000000001</v>
      </c>
      <c r="E355" s="10" t="s">
        <v>42</v>
      </c>
      <c r="F355" s="10" t="s">
        <v>4</v>
      </c>
      <c r="G355" s="10" t="s">
        <v>11</v>
      </c>
      <c r="H355" s="10">
        <v>-8</v>
      </c>
      <c r="I355" s="11">
        <v>908.16666669999995</v>
      </c>
      <c r="J355" s="11">
        <v>3.8104955999999999</v>
      </c>
      <c r="K355" s="11" t="str">
        <f>IF(Table1[[#This Row],[Solar 
Resource]]&lt;3,"Low", IF(Table1[[#This Row],[Solar 
Resource]]&lt;4, "Moderate","High"))</f>
        <v>Moderate</v>
      </c>
      <c r="L355" s="11">
        <v>1.012168</v>
      </c>
      <c r="M355" s="11">
        <v>1.36209603</v>
      </c>
      <c r="N355" s="11">
        <v>43.709048670000001</v>
      </c>
      <c r="O355" s="11">
        <v>58.570129280000003</v>
      </c>
      <c r="P355" s="11">
        <f>Table1[[#This Row],[Installed Capacity 
(AC -MW)]]/Table1[[#This Row],[Installed Capacity 
(DC -MW)]]</f>
        <v>0.74626860495808012</v>
      </c>
      <c r="Q355" s="12">
        <v>0.22446506999999999</v>
      </c>
      <c r="R355" s="12">
        <v>0.16751125</v>
      </c>
      <c r="S355" s="13">
        <v>45.834590710000001</v>
      </c>
      <c r="T355" s="11">
        <v>15.314987</v>
      </c>
      <c r="U355" s="11">
        <v>172.5616363</v>
      </c>
      <c r="V355" s="13">
        <v>607159.78839999996</v>
      </c>
      <c r="W355" s="13">
        <v>788964.1</v>
      </c>
      <c r="X355" s="13">
        <v>32.460326999999999</v>
      </c>
      <c r="Y355" s="14">
        <f>+Table1[[#This Row],[Generation Cost 
LCOE (USD/MWh)]]+Table1[[#This Row],[Transmission Cost
LCOT (USD/MWh)]]</f>
        <v>78.294917709999993</v>
      </c>
    </row>
    <row r="356" spans="1:25" x14ac:dyDescent="0.3">
      <c r="A356" s="7">
        <v>355</v>
      </c>
      <c r="B356" s="8">
        <v>5747</v>
      </c>
      <c r="C356" s="9">
        <v>47.960700000000003</v>
      </c>
      <c r="D356" s="9">
        <v>-120.36995</v>
      </c>
      <c r="E356" s="10" t="s">
        <v>42</v>
      </c>
      <c r="F356" s="10" t="s">
        <v>4</v>
      </c>
      <c r="G356" s="10" t="s">
        <v>11</v>
      </c>
      <c r="H356" s="10">
        <v>-8</v>
      </c>
      <c r="I356" s="11">
        <v>1822</v>
      </c>
      <c r="J356" s="11">
        <v>4.0179995999999996</v>
      </c>
      <c r="K356" s="11" t="str">
        <f>IF(Table1[[#This Row],[Solar 
Resource]]&lt;3,"Low", IF(Table1[[#This Row],[Solar 
Resource]]&lt;4, "Moderate","High"))</f>
        <v>High</v>
      </c>
      <c r="L356" s="11">
        <v>1.008429</v>
      </c>
      <c r="M356" s="11">
        <v>5.3784002999999997E-2</v>
      </c>
      <c r="N356" s="11">
        <v>1.725904447</v>
      </c>
      <c r="O356" s="11">
        <v>2.31271212</v>
      </c>
      <c r="P356" s="11">
        <f>Table1[[#This Row],[Installed Capacity 
(AC -MW)]]/Table1[[#This Row],[Installed Capacity 
(DC -MW)]]</f>
        <v>0.7462686047582956</v>
      </c>
      <c r="Q356" s="12">
        <v>0.24482509999999999</v>
      </c>
      <c r="R356" s="12">
        <v>0.18270529999999999</v>
      </c>
      <c r="S356" s="13">
        <v>60.142369979999998</v>
      </c>
      <c r="T356" s="11">
        <v>19.691454530000001</v>
      </c>
      <c r="U356" s="11">
        <v>183.38347390000001</v>
      </c>
      <c r="V356" s="13">
        <v>593980.13340000005</v>
      </c>
      <c r="W356" s="13">
        <v>800698.1</v>
      </c>
      <c r="X356" s="13">
        <v>30.203503000000001</v>
      </c>
      <c r="Y356" s="14">
        <f>+Table1[[#This Row],[Generation Cost 
LCOE (USD/MWh)]]+Table1[[#This Row],[Transmission Cost
LCOT (USD/MWh)]]</f>
        <v>90.345872979999996</v>
      </c>
    </row>
    <row r="357" spans="1:25" x14ac:dyDescent="0.3">
      <c r="A357" s="7">
        <v>356</v>
      </c>
      <c r="B357" s="8">
        <v>5748</v>
      </c>
      <c r="C357" s="9">
        <v>47.985474000000004</v>
      </c>
      <c r="D357" s="9">
        <v>-120.21176</v>
      </c>
      <c r="E357" s="10" t="s">
        <v>42</v>
      </c>
      <c r="F357" s="10" t="s">
        <v>4</v>
      </c>
      <c r="G357" s="10" t="s">
        <v>11</v>
      </c>
      <c r="H357" s="10">
        <v>-8</v>
      </c>
      <c r="I357" s="11">
        <v>636</v>
      </c>
      <c r="J357" s="11">
        <v>3.9390695</v>
      </c>
      <c r="K357" s="11" t="str">
        <f>IF(Table1[[#This Row],[Solar 
Resource]]&lt;3,"Low", IF(Table1[[#This Row],[Solar 
Resource]]&lt;4, "Moderate","High"))</f>
        <v>Moderate</v>
      </c>
      <c r="L357" s="11">
        <v>1.0062070999999999</v>
      </c>
      <c r="M357" s="11">
        <v>0.52261203499999997</v>
      </c>
      <c r="N357" s="11">
        <v>16.770385019999999</v>
      </c>
      <c r="O357" s="11">
        <v>22.472317489999998</v>
      </c>
      <c r="P357" s="11">
        <f>Table1[[#This Row],[Installed Capacity 
(AC -MW)]]/Table1[[#This Row],[Installed Capacity 
(DC -MW)]]</f>
        <v>0.74626860480512014</v>
      </c>
      <c r="Q357" s="12">
        <v>0.23689284999999999</v>
      </c>
      <c r="R357" s="12">
        <v>0.17678569999999999</v>
      </c>
      <c r="S357" s="13">
        <v>47.976821049999998</v>
      </c>
      <c r="T357" s="11">
        <v>12.212863629999999</v>
      </c>
      <c r="U357" s="11">
        <v>183.20347390000001</v>
      </c>
      <c r="V357" s="13">
        <v>593476.73540000001</v>
      </c>
      <c r="W357" s="13">
        <v>740723.44</v>
      </c>
      <c r="X357" s="13">
        <v>28.876764000000001</v>
      </c>
      <c r="Y357" s="14">
        <f>+Table1[[#This Row],[Generation Cost 
LCOE (USD/MWh)]]+Table1[[#This Row],[Transmission Cost
LCOT (USD/MWh)]]</f>
        <v>76.853585049999992</v>
      </c>
    </row>
    <row r="358" spans="1:25" x14ac:dyDescent="0.3">
      <c r="A358" s="7">
        <v>357</v>
      </c>
      <c r="B358" s="8">
        <v>5749</v>
      </c>
      <c r="C358" s="9">
        <v>48.010094000000002</v>
      </c>
      <c r="D358" s="9">
        <v>-120.05342</v>
      </c>
      <c r="E358" s="10" t="s">
        <v>42</v>
      </c>
      <c r="F358" s="10" t="s">
        <v>4</v>
      </c>
      <c r="G358" s="10" t="s">
        <v>29</v>
      </c>
      <c r="H358" s="10">
        <v>-8</v>
      </c>
      <c r="I358" s="11">
        <v>1001.555556</v>
      </c>
      <c r="J358" s="11">
        <v>3.9731255000000001</v>
      </c>
      <c r="K358" s="11" t="str">
        <f>IF(Table1[[#This Row],[Solar 
Resource]]&lt;3,"Low", IF(Table1[[#This Row],[Solar 
Resource]]&lt;4, "Moderate","High"))</f>
        <v>Moderate</v>
      </c>
      <c r="L358" s="11">
        <v>1.0039463</v>
      </c>
      <c r="M358" s="11">
        <v>0.63342003700000005</v>
      </c>
      <c r="N358" s="11">
        <v>20.326163959999999</v>
      </c>
      <c r="O358" s="11">
        <v>27.23706159</v>
      </c>
      <c r="P358" s="11">
        <f>Table1[[#This Row],[Installed Capacity 
(AC -MW)]]/Table1[[#This Row],[Installed Capacity 
(DC -MW)]]</f>
        <v>0.74626860510763338</v>
      </c>
      <c r="Q358" s="12">
        <v>0.24110627000000001</v>
      </c>
      <c r="R358" s="12">
        <v>0.17993006</v>
      </c>
      <c r="S358" s="13">
        <v>46.067850450000002</v>
      </c>
      <c r="T358" s="11">
        <v>11.61484415</v>
      </c>
      <c r="U358" s="11">
        <v>195.6241168</v>
      </c>
      <c r="V358" s="13">
        <v>577405.97620000003</v>
      </c>
      <c r="W358" s="13">
        <v>720482.9</v>
      </c>
      <c r="X358" s="13">
        <v>27.596855000000001</v>
      </c>
      <c r="Y358" s="14">
        <f>+Table1[[#This Row],[Generation Cost 
LCOE (USD/MWh)]]+Table1[[#This Row],[Transmission Cost
LCOT (USD/MWh)]]</f>
        <v>73.66470545</v>
      </c>
    </row>
    <row r="359" spans="1:25" x14ac:dyDescent="0.3">
      <c r="A359" s="7">
        <v>358</v>
      </c>
      <c r="B359" s="8">
        <v>5750</v>
      </c>
      <c r="C359" s="9">
        <v>48.034554</v>
      </c>
      <c r="D359" s="9">
        <v>-119.89496</v>
      </c>
      <c r="E359" s="10" t="s">
        <v>42</v>
      </c>
      <c r="F359" s="10" t="s">
        <v>4</v>
      </c>
      <c r="G359" s="10" t="s">
        <v>29</v>
      </c>
      <c r="H359" s="10">
        <v>-8</v>
      </c>
      <c r="I359" s="11">
        <v>560.25</v>
      </c>
      <c r="J359" s="11">
        <v>3.9428592</v>
      </c>
      <c r="K359" s="11" t="str">
        <f>IF(Table1[[#This Row],[Solar 
Resource]]&lt;3,"Low", IF(Table1[[#This Row],[Solar 
Resource]]&lt;4, "Moderate","High"))</f>
        <v>Moderate</v>
      </c>
      <c r="L359" s="11">
        <v>1.0020032000000001</v>
      </c>
      <c r="M359" s="11">
        <v>14.14259901</v>
      </c>
      <c r="N359" s="11">
        <v>453.82969229999998</v>
      </c>
      <c r="O359" s="11">
        <v>608.13175750000005</v>
      </c>
      <c r="P359" s="11">
        <f>Table1[[#This Row],[Installed Capacity 
(AC -MW)]]/Table1[[#This Row],[Installed Capacity 
(DC -MW)]]</f>
        <v>0.74626869375424776</v>
      </c>
      <c r="Q359" s="12">
        <v>0.23668787999999999</v>
      </c>
      <c r="R359" s="12">
        <v>0.17663275000000001</v>
      </c>
      <c r="S359" s="13">
        <v>41.01999515</v>
      </c>
      <c r="T359" s="11">
        <v>2.9210259710000002</v>
      </c>
      <c r="U359" s="11">
        <v>195.53411679999999</v>
      </c>
      <c r="V359" s="13">
        <v>577044.15890000004</v>
      </c>
      <c r="W359" s="13">
        <v>641631.5</v>
      </c>
      <c r="X359" s="13">
        <v>25.035374000000001</v>
      </c>
      <c r="Y359" s="14">
        <f>+Table1[[#This Row],[Generation Cost 
LCOE (USD/MWh)]]+Table1[[#This Row],[Transmission Cost
LCOT (USD/MWh)]]</f>
        <v>66.055369150000004</v>
      </c>
    </row>
    <row r="360" spans="1:25" x14ac:dyDescent="0.3">
      <c r="A360" s="7">
        <v>359</v>
      </c>
      <c r="B360" s="8">
        <v>5751</v>
      </c>
      <c r="C360" s="9">
        <v>48.058857000000003</v>
      </c>
      <c r="D360" s="9">
        <v>-119.73636</v>
      </c>
      <c r="E360" s="10" t="s">
        <v>42</v>
      </c>
      <c r="F360" s="10" t="s">
        <v>4</v>
      </c>
      <c r="G360" s="10" t="s">
        <v>29</v>
      </c>
      <c r="H360" s="10">
        <v>-8</v>
      </c>
      <c r="I360" s="11">
        <v>545</v>
      </c>
      <c r="J360" s="11">
        <v>3.9241822000000002</v>
      </c>
      <c r="K360" s="11" t="str">
        <f>IF(Table1[[#This Row],[Solar 
Resource]]&lt;3,"Low", IF(Table1[[#This Row],[Solar 
Resource]]&lt;4, "Moderate","High"))</f>
        <v>Moderate</v>
      </c>
      <c r="L360" s="11">
        <v>0.999857</v>
      </c>
      <c r="M360" s="11">
        <v>15.765030400000001</v>
      </c>
      <c r="N360" s="11">
        <v>505.8927314</v>
      </c>
      <c r="O360" s="11">
        <v>677.89630699999998</v>
      </c>
      <c r="P360" s="11">
        <f>Table1[[#This Row],[Installed Capacity 
(AC -MW)]]/Table1[[#This Row],[Installed Capacity 
(DC -MW)]]</f>
        <v>0.74626860505968207</v>
      </c>
      <c r="Q360" s="12">
        <v>0.23631278999999999</v>
      </c>
      <c r="R360" s="12">
        <v>0.17635284000000001</v>
      </c>
      <c r="S360" s="13">
        <v>41.015716390000001</v>
      </c>
      <c r="T360" s="11">
        <v>1.362792206</v>
      </c>
      <c r="U360" s="11">
        <v>174.56082459999999</v>
      </c>
      <c r="V360" s="13">
        <v>481601.50280000002</v>
      </c>
      <c r="W360" s="13">
        <v>531807.4</v>
      </c>
      <c r="X360" s="13">
        <v>20.783156999999999</v>
      </c>
      <c r="Y360" s="14">
        <f>+Table1[[#This Row],[Generation Cost 
LCOE (USD/MWh)]]+Table1[[#This Row],[Transmission Cost
LCOT (USD/MWh)]]</f>
        <v>61.798873389999997</v>
      </c>
    </row>
    <row r="361" spans="1:25" x14ac:dyDescent="0.3">
      <c r="A361" s="7">
        <v>360</v>
      </c>
      <c r="B361" s="8">
        <v>5752</v>
      </c>
      <c r="C361" s="9">
        <v>48.082999999999998</v>
      </c>
      <c r="D361" s="9">
        <v>-119.57762</v>
      </c>
      <c r="E361" s="10" t="s">
        <v>42</v>
      </c>
      <c r="F361" s="10" t="s">
        <v>4</v>
      </c>
      <c r="G361" s="10" t="s">
        <v>29</v>
      </c>
      <c r="H361" s="10">
        <v>-8</v>
      </c>
      <c r="I361" s="11">
        <v>575.8823529</v>
      </c>
      <c r="J361" s="11">
        <v>3.9183091999999999</v>
      </c>
      <c r="K361" s="11" t="str">
        <f>IF(Table1[[#This Row],[Solar 
Resource]]&lt;3,"Low", IF(Table1[[#This Row],[Solar 
Resource]]&lt;4, "Moderate","High"))</f>
        <v>Moderate</v>
      </c>
      <c r="L361" s="11">
        <v>0.9980985</v>
      </c>
      <c r="M361" s="11">
        <v>26.021327119999999</v>
      </c>
      <c r="N361" s="11">
        <v>835.01287679999996</v>
      </c>
      <c r="O361" s="11">
        <v>1118.917066</v>
      </c>
      <c r="P361" s="11">
        <f>Table1[[#This Row],[Installed Capacity 
(AC -MW)]]/Table1[[#This Row],[Installed Capacity 
(DC -MW)]]</f>
        <v>0.74626878271244457</v>
      </c>
      <c r="Q361" s="12">
        <v>0.23729005</v>
      </c>
      <c r="R361" s="12">
        <v>0.17708212000000001</v>
      </c>
      <c r="S361" s="13">
        <v>40.790201959999997</v>
      </c>
      <c r="T361" s="11">
        <v>4.2736753240000001</v>
      </c>
      <c r="U361" s="11">
        <v>173.52979859999999</v>
      </c>
      <c r="V361" s="13">
        <v>485964.42810000002</v>
      </c>
      <c r="W361" s="13">
        <v>558177.5</v>
      </c>
      <c r="X361" s="13">
        <v>21.723870000000002</v>
      </c>
      <c r="Y361" s="14">
        <f>+Table1[[#This Row],[Generation Cost 
LCOE (USD/MWh)]]+Table1[[#This Row],[Transmission Cost
LCOT (USD/MWh)]]</f>
        <v>62.514071959999995</v>
      </c>
    </row>
    <row r="362" spans="1:25" x14ac:dyDescent="0.3">
      <c r="A362" s="7">
        <v>361</v>
      </c>
      <c r="B362" s="8">
        <v>5753</v>
      </c>
      <c r="C362" s="9">
        <v>48.106994999999998</v>
      </c>
      <c r="D362" s="9">
        <v>-119.418755</v>
      </c>
      <c r="E362" s="10" t="s">
        <v>42</v>
      </c>
      <c r="F362" s="10" t="s">
        <v>4</v>
      </c>
      <c r="G362" s="10" t="s">
        <v>29</v>
      </c>
      <c r="H362" s="10">
        <v>-8</v>
      </c>
      <c r="I362" s="11">
        <v>634.05263160000004</v>
      </c>
      <c r="J362" s="11">
        <v>3.8931993999999999</v>
      </c>
      <c r="K362" s="11" t="str">
        <f>IF(Table1[[#This Row],[Solar 
Resource]]&lt;3,"Low", IF(Table1[[#This Row],[Solar 
Resource]]&lt;4, "Moderate","High"))</f>
        <v>Moderate</v>
      </c>
      <c r="L362" s="11">
        <v>0.99552039999999997</v>
      </c>
      <c r="M362" s="11">
        <v>49.848214749999997</v>
      </c>
      <c r="N362" s="11">
        <v>1599.6065900000001</v>
      </c>
      <c r="O362" s="11">
        <v>2143.473234</v>
      </c>
      <c r="P362" s="11">
        <f>Table1[[#This Row],[Installed Capacity 
(AC -MW)]]/Table1[[#This Row],[Installed Capacity 
(DC -MW)]]</f>
        <v>0.74626851626923563</v>
      </c>
      <c r="Q362" s="12">
        <v>0.23649205000000001</v>
      </c>
      <c r="R362" s="12">
        <v>0.17648660999999999</v>
      </c>
      <c r="S362" s="13">
        <v>40.84454787</v>
      </c>
      <c r="T362" s="11">
        <v>9.1720519419999995</v>
      </c>
      <c r="U362" s="11">
        <v>145.1877466</v>
      </c>
      <c r="V362" s="13">
        <v>407296.6703</v>
      </c>
      <c r="W362" s="13">
        <v>480063.72</v>
      </c>
      <c r="X362" s="13">
        <v>18.746782</v>
      </c>
      <c r="Y362" s="14">
        <f>+Table1[[#This Row],[Generation Cost 
LCOE (USD/MWh)]]+Table1[[#This Row],[Transmission Cost
LCOT (USD/MWh)]]</f>
        <v>59.591329869999996</v>
      </c>
    </row>
    <row r="363" spans="1:25" x14ac:dyDescent="0.3">
      <c r="A363" s="7">
        <v>362</v>
      </c>
      <c r="B363" s="8">
        <v>5754</v>
      </c>
      <c r="C363" s="9">
        <v>48.13082</v>
      </c>
      <c r="D363" s="9">
        <v>-119.25973999999999</v>
      </c>
      <c r="E363" s="10" t="s">
        <v>42</v>
      </c>
      <c r="F363" s="10" t="s">
        <v>4</v>
      </c>
      <c r="G363" s="10" t="s">
        <v>29</v>
      </c>
      <c r="H363" s="10">
        <v>-8</v>
      </c>
      <c r="I363" s="11">
        <v>550.8666667</v>
      </c>
      <c r="J363" s="11">
        <v>3.8800482999999999</v>
      </c>
      <c r="K363" s="11" t="str">
        <f>IF(Table1[[#This Row],[Solar 
Resource]]&lt;3,"Low", IF(Table1[[#This Row],[Solar 
Resource]]&lt;4, "Moderate","High"))</f>
        <v>Moderate</v>
      </c>
      <c r="L363" s="11">
        <v>0.99332094000000004</v>
      </c>
      <c r="M363" s="11">
        <v>34.452052729999998</v>
      </c>
      <c r="N363" s="11">
        <v>1105.551001</v>
      </c>
      <c r="O363" s="11">
        <v>1481.4382680000001</v>
      </c>
      <c r="P363" s="11">
        <f>Table1[[#This Row],[Installed Capacity 
(AC -MW)]]/Table1[[#This Row],[Installed Capacity 
(DC -MW)]]</f>
        <v>0.74626869366115223</v>
      </c>
      <c r="Q363" s="12">
        <v>0.23518074999999999</v>
      </c>
      <c r="R363" s="12">
        <v>0.17550805</v>
      </c>
      <c r="S363" s="13">
        <v>41.000836730000003</v>
      </c>
      <c r="T363" s="11">
        <v>1.6700714270000001</v>
      </c>
      <c r="U363" s="11">
        <v>139.51664930000001</v>
      </c>
      <c r="V363" s="13">
        <v>392324.69390000001</v>
      </c>
      <c r="W363" s="13">
        <v>440427.88</v>
      </c>
      <c r="X363" s="13">
        <v>17.294874</v>
      </c>
      <c r="Y363" s="14">
        <f>+Table1[[#This Row],[Generation Cost 
LCOE (USD/MWh)]]+Table1[[#This Row],[Transmission Cost
LCOT (USD/MWh)]]</f>
        <v>58.295710730000003</v>
      </c>
    </row>
    <row r="364" spans="1:25" x14ac:dyDescent="0.3">
      <c r="A364" s="7">
        <v>363</v>
      </c>
      <c r="B364" s="8">
        <v>5755</v>
      </c>
      <c r="C364" s="9">
        <v>48.154490000000003</v>
      </c>
      <c r="D364" s="9">
        <v>-119.10061</v>
      </c>
      <c r="E364" s="10" t="s">
        <v>42</v>
      </c>
      <c r="F364" s="10" t="s">
        <v>4</v>
      </c>
      <c r="G364" s="10" t="s">
        <v>29</v>
      </c>
      <c r="H364" s="10">
        <v>-8</v>
      </c>
      <c r="I364" s="11">
        <v>644.66666669999995</v>
      </c>
      <c r="J364" s="11">
        <v>3.8304303000000002</v>
      </c>
      <c r="K364" s="11" t="str">
        <f>IF(Table1[[#This Row],[Solar 
Resource]]&lt;3,"Low", IF(Table1[[#This Row],[Solar 
Resource]]&lt;4, "Moderate","High"))</f>
        <v>Moderate</v>
      </c>
      <c r="L364" s="11">
        <v>0.99160280000000001</v>
      </c>
      <c r="M364" s="11">
        <v>12.46257971</v>
      </c>
      <c r="N364" s="11">
        <v>399.91852749999998</v>
      </c>
      <c r="O364" s="11">
        <v>535.89092760000005</v>
      </c>
      <c r="P364" s="11">
        <f>Table1[[#This Row],[Installed Capacity 
(AC -MW)]]/Table1[[#This Row],[Installed Capacity 
(DC -MW)]]</f>
        <v>0.74626851641442105</v>
      </c>
      <c r="Q364" s="12">
        <v>0.23184769</v>
      </c>
      <c r="R364" s="12">
        <v>0.17302068000000001</v>
      </c>
      <c r="S364" s="13">
        <v>41.533650469999998</v>
      </c>
      <c r="T364" s="11">
        <v>9.8803571340000005</v>
      </c>
      <c r="U364" s="11">
        <v>138.28488300000001</v>
      </c>
      <c r="V364" s="13">
        <v>390752.50829999999</v>
      </c>
      <c r="W364" s="13">
        <v>478955.6</v>
      </c>
      <c r="X364" s="13">
        <v>19.078178000000001</v>
      </c>
      <c r="Y364" s="14">
        <f>+Table1[[#This Row],[Generation Cost 
LCOE (USD/MWh)]]+Table1[[#This Row],[Transmission Cost
LCOT (USD/MWh)]]</f>
        <v>60.611828469999999</v>
      </c>
    </row>
    <row r="365" spans="1:25" x14ac:dyDescent="0.3">
      <c r="A365" s="7">
        <v>364</v>
      </c>
      <c r="B365" s="8">
        <v>5756</v>
      </c>
      <c r="C365" s="9">
        <v>48.177999999999997</v>
      </c>
      <c r="D365" s="9">
        <v>-118.94132999999999</v>
      </c>
      <c r="E365" s="10" t="s">
        <v>42</v>
      </c>
      <c r="F365" s="10" t="s">
        <v>4</v>
      </c>
      <c r="G365" s="10" t="s">
        <v>29</v>
      </c>
      <c r="H365" s="10">
        <v>-8</v>
      </c>
      <c r="I365" s="11">
        <v>707.375</v>
      </c>
      <c r="J365" s="11">
        <v>3.8139842000000002</v>
      </c>
      <c r="K365" s="11" t="str">
        <f>IF(Table1[[#This Row],[Solar 
Resource]]&lt;3,"Low", IF(Table1[[#This Row],[Solar 
Resource]]&lt;4, "Moderate","High"))</f>
        <v>Moderate</v>
      </c>
      <c r="L365" s="11">
        <v>0.98951982999999999</v>
      </c>
      <c r="M365" s="11">
        <v>51.929586469999997</v>
      </c>
      <c r="N365" s="11">
        <v>1666.3968649999999</v>
      </c>
      <c r="O365" s="11">
        <v>2232.9722179999999</v>
      </c>
      <c r="P365" s="11">
        <f>Table1[[#This Row],[Installed Capacity 
(AC -MW)]]/Table1[[#This Row],[Installed Capacity 
(DC -MW)]]</f>
        <v>0.74626851671828554</v>
      </c>
      <c r="Q365" s="12">
        <v>0.22997450999999999</v>
      </c>
      <c r="R365" s="12">
        <v>0.17162278</v>
      </c>
      <c r="S365" s="13">
        <v>41.802764680000003</v>
      </c>
      <c r="T365" s="11">
        <v>6.6057272659999997</v>
      </c>
      <c r="U365" s="11">
        <v>138.28488300000001</v>
      </c>
      <c r="V365" s="13">
        <v>390752.50829999999</v>
      </c>
      <c r="W365" s="13">
        <v>456460.88</v>
      </c>
      <c r="X365" s="13">
        <v>18.330244</v>
      </c>
      <c r="Y365" s="14">
        <f>+Table1[[#This Row],[Generation Cost 
LCOE (USD/MWh)]]+Table1[[#This Row],[Transmission Cost
LCOT (USD/MWh)]]</f>
        <v>60.133008680000003</v>
      </c>
    </row>
    <row r="366" spans="1:25" x14ac:dyDescent="0.3">
      <c r="A366" s="7">
        <v>365</v>
      </c>
      <c r="B366" s="8">
        <v>5757</v>
      </c>
      <c r="C366" s="9">
        <v>48.201363000000001</v>
      </c>
      <c r="D366" s="9">
        <v>-118.78192</v>
      </c>
      <c r="E366" s="10" t="s">
        <v>42</v>
      </c>
      <c r="F366" s="10" t="s">
        <v>4</v>
      </c>
      <c r="G366" s="10" t="s">
        <v>14</v>
      </c>
      <c r="H366" s="10">
        <v>-8</v>
      </c>
      <c r="I366" s="11">
        <v>879.44444439999995</v>
      </c>
      <c r="J366" s="11">
        <v>3.7489097</v>
      </c>
      <c r="K366" s="11" t="str">
        <f>IF(Table1[[#This Row],[Solar 
Resource]]&lt;3,"Low", IF(Table1[[#This Row],[Solar 
Resource]]&lt;4, "Moderate","High"))</f>
        <v>Moderate</v>
      </c>
      <c r="L366" s="11">
        <v>0.98801470000000002</v>
      </c>
      <c r="M366" s="11">
        <v>31.854626369999998</v>
      </c>
      <c r="N366" s="11">
        <v>1022.200748</v>
      </c>
      <c r="O366" s="11">
        <v>1369.748934</v>
      </c>
      <c r="P366" s="11">
        <f>Table1[[#This Row],[Installed Capacity 
(AC -MW)]]/Table1[[#This Row],[Installed Capacity 
(DC -MW)]]</f>
        <v>0.74626869393862216</v>
      </c>
      <c r="Q366" s="12">
        <v>0.2258482</v>
      </c>
      <c r="R366" s="12">
        <v>0.16854342999999999</v>
      </c>
      <c r="S366" s="13">
        <v>42.515602999999999</v>
      </c>
      <c r="T366" s="11">
        <v>18.23866233</v>
      </c>
      <c r="U366" s="11">
        <v>138.28488300000001</v>
      </c>
      <c r="V366" s="13">
        <v>390752.50829999999</v>
      </c>
      <c r="W366" s="13">
        <v>504539.34</v>
      </c>
      <c r="X366" s="13">
        <v>20.631119999999999</v>
      </c>
      <c r="Y366" s="14">
        <f>+Table1[[#This Row],[Generation Cost 
LCOE (USD/MWh)]]+Table1[[#This Row],[Transmission Cost
LCOT (USD/MWh)]]</f>
        <v>63.146722999999994</v>
      </c>
    </row>
    <row r="367" spans="1:25" x14ac:dyDescent="0.3">
      <c r="A367" s="7">
        <v>366</v>
      </c>
      <c r="B367" s="8">
        <v>5758</v>
      </c>
      <c r="C367" s="9">
        <v>48.224556</v>
      </c>
      <c r="D367" s="9">
        <v>-118.62239</v>
      </c>
      <c r="E367" s="10" t="s">
        <v>42</v>
      </c>
      <c r="F367" s="10" t="s">
        <v>4</v>
      </c>
      <c r="G367" s="10" t="s">
        <v>14</v>
      </c>
      <c r="H367" s="10">
        <v>-8</v>
      </c>
      <c r="I367" s="11">
        <v>957.82352939999998</v>
      </c>
      <c r="J367" s="11">
        <v>3.7190525999999999</v>
      </c>
      <c r="K367" s="11" t="str">
        <f>IF(Table1[[#This Row],[Solar 
Resource]]&lt;3,"Low", IF(Table1[[#This Row],[Solar 
Resource]]&lt;4, "Moderate","High"))</f>
        <v>Moderate</v>
      </c>
      <c r="L367" s="11">
        <v>0.98641710000000005</v>
      </c>
      <c r="M367" s="11">
        <v>5.4524341190000003</v>
      </c>
      <c r="N367" s="11">
        <v>174.96615739999999</v>
      </c>
      <c r="O367" s="11">
        <v>234.45466709999999</v>
      </c>
      <c r="P367" s="11">
        <f>Table1[[#This Row],[Installed Capacity 
(AC -MW)]]/Table1[[#This Row],[Installed Capacity 
(DC -MW)]]</f>
        <v>0.74626860520278371</v>
      </c>
      <c r="Q367" s="12">
        <v>0.22350621000000001</v>
      </c>
      <c r="R367" s="12">
        <v>0.16679569999999999</v>
      </c>
      <c r="S367" s="13">
        <v>42.90649286</v>
      </c>
      <c r="T367" s="11">
        <v>21.076084399999999</v>
      </c>
      <c r="U367" s="11">
        <v>145.19304539999999</v>
      </c>
      <c r="V367" s="13">
        <v>450701.7818</v>
      </c>
      <c r="W367" s="13">
        <v>638313.19999999995</v>
      </c>
      <c r="X367" s="13">
        <v>26.374765</v>
      </c>
      <c r="Y367" s="14">
        <f>+Table1[[#This Row],[Generation Cost 
LCOE (USD/MWh)]]+Table1[[#This Row],[Transmission Cost
LCOT (USD/MWh)]]</f>
        <v>69.281257859999997</v>
      </c>
    </row>
    <row r="368" spans="1:25" x14ac:dyDescent="0.3">
      <c r="A368" s="7">
        <v>367</v>
      </c>
      <c r="B368" s="8">
        <v>5759</v>
      </c>
      <c r="C368" s="9">
        <v>48.247593000000002</v>
      </c>
      <c r="D368" s="9">
        <v>-118.46272</v>
      </c>
      <c r="E368" s="10" t="s">
        <v>42</v>
      </c>
      <c r="F368" s="10" t="s">
        <v>4</v>
      </c>
      <c r="G368" s="10" t="s">
        <v>14</v>
      </c>
      <c r="H368" s="10">
        <v>-8</v>
      </c>
      <c r="I368" s="11">
        <v>1066.8125</v>
      </c>
      <c r="J368" s="11">
        <v>3.6735783</v>
      </c>
      <c r="K368" s="11" t="str">
        <f>IF(Table1[[#This Row],[Solar 
Resource]]&lt;3,"Low", IF(Table1[[#This Row],[Solar 
Resource]]&lt;4, "Moderate","High"))</f>
        <v>Moderate</v>
      </c>
      <c r="L368" s="11">
        <v>0.98491390000000001</v>
      </c>
      <c r="M368" s="11">
        <v>8.6514476439999992</v>
      </c>
      <c r="N368" s="11">
        <v>277.62106189999997</v>
      </c>
      <c r="O368" s="11">
        <v>372.01224869999999</v>
      </c>
      <c r="P368" s="11">
        <f>Table1[[#This Row],[Installed Capacity 
(AC -MW)]]/Table1[[#This Row],[Installed Capacity 
(DC -MW)]]</f>
        <v>0.74626860505305714</v>
      </c>
      <c r="Q368" s="12">
        <v>0.21925995000000001</v>
      </c>
      <c r="R368" s="12">
        <v>0.16362683</v>
      </c>
      <c r="S368" s="13">
        <v>43.685062729999999</v>
      </c>
      <c r="T368" s="11">
        <v>42.372097369999999</v>
      </c>
      <c r="U368" s="11">
        <v>134.9008766</v>
      </c>
      <c r="V368" s="13">
        <v>483202.20209999999</v>
      </c>
      <c r="W368" s="13">
        <v>873033.1</v>
      </c>
      <c r="X368" s="13">
        <v>36.771877000000003</v>
      </c>
      <c r="Y368" s="14">
        <f>+Table1[[#This Row],[Generation Cost 
LCOE (USD/MWh)]]+Table1[[#This Row],[Transmission Cost
LCOT (USD/MWh)]]</f>
        <v>80.456939730000002</v>
      </c>
    </row>
    <row r="369" spans="1:25" x14ac:dyDescent="0.3">
      <c r="A369" s="7">
        <v>368</v>
      </c>
      <c r="B369" s="8">
        <v>5760</v>
      </c>
      <c r="C369" s="9">
        <v>48.270465999999999</v>
      </c>
      <c r="D369" s="9">
        <v>-118.30292</v>
      </c>
      <c r="E369" s="10" t="s">
        <v>42</v>
      </c>
      <c r="F369" s="10" t="s">
        <v>4</v>
      </c>
      <c r="G369" s="10" t="s">
        <v>14</v>
      </c>
      <c r="H369" s="10">
        <v>-8</v>
      </c>
      <c r="I369" s="11">
        <v>755.8</v>
      </c>
      <c r="J369" s="11">
        <v>3.6634312000000002</v>
      </c>
      <c r="K369" s="11" t="str">
        <f>IF(Table1[[#This Row],[Solar 
Resource]]&lt;3,"Low", IF(Table1[[#This Row],[Solar 
Resource]]&lt;4, "Moderate","High"))</f>
        <v>Moderate</v>
      </c>
      <c r="L369" s="11">
        <v>0.98388845000000003</v>
      </c>
      <c r="M369" s="11">
        <v>26.956232450000002</v>
      </c>
      <c r="N369" s="11">
        <v>865.01347220000002</v>
      </c>
      <c r="O369" s="11">
        <v>1159.1179950000001</v>
      </c>
      <c r="P369" s="11">
        <f>Table1[[#This Row],[Installed Capacity 
(AC -MW)]]/Table1[[#This Row],[Installed Capacity 
(DC -MW)]]</f>
        <v>0.7462686938959997</v>
      </c>
      <c r="Q369" s="12">
        <v>0.21513272999999999</v>
      </c>
      <c r="R369" s="12">
        <v>0.16054681000000001</v>
      </c>
      <c r="S369" s="13">
        <v>44.48673161</v>
      </c>
      <c r="T369" s="11">
        <v>35.239162309999998</v>
      </c>
      <c r="U369" s="11">
        <v>134.9008766</v>
      </c>
      <c r="V369" s="13">
        <v>483202.20209999999</v>
      </c>
      <c r="W369" s="13">
        <v>800780.6</v>
      </c>
      <c r="X369" s="13">
        <v>34.375694000000003</v>
      </c>
      <c r="Y369" s="14">
        <f>+Table1[[#This Row],[Generation Cost 
LCOE (USD/MWh)]]+Table1[[#This Row],[Transmission Cost
LCOT (USD/MWh)]]</f>
        <v>78.862425610000003</v>
      </c>
    </row>
    <row r="370" spans="1:25" x14ac:dyDescent="0.3">
      <c r="A370" s="7">
        <v>369</v>
      </c>
      <c r="B370" s="8">
        <v>5761</v>
      </c>
      <c r="C370" s="9">
        <v>48.293182000000002</v>
      </c>
      <c r="D370" s="9">
        <v>-118.14299</v>
      </c>
      <c r="E370" s="10" t="s">
        <v>42</v>
      </c>
      <c r="F370" s="10" t="s">
        <v>4</v>
      </c>
      <c r="G370" s="10" t="s">
        <v>37</v>
      </c>
      <c r="H370" s="10">
        <v>-8</v>
      </c>
      <c r="I370" s="11">
        <v>649.4</v>
      </c>
      <c r="J370" s="11">
        <v>3.6897541999999999</v>
      </c>
      <c r="K370" s="11" t="str">
        <f>IF(Table1[[#This Row],[Solar 
Resource]]&lt;3,"Low", IF(Table1[[#This Row],[Solar 
Resource]]&lt;4, "Moderate","High"))</f>
        <v>Moderate</v>
      </c>
      <c r="L370" s="11">
        <v>0.98317719999999997</v>
      </c>
      <c r="M370" s="11">
        <v>17.314236470000001</v>
      </c>
      <c r="N370" s="11">
        <v>555.60605740000005</v>
      </c>
      <c r="O370" s="11">
        <v>744.51216839999995</v>
      </c>
      <c r="P370" s="11">
        <f>Table1[[#This Row],[Installed Capacity 
(AC -MW)]]/Table1[[#This Row],[Installed Capacity 
(DC -MW)]]</f>
        <v>0.7462686051109545</v>
      </c>
      <c r="Q370" s="12">
        <v>0.21413948999999999</v>
      </c>
      <c r="R370" s="12">
        <v>0.15980559999999999</v>
      </c>
      <c r="S370" s="13">
        <v>44.66769309</v>
      </c>
      <c r="T370" s="11">
        <v>3.3273506469999998</v>
      </c>
      <c r="U370" s="11">
        <v>134.9008766</v>
      </c>
      <c r="V370" s="13">
        <v>483202.20209999999</v>
      </c>
      <c r="W370" s="13">
        <v>532609.56000000006</v>
      </c>
      <c r="X370" s="13">
        <v>22.969768999999999</v>
      </c>
      <c r="Y370" s="14">
        <f>+Table1[[#This Row],[Generation Cost 
LCOE (USD/MWh)]]+Table1[[#This Row],[Transmission Cost
LCOT (USD/MWh)]]</f>
        <v>67.63746209</v>
      </c>
    </row>
    <row r="371" spans="1:25" x14ac:dyDescent="0.3">
      <c r="A371" s="7">
        <v>370</v>
      </c>
      <c r="B371" s="8">
        <v>5762</v>
      </c>
      <c r="C371" s="9">
        <v>48.315742</v>
      </c>
      <c r="D371" s="9">
        <v>-117.98294</v>
      </c>
      <c r="E371" s="10" t="s">
        <v>42</v>
      </c>
      <c r="F371" s="10" t="s">
        <v>4</v>
      </c>
      <c r="G371" s="10" t="s">
        <v>37</v>
      </c>
      <c r="H371" s="10">
        <v>-8</v>
      </c>
      <c r="I371" s="11">
        <v>985.78947370000003</v>
      </c>
      <c r="J371" s="11">
        <v>3.6697478000000001</v>
      </c>
      <c r="K371" s="11" t="str">
        <f>IF(Table1[[#This Row],[Solar 
Resource]]&lt;3,"Low", IF(Table1[[#This Row],[Solar 
Resource]]&lt;4, "Moderate","High"))</f>
        <v>Moderate</v>
      </c>
      <c r="L371" s="11">
        <v>0.98225932999999999</v>
      </c>
      <c r="M371" s="11">
        <v>12.17527196</v>
      </c>
      <c r="N371" s="11">
        <v>390.69899859999998</v>
      </c>
      <c r="O371" s="11">
        <v>523.53669430000002</v>
      </c>
      <c r="P371" s="11">
        <f>Table1[[#This Row],[Installed Capacity 
(AC -MW)]]/Table1[[#This Row],[Installed Capacity 
(DC -MW)]]</f>
        <v>0.74626860514980331</v>
      </c>
      <c r="Q371" s="12">
        <v>0.21480171000000001</v>
      </c>
      <c r="R371" s="12">
        <v>0.16029978</v>
      </c>
      <c r="S371" s="13">
        <v>44.497343569999998</v>
      </c>
      <c r="T371" s="11">
        <v>14.16042856</v>
      </c>
      <c r="U371" s="11">
        <v>115.389422</v>
      </c>
      <c r="V371" s="13">
        <v>416170.24969999999</v>
      </c>
      <c r="W371" s="13">
        <v>527466.80000000005</v>
      </c>
      <c r="X371" s="13">
        <v>22.677845000000001</v>
      </c>
      <c r="Y371" s="14">
        <f>+Table1[[#This Row],[Generation Cost 
LCOE (USD/MWh)]]+Table1[[#This Row],[Transmission Cost
LCOT (USD/MWh)]]</f>
        <v>67.175188570000003</v>
      </c>
    </row>
    <row r="372" spans="1:25" x14ac:dyDescent="0.3">
      <c r="A372" s="7">
        <v>371</v>
      </c>
      <c r="B372" s="8">
        <v>5763</v>
      </c>
      <c r="C372" s="9">
        <v>48.338140000000003</v>
      </c>
      <c r="D372" s="9">
        <v>-117.822754</v>
      </c>
      <c r="E372" s="10" t="s">
        <v>42</v>
      </c>
      <c r="F372" s="10" t="s">
        <v>4</v>
      </c>
      <c r="G372" s="10" t="s">
        <v>37</v>
      </c>
      <c r="H372" s="10">
        <v>-8</v>
      </c>
      <c r="I372" s="11">
        <v>717.1333333</v>
      </c>
      <c r="J372" s="11">
        <v>3.6070082000000001</v>
      </c>
      <c r="K372" s="11" t="str">
        <f>IF(Table1[[#This Row],[Solar 
Resource]]&lt;3,"Low", IF(Table1[[#This Row],[Solar 
Resource]]&lt;4, "Moderate","High"))</f>
        <v>Moderate</v>
      </c>
      <c r="L372" s="11">
        <v>0.98191890000000004</v>
      </c>
      <c r="M372" s="11">
        <v>10.37618108</v>
      </c>
      <c r="N372" s="11">
        <v>332.96694220000001</v>
      </c>
      <c r="O372" s="11">
        <v>446.17578639999999</v>
      </c>
      <c r="P372" s="11">
        <f>Table1[[#This Row],[Installed Capacity 
(AC -MW)]]/Table1[[#This Row],[Installed Capacity 
(DC -MW)]]</f>
        <v>0.74626851646649561</v>
      </c>
      <c r="Q372" s="12">
        <v>0.20874951999999999</v>
      </c>
      <c r="R372" s="12">
        <v>0.15578320000000001</v>
      </c>
      <c r="S372" s="13">
        <v>45.77499289</v>
      </c>
      <c r="T372" s="11">
        <v>3.612792206</v>
      </c>
      <c r="U372" s="11">
        <v>115.389422</v>
      </c>
      <c r="V372" s="13">
        <v>416170.24969999999</v>
      </c>
      <c r="W372" s="13">
        <v>459266.94</v>
      </c>
      <c r="X372" s="13">
        <v>20.318148000000001</v>
      </c>
      <c r="Y372" s="14">
        <f>+Table1[[#This Row],[Generation Cost 
LCOE (USD/MWh)]]+Table1[[#This Row],[Transmission Cost
LCOT (USD/MWh)]]</f>
        <v>66.093140890000001</v>
      </c>
    </row>
    <row r="373" spans="1:25" x14ac:dyDescent="0.3">
      <c r="A373" s="7">
        <v>372</v>
      </c>
      <c r="B373" s="8">
        <v>5764</v>
      </c>
      <c r="C373" s="9">
        <v>48.360374</v>
      </c>
      <c r="D373" s="9">
        <v>-117.66244500000001</v>
      </c>
      <c r="E373" s="10" t="s">
        <v>42</v>
      </c>
      <c r="F373" s="10" t="s">
        <v>4</v>
      </c>
      <c r="G373" s="10" t="s">
        <v>37</v>
      </c>
      <c r="H373" s="10">
        <v>-8</v>
      </c>
      <c r="I373" s="11">
        <v>905.4375</v>
      </c>
      <c r="J373" s="11">
        <v>3.6028152000000002</v>
      </c>
      <c r="K373" s="11" t="str">
        <f>IF(Table1[[#This Row],[Solar 
Resource]]&lt;3,"Low", IF(Table1[[#This Row],[Solar 
Resource]]&lt;4, "Moderate","High"))</f>
        <v>Moderate</v>
      </c>
      <c r="L373" s="11">
        <v>0.98160296999999996</v>
      </c>
      <c r="M373" s="11">
        <v>6.7573439210000004</v>
      </c>
      <c r="N373" s="11">
        <v>216.84012569999999</v>
      </c>
      <c r="O373" s="11">
        <v>290.56578860000002</v>
      </c>
      <c r="P373" s="11">
        <f>Table1[[#This Row],[Installed Capacity 
(AC -MW)]]/Table1[[#This Row],[Installed Capacity 
(DC -MW)]]</f>
        <v>0.74626860493376046</v>
      </c>
      <c r="Q373" s="12">
        <v>0.20913968999999999</v>
      </c>
      <c r="R373" s="12">
        <v>0.15607436999999999</v>
      </c>
      <c r="S373" s="13">
        <v>45.678053370000001</v>
      </c>
      <c r="T373" s="11">
        <v>1.5209545440000001</v>
      </c>
      <c r="U373" s="11">
        <v>124.3377986</v>
      </c>
      <c r="V373" s="13">
        <v>471085.1974</v>
      </c>
      <c r="W373" s="13">
        <v>532578.56000000006</v>
      </c>
      <c r="X373" s="13">
        <v>23.517524999999999</v>
      </c>
      <c r="Y373" s="14">
        <f>+Table1[[#This Row],[Generation Cost 
LCOE (USD/MWh)]]+Table1[[#This Row],[Transmission Cost
LCOT (USD/MWh)]]</f>
        <v>69.195578369999993</v>
      </c>
    </row>
    <row r="374" spans="1:25" x14ac:dyDescent="0.3">
      <c r="A374" s="7">
        <v>373</v>
      </c>
      <c r="B374" s="8">
        <v>5765</v>
      </c>
      <c r="C374" s="9">
        <v>48.382454000000003</v>
      </c>
      <c r="D374" s="9">
        <v>-117.502014</v>
      </c>
      <c r="E374" s="10" t="s">
        <v>42</v>
      </c>
      <c r="F374" s="10" t="s">
        <v>4</v>
      </c>
      <c r="G374" s="10" t="s">
        <v>30</v>
      </c>
      <c r="H374" s="10">
        <v>-8</v>
      </c>
      <c r="I374" s="11">
        <v>1257.6875</v>
      </c>
      <c r="J374" s="11">
        <v>3.5730696000000002</v>
      </c>
      <c r="K374" s="11" t="str">
        <f>IF(Table1[[#This Row],[Solar 
Resource]]&lt;3,"Low", IF(Table1[[#This Row],[Solar 
Resource]]&lt;4, "Moderate","High"))</f>
        <v>Moderate</v>
      </c>
      <c r="L374" s="11">
        <v>0.98169669999999998</v>
      </c>
      <c r="M374" s="11">
        <v>2.6150042180000002</v>
      </c>
      <c r="N374" s="11">
        <v>83.914308640000002</v>
      </c>
      <c r="O374" s="11">
        <v>112.4451814</v>
      </c>
      <c r="P374" s="11">
        <f>Table1[[#This Row],[Installed Capacity 
(AC -MW)]]/Table1[[#This Row],[Installed Capacity 
(DC -MW)]]</f>
        <v>0.74626860480123702</v>
      </c>
      <c r="Q374" s="12">
        <v>0.20918967999999999</v>
      </c>
      <c r="R374" s="12">
        <v>0.15611172000000001</v>
      </c>
      <c r="S374" s="13">
        <v>45.670544159999999</v>
      </c>
      <c r="T374" s="11">
        <v>3.9855844120000001</v>
      </c>
      <c r="U374" s="11">
        <v>120.09345450000001</v>
      </c>
      <c r="V374" s="13">
        <v>491772.13050000003</v>
      </c>
      <c r="W374" s="13">
        <v>568409.9</v>
      </c>
      <c r="X374" s="13">
        <v>25.093761000000001</v>
      </c>
      <c r="Y374" s="14">
        <f>+Table1[[#This Row],[Generation Cost 
LCOE (USD/MWh)]]+Table1[[#This Row],[Transmission Cost
LCOT (USD/MWh)]]</f>
        <v>70.764305159999992</v>
      </c>
    </row>
    <row r="375" spans="1:25" x14ac:dyDescent="0.3">
      <c r="A375" s="7">
        <v>374</v>
      </c>
      <c r="B375" s="8">
        <v>5766</v>
      </c>
      <c r="C375" s="9">
        <v>48.40437</v>
      </c>
      <c r="D375" s="9">
        <v>-117.341446</v>
      </c>
      <c r="E375" s="10" t="s">
        <v>42</v>
      </c>
      <c r="F375" s="10" t="s">
        <v>4</v>
      </c>
      <c r="G375" s="10" t="s">
        <v>30</v>
      </c>
      <c r="H375" s="10">
        <v>-8</v>
      </c>
      <c r="I375" s="11">
        <v>762.64285710000001</v>
      </c>
      <c r="J375" s="11">
        <v>3.4876014999999998</v>
      </c>
      <c r="K375" s="11" t="str">
        <f>IF(Table1[[#This Row],[Solar 
Resource]]&lt;3,"Low", IF(Table1[[#This Row],[Solar 
Resource]]&lt;4, "Moderate","High"))</f>
        <v>Moderate</v>
      </c>
      <c r="L375" s="11">
        <v>0.98157846999999998</v>
      </c>
      <c r="M375" s="11">
        <v>8.8717682369999995</v>
      </c>
      <c r="N375" s="11">
        <v>284.69105059999998</v>
      </c>
      <c r="O375" s="11">
        <v>381.48603420000001</v>
      </c>
      <c r="P375" s="11">
        <f>Table1[[#This Row],[Installed Capacity 
(AC -MW)]]/Table1[[#This Row],[Installed Capacity 
(DC -MW)]]</f>
        <v>0.7462686050801699</v>
      </c>
      <c r="Q375" s="12">
        <v>0.20015358999999999</v>
      </c>
      <c r="R375" s="12">
        <v>0.14936835000000001</v>
      </c>
      <c r="S375" s="13">
        <v>47.727866980000002</v>
      </c>
      <c r="T375" s="11">
        <v>0.38183766200000002</v>
      </c>
      <c r="U375" s="11">
        <v>115.9497077</v>
      </c>
      <c r="V375" s="13">
        <v>442743.39270000003</v>
      </c>
      <c r="W375" s="13">
        <v>486363.8</v>
      </c>
      <c r="X375" s="13">
        <v>22.441004</v>
      </c>
      <c r="Y375" s="14">
        <f>+Table1[[#This Row],[Generation Cost 
LCOE (USD/MWh)]]+Table1[[#This Row],[Transmission Cost
LCOT (USD/MWh)]]</f>
        <v>70.168870980000008</v>
      </c>
    </row>
    <row r="376" spans="1:25" x14ac:dyDescent="0.3">
      <c r="A376" s="7">
        <v>375</v>
      </c>
      <c r="B376" s="8">
        <v>5767</v>
      </c>
      <c r="C376" s="9">
        <v>48.426124999999999</v>
      </c>
      <c r="D376" s="9">
        <v>-117.180756</v>
      </c>
      <c r="E376" s="10" t="s">
        <v>42</v>
      </c>
      <c r="F376" s="10" t="s">
        <v>4</v>
      </c>
      <c r="G376" s="10" t="s">
        <v>30</v>
      </c>
      <c r="H376" s="10">
        <v>-8</v>
      </c>
      <c r="I376" s="11">
        <v>1099.6875</v>
      </c>
      <c r="J376" s="11">
        <v>3.5281549999999999</v>
      </c>
      <c r="K376" s="11" t="str">
        <f>IF(Table1[[#This Row],[Solar 
Resource]]&lt;3,"Low", IF(Table1[[#This Row],[Solar 
Resource]]&lt;4, "Moderate","High"))</f>
        <v>Moderate</v>
      </c>
      <c r="L376" s="11">
        <v>0.98172915000000005</v>
      </c>
      <c r="M376" s="11">
        <v>6.3306354860000003</v>
      </c>
      <c r="N376" s="11">
        <v>203.14726820000001</v>
      </c>
      <c r="O376" s="11">
        <v>272.21732589999999</v>
      </c>
      <c r="P376" s="11">
        <f>Table1[[#This Row],[Installed Capacity 
(AC -MW)]]/Table1[[#This Row],[Installed Capacity 
(DC -MW)]]</f>
        <v>0.74626869369301974</v>
      </c>
      <c r="Q376" s="12">
        <v>0.20446868000000001</v>
      </c>
      <c r="R376" s="12">
        <v>0.15258856000000001</v>
      </c>
      <c r="S376" s="13">
        <v>46.726261549999997</v>
      </c>
      <c r="T376" s="11">
        <v>10.36763635</v>
      </c>
      <c r="U376" s="11">
        <v>141.49006489999999</v>
      </c>
      <c r="V376" s="13">
        <v>518562.2794</v>
      </c>
      <c r="W376" s="13">
        <v>684877</v>
      </c>
      <c r="X376" s="13">
        <v>30.933579999999999</v>
      </c>
      <c r="Y376" s="14">
        <f>+Table1[[#This Row],[Generation Cost 
LCOE (USD/MWh)]]+Table1[[#This Row],[Transmission Cost
LCOT (USD/MWh)]]</f>
        <v>77.659841549999996</v>
      </c>
    </row>
    <row r="377" spans="1:25" x14ac:dyDescent="0.3">
      <c r="A377" s="7">
        <v>376</v>
      </c>
      <c r="B377" s="8">
        <v>5768</v>
      </c>
      <c r="C377" s="9">
        <v>48.447719999999997</v>
      </c>
      <c r="D377" s="9">
        <v>-117.01994999999999</v>
      </c>
      <c r="E377" s="10" t="s">
        <v>42</v>
      </c>
      <c r="F377" s="10" t="s">
        <v>1</v>
      </c>
      <c r="G377" s="10" t="s">
        <v>9</v>
      </c>
      <c r="H377" s="10">
        <v>-8</v>
      </c>
      <c r="I377" s="11">
        <v>928.8</v>
      </c>
      <c r="J377" s="11">
        <v>3.4473335999999999</v>
      </c>
      <c r="K377" s="11" t="str">
        <f>IF(Table1[[#This Row],[Solar 
Resource]]&lt;3,"Low", IF(Table1[[#This Row],[Solar 
Resource]]&lt;4, "Moderate","High"))</f>
        <v>Moderate</v>
      </c>
      <c r="L377" s="11">
        <v>0.98184269999999996</v>
      </c>
      <c r="M377" s="11">
        <v>12.14206216</v>
      </c>
      <c r="N377" s="11">
        <v>389.63326460000002</v>
      </c>
      <c r="O377" s="11">
        <v>522.10867280000002</v>
      </c>
      <c r="P377" s="11">
        <f>Table1[[#This Row],[Installed Capacity 
(AC -MW)]]/Table1[[#This Row],[Installed Capacity 
(DC -MW)]]</f>
        <v>0.7462685163041789</v>
      </c>
      <c r="Q377" s="12">
        <v>0.19777429999999999</v>
      </c>
      <c r="R377" s="12">
        <v>0.14759274</v>
      </c>
      <c r="S377" s="13">
        <v>48.312266399999999</v>
      </c>
      <c r="T377" s="11">
        <v>35.741883090000002</v>
      </c>
      <c r="U377" s="11">
        <v>315.34175310000001</v>
      </c>
      <c r="V377" s="13">
        <v>1168665.02</v>
      </c>
      <c r="W377" s="13">
        <v>1436043.2</v>
      </c>
      <c r="X377" s="13">
        <v>67.05668</v>
      </c>
      <c r="Y377" s="14">
        <f>+Table1[[#This Row],[Generation Cost 
LCOE (USD/MWh)]]+Table1[[#This Row],[Transmission Cost
LCOT (USD/MWh)]]</f>
        <v>115.3689464</v>
      </c>
    </row>
    <row r="378" spans="1:25" x14ac:dyDescent="0.3">
      <c r="A378" s="7">
        <v>377</v>
      </c>
      <c r="B378" s="8">
        <v>5769</v>
      </c>
      <c r="C378" s="9">
        <v>48.469154000000003</v>
      </c>
      <c r="D378" s="9">
        <v>-116.85902400000001</v>
      </c>
      <c r="E378" s="10" t="s">
        <v>42</v>
      </c>
      <c r="F378" s="10" t="s">
        <v>1</v>
      </c>
      <c r="G378" s="10" t="s">
        <v>9</v>
      </c>
      <c r="H378" s="10">
        <v>-8</v>
      </c>
      <c r="I378" s="11">
        <v>875.15789470000004</v>
      </c>
      <c r="J378" s="11">
        <v>3.4363315000000001</v>
      </c>
      <c r="K378" s="11" t="str">
        <f>IF(Table1[[#This Row],[Solar 
Resource]]&lt;3,"Low", IF(Table1[[#This Row],[Solar 
Resource]]&lt;4, "Moderate","High"))</f>
        <v>Moderate</v>
      </c>
      <c r="L378" s="11">
        <v>0.98128170000000003</v>
      </c>
      <c r="M378" s="11">
        <v>29.459537839999999</v>
      </c>
      <c r="N378" s="11">
        <v>945.34342549999997</v>
      </c>
      <c r="O378" s="11">
        <v>1266.760127</v>
      </c>
      <c r="P378" s="11">
        <f>Table1[[#This Row],[Installed Capacity 
(AC -MW)]]/Table1[[#This Row],[Installed Capacity 
(DC -MW)]]</f>
        <v>0.74626869393087547</v>
      </c>
      <c r="Q378" s="12">
        <v>0.19664063000000001</v>
      </c>
      <c r="R378" s="12">
        <v>0.14674673999999999</v>
      </c>
      <c r="S378" s="13">
        <v>48.568994629999999</v>
      </c>
      <c r="T378" s="11">
        <v>31.468207769999999</v>
      </c>
      <c r="U378" s="11">
        <v>352.48215570000002</v>
      </c>
      <c r="V378" s="13">
        <v>1337688.531</v>
      </c>
      <c r="W378" s="13">
        <v>1624272.8</v>
      </c>
      <c r="X378" s="13">
        <v>76.283410000000003</v>
      </c>
      <c r="Y378" s="14">
        <f>+Table1[[#This Row],[Generation Cost 
LCOE (USD/MWh)]]+Table1[[#This Row],[Transmission Cost
LCOT (USD/MWh)]]</f>
        <v>124.85240463</v>
      </c>
    </row>
    <row r="379" spans="1:25" x14ac:dyDescent="0.3">
      <c r="A379" s="7">
        <v>378</v>
      </c>
      <c r="B379" s="8">
        <v>5770</v>
      </c>
      <c r="C379" s="9">
        <v>48.490425000000002</v>
      </c>
      <c r="D379" s="9">
        <v>-116.69797</v>
      </c>
      <c r="E379" s="10" t="s">
        <v>42</v>
      </c>
      <c r="F379" s="10" t="s">
        <v>1</v>
      </c>
      <c r="G379" s="10" t="s">
        <v>9</v>
      </c>
      <c r="H379" s="10">
        <v>-8</v>
      </c>
      <c r="I379" s="11">
        <v>1459.666667</v>
      </c>
      <c r="J379" s="11">
        <v>3.4096462999999999</v>
      </c>
      <c r="K379" s="11" t="str">
        <f>IF(Table1[[#This Row],[Solar 
Resource]]&lt;3,"Low", IF(Table1[[#This Row],[Solar 
Resource]]&lt;4, "Moderate","High"))</f>
        <v>Moderate</v>
      </c>
      <c r="L379" s="11">
        <v>0.98155340000000002</v>
      </c>
      <c r="M379" s="11">
        <v>0.51418802699999999</v>
      </c>
      <c r="N379" s="11">
        <v>16.500064380000001</v>
      </c>
      <c r="O379" s="11">
        <v>22.110085170000001</v>
      </c>
      <c r="P379" s="11">
        <f>Table1[[#This Row],[Installed Capacity 
(AC -MW)]]/Table1[[#This Row],[Installed Capacity 
(DC -MW)]]</f>
        <v>0.74626869381706684</v>
      </c>
      <c r="Q379" s="12">
        <v>0.19793638999999999</v>
      </c>
      <c r="R379" s="12">
        <v>0.14771369000000001</v>
      </c>
      <c r="S379" s="13">
        <v>56.367111180000002</v>
      </c>
      <c r="T379" s="11">
        <v>22.127850630000001</v>
      </c>
      <c r="U379" s="11">
        <v>362.55530499999998</v>
      </c>
      <c r="V379" s="13">
        <v>1379563.746</v>
      </c>
      <c r="W379" s="13">
        <v>1553391.8</v>
      </c>
      <c r="X379" s="13">
        <v>72.476929999999996</v>
      </c>
      <c r="Y379" s="14">
        <f>+Table1[[#This Row],[Generation Cost 
LCOE (USD/MWh)]]+Table1[[#This Row],[Transmission Cost
LCOT (USD/MWh)]]</f>
        <v>128.84404118</v>
      </c>
    </row>
    <row r="380" spans="1:25" x14ac:dyDescent="0.3">
      <c r="A380" s="7">
        <v>379</v>
      </c>
      <c r="B380" s="8">
        <v>5771</v>
      </c>
      <c r="C380" s="9">
        <v>48.511536</v>
      </c>
      <c r="D380" s="9">
        <v>-116.53677999999999</v>
      </c>
      <c r="E380" s="10" t="s">
        <v>42</v>
      </c>
      <c r="F380" s="10" t="s">
        <v>1</v>
      </c>
      <c r="G380" s="10" t="s">
        <v>9</v>
      </c>
      <c r="H380" s="10">
        <v>-8</v>
      </c>
      <c r="I380" s="11">
        <v>1027.526316</v>
      </c>
      <c r="J380" s="11">
        <v>3.4480032999999999</v>
      </c>
      <c r="K380" s="11" t="str">
        <f>IF(Table1[[#This Row],[Solar 
Resource]]&lt;3,"Low", IF(Table1[[#This Row],[Solar 
Resource]]&lt;4, "Moderate","High"))</f>
        <v>Moderate</v>
      </c>
      <c r="L380" s="11">
        <v>0.98187685000000002</v>
      </c>
      <c r="M380" s="11">
        <v>6.7474616640000002</v>
      </c>
      <c r="N380" s="11">
        <v>216.52303430000001</v>
      </c>
      <c r="O380" s="11">
        <v>290.1408515</v>
      </c>
      <c r="P380" s="11">
        <f>Table1[[#This Row],[Installed Capacity 
(AC -MW)]]/Table1[[#This Row],[Installed Capacity 
(DC -MW)]]</f>
        <v>0.74626869391399719</v>
      </c>
      <c r="Q380" s="12">
        <v>0.1987892</v>
      </c>
      <c r="R380" s="12">
        <v>0.14835016000000001</v>
      </c>
      <c r="S380" s="13">
        <v>48.066909410000001</v>
      </c>
      <c r="T380" s="11">
        <v>12.313006489999999</v>
      </c>
      <c r="U380" s="11">
        <v>362.55530499999998</v>
      </c>
      <c r="V380" s="13">
        <v>1379563.746</v>
      </c>
      <c r="W380" s="13">
        <v>1506643.2</v>
      </c>
      <c r="X380" s="13">
        <v>69.994200000000006</v>
      </c>
      <c r="Y380" s="14">
        <f>+Table1[[#This Row],[Generation Cost 
LCOE (USD/MWh)]]+Table1[[#This Row],[Transmission Cost
LCOT (USD/MWh)]]</f>
        <v>118.06110941</v>
      </c>
    </row>
    <row r="381" spans="1:25" x14ac:dyDescent="0.3">
      <c r="A381" s="7">
        <v>380</v>
      </c>
      <c r="B381" s="8">
        <v>5772</v>
      </c>
      <c r="C381" s="9">
        <v>48.532485999999999</v>
      </c>
      <c r="D381" s="9">
        <v>-116.37549</v>
      </c>
      <c r="E381" s="10" t="s">
        <v>42</v>
      </c>
      <c r="F381" s="10" t="s">
        <v>1</v>
      </c>
      <c r="G381" s="10" t="s">
        <v>10</v>
      </c>
      <c r="H381" s="10">
        <v>-8</v>
      </c>
      <c r="I381" s="11">
        <v>918</v>
      </c>
      <c r="J381" s="11">
        <v>3.5127907</v>
      </c>
      <c r="K381" s="11" t="str">
        <f>IF(Table1[[#This Row],[Solar 
Resource]]&lt;3,"Low", IF(Table1[[#This Row],[Solar 
Resource]]&lt;4, "Moderate","High"))</f>
        <v>Moderate</v>
      </c>
      <c r="L381" s="11">
        <v>0.98224929999999999</v>
      </c>
      <c r="M381" s="11">
        <v>20.942063529999999</v>
      </c>
      <c r="N381" s="11">
        <v>672.02147490000004</v>
      </c>
      <c r="O381" s="11">
        <v>900.50873160000003</v>
      </c>
      <c r="P381" s="11">
        <f>Table1[[#This Row],[Installed Capacity 
(AC -MW)]]/Table1[[#This Row],[Installed Capacity 
(DC -MW)]]</f>
        <v>0.74626869381485073</v>
      </c>
      <c r="Q381" s="12">
        <v>0.2029436</v>
      </c>
      <c r="R381" s="12">
        <v>0.15145046000000001</v>
      </c>
      <c r="S381" s="13">
        <v>47.096970919999997</v>
      </c>
      <c r="T381" s="11">
        <v>4.4355844119999999</v>
      </c>
      <c r="U381" s="11">
        <v>378.34212969999999</v>
      </c>
      <c r="V381" s="13">
        <v>1442074.584</v>
      </c>
      <c r="W381" s="13">
        <v>1531212.6</v>
      </c>
      <c r="X381" s="13">
        <v>69.679429999999996</v>
      </c>
      <c r="Y381" s="14">
        <f>+Table1[[#This Row],[Generation Cost 
LCOE (USD/MWh)]]+Table1[[#This Row],[Transmission Cost
LCOT (USD/MWh)]]</f>
        <v>116.77640091999999</v>
      </c>
    </row>
    <row r="382" spans="1:25" x14ac:dyDescent="0.3">
      <c r="A382" s="7">
        <v>381</v>
      </c>
      <c r="B382" s="8">
        <v>5773</v>
      </c>
      <c r="C382" s="9">
        <v>48.553272</v>
      </c>
      <c r="D382" s="9">
        <v>-116.214066</v>
      </c>
      <c r="E382" s="10" t="s">
        <v>42</v>
      </c>
      <c r="F382" s="10" t="s">
        <v>1</v>
      </c>
      <c r="G382" s="10" t="s">
        <v>10</v>
      </c>
      <c r="H382" s="10">
        <v>-8</v>
      </c>
      <c r="I382" s="11">
        <v>1405.666667</v>
      </c>
      <c r="J382" s="11">
        <v>3.59259</v>
      </c>
      <c r="K382" s="11" t="str">
        <f>IF(Table1[[#This Row],[Solar 
Resource]]&lt;3,"Low", IF(Table1[[#This Row],[Solar 
Resource]]&lt;4, "Moderate","High"))</f>
        <v>Moderate</v>
      </c>
      <c r="L382" s="11">
        <v>0.98243994000000001</v>
      </c>
      <c r="M382" s="11">
        <v>0.35996398899999998</v>
      </c>
      <c r="N382" s="11">
        <v>11.55108517</v>
      </c>
      <c r="O382" s="11">
        <v>15.47845152</v>
      </c>
      <c r="P382" s="11">
        <f>Table1[[#This Row],[Installed Capacity 
(AC -MW)]]/Table1[[#This Row],[Installed Capacity 
(DC -MW)]]</f>
        <v>0.74626878244730255</v>
      </c>
      <c r="Q382" s="12">
        <v>0.21157618</v>
      </c>
      <c r="R382" s="12">
        <v>0.1578927</v>
      </c>
      <c r="S382" s="13">
        <v>54.887749419999999</v>
      </c>
      <c r="T382" s="11">
        <v>18.313220770000001</v>
      </c>
      <c r="U382" s="11">
        <v>396.70012320000001</v>
      </c>
      <c r="V382" s="13">
        <v>1520048.6880000001</v>
      </c>
      <c r="W382" s="13">
        <v>1717032.9</v>
      </c>
      <c r="X382" s="13">
        <v>74.947339999999997</v>
      </c>
      <c r="Y382" s="14">
        <f>+Table1[[#This Row],[Generation Cost 
LCOE (USD/MWh)]]+Table1[[#This Row],[Transmission Cost
LCOT (USD/MWh)]]</f>
        <v>129.83508942</v>
      </c>
    </row>
    <row r="383" spans="1:25" x14ac:dyDescent="0.3">
      <c r="A383" s="7">
        <v>382</v>
      </c>
      <c r="B383" s="8">
        <v>5774</v>
      </c>
      <c r="C383" s="9">
        <v>48.573900000000002</v>
      </c>
      <c r="D383" s="9">
        <v>-116.052536</v>
      </c>
      <c r="E383" s="10" t="s">
        <v>42</v>
      </c>
      <c r="F383" s="10" t="s">
        <v>3</v>
      </c>
      <c r="G383" s="10" t="s">
        <v>27</v>
      </c>
      <c r="H383" s="10">
        <v>-7</v>
      </c>
      <c r="I383" s="11">
        <v>936.5</v>
      </c>
      <c r="J383" s="11">
        <v>3.4796163999999998</v>
      </c>
      <c r="K383" s="11" t="str">
        <f>IF(Table1[[#This Row],[Solar 
Resource]]&lt;3,"Low", IF(Table1[[#This Row],[Solar 
Resource]]&lt;4, "Moderate","High"))</f>
        <v>Moderate</v>
      </c>
      <c r="L383" s="11">
        <v>0.98279870000000003</v>
      </c>
      <c r="M383" s="11">
        <v>10.83488313</v>
      </c>
      <c r="N383" s="11">
        <v>347.68656549999997</v>
      </c>
      <c r="O383" s="11">
        <v>465.89997460000001</v>
      </c>
      <c r="P383" s="11">
        <f>Table1[[#This Row],[Installed Capacity 
(AC -MW)]]/Table1[[#This Row],[Installed Capacity 
(DC -MW)]]</f>
        <v>0.74626869382963035</v>
      </c>
      <c r="Q383" s="12">
        <v>0.20022261</v>
      </c>
      <c r="R383" s="12">
        <v>0.14941984</v>
      </c>
      <c r="S383" s="13">
        <v>47.757983420000002</v>
      </c>
      <c r="T383" s="11">
        <v>10.36124025</v>
      </c>
      <c r="U383" s="11">
        <v>363.42442190000003</v>
      </c>
      <c r="V383" s="13">
        <v>1624341.7120000001</v>
      </c>
      <c r="W383" s="13">
        <v>1772242.4</v>
      </c>
      <c r="X383" s="13">
        <v>81.743719999999996</v>
      </c>
      <c r="Y383" s="14">
        <f>+Table1[[#This Row],[Generation Cost 
LCOE (USD/MWh)]]+Table1[[#This Row],[Transmission Cost
LCOT (USD/MWh)]]</f>
        <v>129.50170342000001</v>
      </c>
    </row>
    <row r="384" spans="1:25" x14ac:dyDescent="0.3">
      <c r="A384" s="7">
        <v>383</v>
      </c>
      <c r="B384" s="8">
        <v>5775</v>
      </c>
      <c r="C384" s="9">
        <v>48.594360000000002</v>
      </c>
      <c r="D384" s="9">
        <v>-115.89087000000001</v>
      </c>
      <c r="E384" s="10" t="s">
        <v>42</v>
      </c>
      <c r="F384" s="10" t="s">
        <v>3</v>
      </c>
      <c r="G384" s="10" t="s">
        <v>27</v>
      </c>
      <c r="H384" s="10">
        <v>-7</v>
      </c>
      <c r="I384" s="11">
        <v>966.07692310000004</v>
      </c>
      <c r="J384" s="11">
        <v>3.4427238</v>
      </c>
      <c r="K384" s="11" t="str">
        <f>IF(Table1[[#This Row],[Solar 
Resource]]&lt;3,"Low", IF(Table1[[#This Row],[Solar 
Resource]]&lt;4, "Moderate","High"))</f>
        <v>Moderate</v>
      </c>
      <c r="L384" s="11">
        <v>0.98301755999999996</v>
      </c>
      <c r="M384" s="11">
        <v>7.2164523559999996</v>
      </c>
      <c r="N384" s="11">
        <v>231.57270879999999</v>
      </c>
      <c r="O384" s="11">
        <v>310.30745130000003</v>
      </c>
      <c r="P384" s="11">
        <f>Table1[[#This Row],[Installed Capacity 
(AC -MW)]]/Table1[[#This Row],[Installed Capacity 
(DC -MW)]]</f>
        <v>0.74626860499111702</v>
      </c>
      <c r="Q384" s="12">
        <v>0.19808998999999999</v>
      </c>
      <c r="R384" s="12">
        <v>0.14782835999999999</v>
      </c>
      <c r="S384" s="13">
        <v>48.280572409999998</v>
      </c>
      <c r="T384" s="11">
        <v>7.9301428530000004</v>
      </c>
      <c r="U384" s="11">
        <v>355.64604530000003</v>
      </c>
      <c r="V384" s="13">
        <v>1582315.5260000001</v>
      </c>
      <c r="W384" s="13">
        <v>1694317.4</v>
      </c>
      <c r="X384" s="13">
        <v>78.990819999999999</v>
      </c>
      <c r="Y384" s="14">
        <f>+Table1[[#This Row],[Generation Cost 
LCOE (USD/MWh)]]+Table1[[#This Row],[Transmission Cost
LCOT (USD/MWh)]]</f>
        <v>127.27139241</v>
      </c>
    </row>
    <row r="385" spans="1:25" x14ac:dyDescent="0.3">
      <c r="A385" s="7">
        <v>384</v>
      </c>
      <c r="B385" s="8">
        <v>5776</v>
      </c>
      <c r="C385" s="9">
        <v>48.614662000000003</v>
      </c>
      <c r="D385" s="9">
        <v>-115.729095</v>
      </c>
      <c r="E385" s="10" t="s">
        <v>42</v>
      </c>
      <c r="F385" s="10" t="s">
        <v>3</v>
      </c>
      <c r="G385" s="10" t="s">
        <v>27</v>
      </c>
      <c r="H385" s="10">
        <v>-7</v>
      </c>
      <c r="I385" s="11">
        <v>1357</v>
      </c>
      <c r="J385" s="11">
        <v>3.4582307000000001</v>
      </c>
      <c r="K385" s="11" t="str">
        <f>IF(Table1[[#This Row],[Solar 
Resource]]&lt;3,"Low", IF(Table1[[#This Row],[Solar 
Resource]]&lt;4, "Moderate","High"))</f>
        <v>Moderate</v>
      </c>
      <c r="L385" s="11">
        <v>0.98346882999999996</v>
      </c>
      <c r="M385" s="11">
        <v>7.0307994999999998E-2</v>
      </c>
      <c r="N385" s="11">
        <v>2.2561521820000001</v>
      </c>
      <c r="O385" s="11">
        <v>3.023243774</v>
      </c>
      <c r="P385" s="11">
        <f>Table1[[#This Row],[Installed Capacity 
(AC -MW)]]/Table1[[#This Row],[Installed Capacity 
(DC -MW)]]</f>
        <v>0.74626869371335058</v>
      </c>
      <c r="Q385" s="12">
        <v>0.20015050000000001</v>
      </c>
      <c r="R385" s="12">
        <v>0.14936604000000001</v>
      </c>
      <c r="S385" s="13">
        <v>69.814668470000001</v>
      </c>
      <c r="T385" s="11">
        <v>20.028519469999999</v>
      </c>
      <c r="U385" s="11">
        <v>355.64604530000003</v>
      </c>
      <c r="V385" s="13">
        <v>1582315.5260000001</v>
      </c>
      <c r="W385" s="13">
        <v>1798091.5</v>
      </c>
      <c r="X385" s="13">
        <v>82.965869999999995</v>
      </c>
      <c r="Y385" s="14">
        <f>+Table1[[#This Row],[Generation Cost 
LCOE (USD/MWh)]]+Table1[[#This Row],[Transmission Cost
LCOT (USD/MWh)]]</f>
        <v>152.78053847000001</v>
      </c>
    </row>
    <row r="386" spans="1:25" x14ac:dyDescent="0.3">
      <c r="A386" s="7">
        <v>385</v>
      </c>
      <c r="B386" s="8">
        <v>5777</v>
      </c>
      <c r="C386" s="9">
        <v>48.634796000000001</v>
      </c>
      <c r="D386" s="9">
        <v>-115.567215</v>
      </c>
      <c r="E386" s="10" t="s">
        <v>42</v>
      </c>
      <c r="F386" s="10" t="s">
        <v>3</v>
      </c>
      <c r="G386" s="10" t="s">
        <v>27</v>
      </c>
      <c r="H386" s="10">
        <v>-7</v>
      </c>
      <c r="I386" s="11">
        <v>1336.333333</v>
      </c>
      <c r="J386" s="11">
        <v>3.4502856999999998</v>
      </c>
      <c r="K386" s="11" t="str">
        <f>IF(Table1[[#This Row],[Solar 
Resource]]&lt;3,"Low", IF(Table1[[#This Row],[Solar 
Resource]]&lt;4, "Moderate","High"))</f>
        <v>Moderate</v>
      </c>
      <c r="L386" s="11">
        <v>0.98360055999999996</v>
      </c>
      <c r="M386" s="11">
        <v>1.282391936</v>
      </c>
      <c r="N386" s="11">
        <v>41.151385060000003</v>
      </c>
      <c r="O386" s="11">
        <v>55.142853240000001</v>
      </c>
      <c r="P386" s="11">
        <f>Table1[[#This Row],[Installed Capacity 
(AC -MW)]]/Table1[[#This Row],[Installed Capacity 
(DC -MW)]]</f>
        <v>0.7462686938032661</v>
      </c>
      <c r="Q386" s="12">
        <v>0.19991390000000001</v>
      </c>
      <c r="R386" s="12">
        <v>0.14918946</v>
      </c>
      <c r="S386" s="13">
        <v>50.626943750000002</v>
      </c>
      <c r="T386" s="11">
        <v>27.2796883</v>
      </c>
      <c r="U386" s="11">
        <v>310.80511669999999</v>
      </c>
      <c r="V386" s="13">
        <v>1317859.344</v>
      </c>
      <c r="W386" s="13">
        <v>1601169.2</v>
      </c>
      <c r="X386" s="13">
        <v>73.967110000000005</v>
      </c>
      <c r="Y386" s="14">
        <f>+Table1[[#This Row],[Generation Cost 
LCOE (USD/MWh)]]+Table1[[#This Row],[Transmission Cost
LCOT (USD/MWh)]]</f>
        <v>124.59405375</v>
      </c>
    </row>
    <row r="387" spans="1:25" x14ac:dyDescent="0.3">
      <c r="A387" s="7">
        <v>386</v>
      </c>
      <c r="B387" s="8">
        <v>5778</v>
      </c>
      <c r="C387" s="9">
        <v>48.654769999999999</v>
      </c>
      <c r="D387" s="9">
        <v>-115.40521</v>
      </c>
      <c r="E387" s="10" t="s">
        <v>42</v>
      </c>
      <c r="F387" s="10" t="s">
        <v>3</v>
      </c>
      <c r="G387" s="10" t="s">
        <v>27</v>
      </c>
      <c r="H387" s="10">
        <v>-7</v>
      </c>
      <c r="I387" s="11">
        <v>1076</v>
      </c>
      <c r="J387" s="11">
        <v>3.456842</v>
      </c>
      <c r="K387" s="11" t="str">
        <f>IF(Table1[[#This Row],[Solar 
Resource]]&lt;3,"Low", IF(Table1[[#This Row],[Solar 
Resource]]&lt;4, "Moderate","High"))</f>
        <v>Moderate</v>
      </c>
      <c r="L387" s="11">
        <v>0.98382645999999996</v>
      </c>
      <c r="M387" s="11">
        <v>0.157463989</v>
      </c>
      <c r="N387" s="11">
        <v>5.0529491479999997</v>
      </c>
      <c r="O387" s="11">
        <v>6.7709515219999998</v>
      </c>
      <c r="P387" s="11">
        <f>Table1[[#This Row],[Installed Capacity 
(AC -MW)]]/Table1[[#This Row],[Installed Capacity 
(DC -MW)]]</f>
        <v>0.74626869378433569</v>
      </c>
      <c r="Q387" s="12">
        <v>0.19992797000000001</v>
      </c>
      <c r="R387" s="12">
        <v>0.14919999</v>
      </c>
      <c r="S387" s="13">
        <v>63.784683680000001</v>
      </c>
      <c r="T387" s="11">
        <v>30.821668809999998</v>
      </c>
      <c r="U387" s="11">
        <v>295.59027259999999</v>
      </c>
      <c r="V387" s="13">
        <v>1242294.4909999999</v>
      </c>
      <c r="W387" s="13">
        <v>1560929.1</v>
      </c>
      <c r="X387" s="13">
        <v>72.103120000000004</v>
      </c>
      <c r="Y387" s="14">
        <f>+Table1[[#This Row],[Generation Cost 
LCOE (USD/MWh)]]+Table1[[#This Row],[Transmission Cost
LCOT (USD/MWh)]]</f>
        <v>135.88780367999999</v>
      </c>
    </row>
    <row r="388" spans="1:25" x14ac:dyDescent="0.3">
      <c r="A388" s="7">
        <v>387</v>
      </c>
      <c r="B388" s="8">
        <v>5780</v>
      </c>
      <c r="C388" s="9">
        <v>48.694229999999997</v>
      </c>
      <c r="D388" s="9">
        <v>-115.08085</v>
      </c>
      <c r="E388" s="10" t="s">
        <v>42</v>
      </c>
      <c r="F388" s="10" t="s">
        <v>3</v>
      </c>
      <c r="G388" s="10" t="s">
        <v>27</v>
      </c>
      <c r="H388" s="10">
        <v>-7</v>
      </c>
      <c r="I388" s="11">
        <v>1306.4285709999999</v>
      </c>
      <c r="J388" s="11">
        <v>3.5259068</v>
      </c>
      <c r="K388" s="11" t="str">
        <f>IF(Table1[[#This Row],[Solar 
Resource]]&lt;3,"Low", IF(Table1[[#This Row],[Solar 
Resource]]&lt;4, "Moderate","High"))</f>
        <v>Moderate</v>
      </c>
      <c r="L388" s="11">
        <v>0.98417412999999998</v>
      </c>
      <c r="M388" s="11">
        <v>2.2083841190000002</v>
      </c>
      <c r="N388" s="11">
        <v>70.866052640000007</v>
      </c>
      <c r="O388" s="11">
        <v>94.960517100000004</v>
      </c>
      <c r="P388" s="11">
        <f>Table1[[#This Row],[Installed Capacity 
(AC -MW)]]/Table1[[#This Row],[Installed Capacity 
(DC -MW)]]</f>
        <v>0.74626860514431637</v>
      </c>
      <c r="Q388" s="12">
        <v>0.20557238</v>
      </c>
      <c r="R388" s="12">
        <v>0.15341225</v>
      </c>
      <c r="S388" s="13">
        <v>46.566235169999999</v>
      </c>
      <c r="T388" s="11">
        <v>16.302337649999998</v>
      </c>
      <c r="U388" s="11">
        <v>286.24790890000003</v>
      </c>
      <c r="V388" s="13">
        <v>1163172.7890000001</v>
      </c>
      <c r="W388" s="13">
        <v>1347539.2</v>
      </c>
      <c r="X388" s="13">
        <v>60.537019999999998</v>
      </c>
      <c r="Y388" s="14">
        <f>+Table1[[#This Row],[Generation Cost 
LCOE (USD/MWh)]]+Table1[[#This Row],[Transmission Cost
LCOT (USD/MWh)]]</f>
        <v>107.10325517</v>
      </c>
    </row>
    <row r="389" spans="1:25" x14ac:dyDescent="0.3">
      <c r="A389" s="7">
        <v>388</v>
      </c>
      <c r="B389" s="8">
        <v>5781</v>
      </c>
      <c r="C389" s="9">
        <v>48.713715000000001</v>
      </c>
      <c r="D389" s="9">
        <v>-114.91849999999999</v>
      </c>
      <c r="E389" s="10" t="s">
        <v>42</v>
      </c>
      <c r="F389" s="10" t="s">
        <v>3</v>
      </c>
      <c r="G389" s="10" t="s">
        <v>27</v>
      </c>
      <c r="H389" s="10">
        <v>-7</v>
      </c>
      <c r="I389" s="11">
        <v>1134.7</v>
      </c>
      <c r="J389" s="11">
        <v>3.4164987</v>
      </c>
      <c r="K389" s="11" t="str">
        <f>IF(Table1[[#This Row],[Solar 
Resource]]&lt;3,"Low", IF(Table1[[#This Row],[Solar 
Resource]]&lt;4, "Moderate","High"))</f>
        <v>Moderate</v>
      </c>
      <c r="L389" s="11">
        <v>0.98422719999999997</v>
      </c>
      <c r="M389" s="11">
        <v>42.288640579999999</v>
      </c>
      <c r="N389" s="11">
        <v>1357.023447</v>
      </c>
      <c r="O389" s="11">
        <v>1818.4115449999999</v>
      </c>
      <c r="P389" s="11">
        <f>Table1[[#This Row],[Installed Capacity 
(AC -MW)]]/Table1[[#This Row],[Installed Capacity 
(DC -MW)]]</f>
        <v>0.7462686049983257</v>
      </c>
      <c r="Q389" s="12">
        <v>0.19680887</v>
      </c>
      <c r="R389" s="12">
        <v>0.14687230000000001</v>
      </c>
      <c r="S389" s="13">
        <v>48.641799470000002</v>
      </c>
      <c r="T389" s="11">
        <v>4.7055844120000003</v>
      </c>
      <c r="U389" s="11">
        <v>278.14946090000001</v>
      </c>
      <c r="V389" s="13">
        <v>1119900.7649999999</v>
      </c>
      <c r="W389" s="13">
        <v>1207440.8</v>
      </c>
      <c r="X389" s="13">
        <v>56.658560000000001</v>
      </c>
      <c r="Y389" s="14">
        <f>+Table1[[#This Row],[Generation Cost 
LCOE (USD/MWh)]]+Table1[[#This Row],[Transmission Cost
LCOT (USD/MWh)]]</f>
        <v>105.30035947</v>
      </c>
    </row>
    <row r="390" spans="1:25" x14ac:dyDescent="0.3">
      <c r="A390" s="7">
        <v>389</v>
      </c>
      <c r="B390" s="8">
        <v>5782</v>
      </c>
      <c r="C390" s="9">
        <v>48.733035999999998</v>
      </c>
      <c r="D390" s="9">
        <v>-114.75604</v>
      </c>
      <c r="E390" s="10" t="s">
        <v>42</v>
      </c>
      <c r="F390" s="10" t="s">
        <v>3</v>
      </c>
      <c r="G390" s="10" t="s">
        <v>27</v>
      </c>
      <c r="H390" s="10">
        <v>-7</v>
      </c>
      <c r="I390" s="11">
        <v>1561.5454549999999</v>
      </c>
      <c r="J390" s="11">
        <v>3.3647783000000002</v>
      </c>
      <c r="K390" s="11" t="str">
        <f>IF(Table1[[#This Row],[Solar 
Resource]]&lt;3,"Low", IF(Table1[[#This Row],[Solar 
Resource]]&lt;4, "Moderate","High"))</f>
        <v>Moderate</v>
      </c>
      <c r="L390" s="11">
        <v>0.98135229999999996</v>
      </c>
      <c r="M390" s="11">
        <v>5.4717121579999999</v>
      </c>
      <c r="N390" s="11">
        <v>175.58478099999999</v>
      </c>
      <c r="O390" s="11">
        <v>235.28362279999999</v>
      </c>
      <c r="P390" s="11">
        <f>Table1[[#This Row],[Installed Capacity 
(AC -MW)]]/Table1[[#This Row],[Installed Capacity 
(DC -MW)]]</f>
        <v>0.74626860514322202</v>
      </c>
      <c r="Q390" s="12">
        <v>0.19402834999999999</v>
      </c>
      <c r="R390" s="12">
        <v>0.14479729999999999</v>
      </c>
      <c r="S390" s="13">
        <v>49.22567076</v>
      </c>
      <c r="T390" s="11">
        <v>7.3347727210000002</v>
      </c>
      <c r="U390" s="11">
        <v>271.89468820000002</v>
      </c>
      <c r="V390" s="13">
        <v>1084734.3330000001</v>
      </c>
      <c r="W390" s="13">
        <v>1217226.8</v>
      </c>
      <c r="X390" s="13">
        <v>57.93629</v>
      </c>
      <c r="Y390" s="14">
        <f>+Table1[[#This Row],[Generation Cost 
LCOE (USD/MWh)]]+Table1[[#This Row],[Transmission Cost
LCOT (USD/MWh)]]</f>
        <v>107.16196076</v>
      </c>
    </row>
    <row r="391" spans="1:25" x14ac:dyDescent="0.3">
      <c r="A391" s="7">
        <v>390</v>
      </c>
      <c r="B391" s="8">
        <v>5783</v>
      </c>
      <c r="C391" s="9">
        <v>48.752189999999999</v>
      </c>
      <c r="D391" s="9">
        <v>-114.593475</v>
      </c>
      <c r="E391" s="10" t="s">
        <v>42</v>
      </c>
      <c r="F391" s="10" t="s">
        <v>3</v>
      </c>
      <c r="G391" s="10" t="s">
        <v>15</v>
      </c>
      <c r="H391" s="10">
        <v>-7</v>
      </c>
      <c r="I391" s="11">
        <v>1823.25</v>
      </c>
      <c r="J391" s="11">
        <v>3.3323168999999999</v>
      </c>
      <c r="K391" s="11" t="str">
        <f>IF(Table1[[#This Row],[Solar 
Resource]]&lt;3,"Low", IF(Table1[[#This Row],[Solar 
Resource]]&lt;4, "Moderate","High"))</f>
        <v>Moderate</v>
      </c>
      <c r="L391" s="11">
        <v>0.98136389999999996</v>
      </c>
      <c r="M391" s="11">
        <v>1.605743921</v>
      </c>
      <c r="N391" s="11">
        <v>51.527599870000003</v>
      </c>
      <c r="O391" s="11">
        <v>69.046988600000006</v>
      </c>
      <c r="P391" s="11">
        <f>Table1[[#This Row],[Installed Capacity 
(AC -MW)]]/Table1[[#This Row],[Installed Capacity 
(DC -MW)]]</f>
        <v>0.74626860511625559</v>
      </c>
      <c r="Q391" s="12">
        <v>0.19323868</v>
      </c>
      <c r="R391" s="12">
        <v>0.14420796999999999</v>
      </c>
      <c r="S391" s="13">
        <v>51.040080920000001</v>
      </c>
      <c r="T391" s="11">
        <v>17.705058430000001</v>
      </c>
      <c r="U391" s="11">
        <v>270.78645440000003</v>
      </c>
      <c r="V391" s="13">
        <v>1077404.2790000001</v>
      </c>
      <c r="W391" s="13">
        <v>1285935.2</v>
      </c>
      <c r="X391" s="13">
        <v>61.45673</v>
      </c>
      <c r="Y391" s="14">
        <f>+Table1[[#This Row],[Generation Cost 
LCOE (USD/MWh)]]+Table1[[#This Row],[Transmission Cost
LCOT (USD/MWh)]]</f>
        <v>112.49681092</v>
      </c>
    </row>
    <row r="392" spans="1:25" x14ac:dyDescent="0.3">
      <c r="A392" s="7">
        <v>391</v>
      </c>
      <c r="B392" s="8">
        <v>5784</v>
      </c>
      <c r="C392" s="9">
        <v>48.771183000000001</v>
      </c>
      <c r="D392" s="9">
        <v>-114.430786</v>
      </c>
      <c r="E392" s="10" t="s">
        <v>42</v>
      </c>
      <c r="F392" s="10" t="s">
        <v>3</v>
      </c>
      <c r="G392" s="10" t="s">
        <v>15</v>
      </c>
      <c r="H392" s="10">
        <v>-7</v>
      </c>
      <c r="I392" s="11">
        <v>1197</v>
      </c>
      <c r="J392" s="11">
        <v>3.3997543000000001</v>
      </c>
      <c r="K392" s="11" t="str">
        <f>IF(Table1[[#This Row],[Solar 
Resource]]&lt;3,"Low", IF(Table1[[#This Row],[Solar 
Resource]]&lt;4, "Moderate","High"))</f>
        <v>Moderate</v>
      </c>
      <c r="L392" s="11">
        <v>0.98141104000000001</v>
      </c>
      <c r="M392" s="11">
        <v>2.70993598</v>
      </c>
      <c r="N392" s="11">
        <v>86.960626180000006</v>
      </c>
      <c r="O392" s="11">
        <v>116.5272471</v>
      </c>
      <c r="P392" s="11">
        <f>Table1[[#This Row],[Installed Capacity 
(AC -MW)]]/Table1[[#This Row],[Installed Capacity 
(DC -MW)]]</f>
        <v>0.7462686053620845</v>
      </c>
      <c r="Q392" s="12">
        <v>0.19591747000000001</v>
      </c>
      <c r="R392" s="12">
        <v>0.14620702999999999</v>
      </c>
      <c r="S392" s="13">
        <v>48.753326520000002</v>
      </c>
      <c r="T392" s="11">
        <v>27.86446102</v>
      </c>
      <c r="U392" s="11">
        <v>256.31235049999998</v>
      </c>
      <c r="V392" s="13">
        <v>994259.30619999999</v>
      </c>
      <c r="W392" s="13">
        <v>1300979.3999999999</v>
      </c>
      <c r="X392" s="13">
        <v>61.325577000000003</v>
      </c>
      <c r="Y392" s="14">
        <f>+Table1[[#This Row],[Generation Cost 
LCOE (USD/MWh)]]+Table1[[#This Row],[Transmission Cost
LCOT (USD/MWh)]]</f>
        <v>110.07890352000001</v>
      </c>
    </row>
    <row r="393" spans="1:25" x14ac:dyDescent="0.3">
      <c r="A393" s="7">
        <v>392</v>
      </c>
      <c r="B393" s="8">
        <v>5785</v>
      </c>
      <c r="C393" s="9">
        <v>48.790016000000001</v>
      </c>
      <c r="D393" s="9">
        <v>-114.268</v>
      </c>
      <c r="E393" s="10" t="s">
        <v>42</v>
      </c>
      <c r="F393" s="10" t="s">
        <v>3</v>
      </c>
      <c r="G393" s="10" t="s">
        <v>15</v>
      </c>
      <c r="H393" s="10">
        <v>-7</v>
      </c>
      <c r="I393" s="11">
        <v>1212.8461540000001</v>
      </c>
      <c r="J393" s="11">
        <v>3.4085885999999999</v>
      </c>
      <c r="K393" s="11" t="str">
        <f>IF(Table1[[#This Row],[Solar 
Resource]]&lt;3,"Low", IF(Table1[[#This Row],[Solar 
Resource]]&lt;4, "Moderate","High"))</f>
        <v>Moderate</v>
      </c>
      <c r="L393" s="11">
        <v>0.98143256000000001</v>
      </c>
      <c r="M393" s="11">
        <v>9.1063439210000006</v>
      </c>
      <c r="N393" s="11">
        <v>292.21847869999999</v>
      </c>
      <c r="O393" s="11">
        <v>391.57278860000002</v>
      </c>
      <c r="P393" s="11">
        <f>Table1[[#This Row],[Installed Capacity 
(AC -MW)]]/Table1[[#This Row],[Installed Capacity 
(DC -MW)]]</f>
        <v>0.74626860498855407</v>
      </c>
      <c r="Q393" s="12">
        <v>0.19549051000000001</v>
      </c>
      <c r="R393" s="12">
        <v>0.14588846</v>
      </c>
      <c r="S393" s="13">
        <v>48.860629340000003</v>
      </c>
      <c r="T393" s="11">
        <v>38.43658439</v>
      </c>
      <c r="U393" s="11">
        <v>251.18764920000001</v>
      </c>
      <c r="V393" s="13">
        <v>963404.30980000005</v>
      </c>
      <c r="W393" s="13">
        <v>1364340.4</v>
      </c>
      <c r="X393" s="13">
        <v>64.452749999999995</v>
      </c>
      <c r="Y393" s="14">
        <f>+Table1[[#This Row],[Generation Cost 
LCOE (USD/MWh)]]+Table1[[#This Row],[Transmission Cost
LCOT (USD/MWh)]]</f>
        <v>113.31337934</v>
      </c>
    </row>
    <row r="394" spans="1:25" x14ac:dyDescent="0.3">
      <c r="A394" s="7">
        <v>393</v>
      </c>
      <c r="B394" s="8">
        <v>5789</v>
      </c>
      <c r="C394" s="9">
        <v>48.863678</v>
      </c>
      <c r="D394" s="9">
        <v>-113.61574</v>
      </c>
      <c r="E394" s="10" t="s">
        <v>42</v>
      </c>
      <c r="F394" s="10" t="s">
        <v>3</v>
      </c>
      <c r="G394" s="10" t="s">
        <v>16</v>
      </c>
      <c r="H394" s="10">
        <v>-7</v>
      </c>
      <c r="I394" s="11">
        <v>1778.25</v>
      </c>
      <c r="J394" s="11">
        <v>3.6731777000000001</v>
      </c>
      <c r="K394" s="11" t="str">
        <f>IF(Table1[[#This Row],[Solar 
Resource]]&lt;3,"Low", IF(Table1[[#This Row],[Solar 
Resource]]&lt;4, "Moderate","High"))</f>
        <v>Moderate</v>
      </c>
      <c r="L394" s="11">
        <v>0.98157170000000005</v>
      </c>
      <c r="M394" s="11">
        <v>0.85698008699999995</v>
      </c>
      <c r="N394" s="11">
        <v>27.500102080000001</v>
      </c>
      <c r="O394" s="11">
        <v>36.850143719999998</v>
      </c>
      <c r="P394" s="11">
        <f>Table1[[#This Row],[Installed Capacity 
(AC -MW)]]/Table1[[#This Row],[Installed Capacity 
(DC -MW)]]</f>
        <v>0.74626851631720048</v>
      </c>
      <c r="Q394" s="12">
        <v>0.22001088999999999</v>
      </c>
      <c r="R394" s="12">
        <v>0.16418724000000001</v>
      </c>
      <c r="S394" s="13">
        <v>47.965108290000003</v>
      </c>
      <c r="T394" s="11">
        <v>18.868662329999999</v>
      </c>
      <c r="U394" s="11">
        <v>291.48444790000002</v>
      </c>
      <c r="V394" s="13">
        <v>795282.28289999999</v>
      </c>
      <c r="W394" s="13">
        <v>972438.25</v>
      </c>
      <c r="X394" s="13">
        <v>40.818989999999999</v>
      </c>
      <c r="Y394" s="14">
        <f>+Table1[[#This Row],[Generation Cost 
LCOE (USD/MWh)]]+Table1[[#This Row],[Transmission Cost
LCOT (USD/MWh)]]</f>
        <v>88.784098290000003</v>
      </c>
    </row>
    <row r="395" spans="1:25" x14ac:dyDescent="0.3">
      <c r="A395" s="7">
        <v>394</v>
      </c>
      <c r="B395" s="8">
        <v>5790</v>
      </c>
      <c r="C395" s="9">
        <v>48.881683000000002</v>
      </c>
      <c r="D395" s="9">
        <v>-113.45241</v>
      </c>
      <c r="E395" s="10" t="s">
        <v>42</v>
      </c>
      <c r="F395" s="10" t="s">
        <v>3</v>
      </c>
      <c r="G395" s="10" t="s">
        <v>16</v>
      </c>
      <c r="H395" s="10">
        <v>-7</v>
      </c>
      <c r="I395" s="11">
        <v>1545.166667</v>
      </c>
      <c r="J395" s="11">
        <v>3.6914098000000002</v>
      </c>
      <c r="K395" s="11" t="str">
        <f>IF(Table1[[#This Row],[Solar 
Resource]]&lt;3,"Low", IF(Table1[[#This Row],[Solar 
Resource]]&lt;4, "Moderate","High"))</f>
        <v>Moderate</v>
      </c>
      <c r="L395" s="11">
        <v>0.98162097000000004</v>
      </c>
      <c r="M395" s="11">
        <v>54.366551370000003</v>
      </c>
      <c r="N395" s="11">
        <v>1744.5981690000001</v>
      </c>
      <c r="O395" s="11">
        <v>2337.7617089999999</v>
      </c>
      <c r="P395" s="11">
        <f>Table1[[#This Row],[Installed Capacity 
(AC -MW)]]/Table1[[#This Row],[Installed Capacity 
(DC -MW)]]</f>
        <v>0.74626860482981761</v>
      </c>
      <c r="Q395" s="12">
        <v>0.22379832999999999</v>
      </c>
      <c r="R395" s="12">
        <v>0.16701367</v>
      </c>
      <c r="S395" s="13">
        <v>42.686777159999998</v>
      </c>
      <c r="T395" s="11">
        <v>7.0429350599999996</v>
      </c>
      <c r="U395" s="11">
        <v>291.48444790000002</v>
      </c>
      <c r="V395" s="13">
        <v>795282.28289999999</v>
      </c>
      <c r="W395" s="13">
        <v>892771.94</v>
      </c>
      <c r="X395" s="13">
        <v>36.840719999999997</v>
      </c>
      <c r="Y395" s="14">
        <f>+Table1[[#This Row],[Generation Cost 
LCOE (USD/MWh)]]+Table1[[#This Row],[Transmission Cost
LCOT (USD/MWh)]]</f>
        <v>79.527497159999996</v>
      </c>
    </row>
    <row r="396" spans="1:25" x14ac:dyDescent="0.3">
      <c r="A396" s="7">
        <v>395</v>
      </c>
      <c r="B396" s="8">
        <v>5791</v>
      </c>
      <c r="C396" s="9">
        <v>48.899524999999997</v>
      </c>
      <c r="D396" s="9">
        <v>-113.28897000000001</v>
      </c>
      <c r="E396" s="10" t="s">
        <v>42</v>
      </c>
      <c r="F396" s="10" t="s">
        <v>3</v>
      </c>
      <c r="G396" s="10" t="s">
        <v>16</v>
      </c>
      <c r="H396" s="10">
        <v>-7</v>
      </c>
      <c r="I396" s="11">
        <v>1493.058824</v>
      </c>
      <c r="J396" s="11">
        <v>3.6826186000000001</v>
      </c>
      <c r="K396" s="11" t="str">
        <f>IF(Table1[[#This Row],[Solar 
Resource]]&lt;3,"Low", IF(Table1[[#This Row],[Solar 
Resource]]&lt;4, "Moderate","High"))</f>
        <v>Moderate</v>
      </c>
      <c r="L396" s="11">
        <v>0.98166960000000003</v>
      </c>
      <c r="M396" s="11">
        <v>60.919368310000003</v>
      </c>
      <c r="N396" s="11">
        <v>1954.8751159999999</v>
      </c>
      <c r="O396" s="11">
        <v>2619.5328370000002</v>
      </c>
      <c r="P396" s="11">
        <f>Table1[[#This Row],[Installed Capacity 
(AC -MW)]]/Table1[[#This Row],[Installed Capacity 
(DC -MW)]]</f>
        <v>0.74626860499248626</v>
      </c>
      <c r="Q396" s="12">
        <v>0.22534900999999999</v>
      </c>
      <c r="R396" s="12">
        <v>0.16817090000000001</v>
      </c>
      <c r="S396" s="13">
        <v>42.394691299999998</v>
      </c>
      <c r="T396" s="11">
        <v>5.6673506470000001</v>
      </c>
      <c r="U396" s="11">
        <v>283.56709719999998</v>
      </c>
      <c r="V396" s="13">
        <v>767152.33550000004</v>
      </c>
      <c r="W396" s="13">
        <v>843618.3</v>
      </c>
      <c r="X396" s="13">
        <v>34.572814999999999</v>
      </c>
      <c r="Y396" s="14">
        <f>+Table1[[#This Row],[Generation Cost 
LCOE (USD/MWh)]]+Table1[[#This Row],[Transmission Cost
LCOT (USD/MWh)]]</f>
        <v>76.967506299999997</v>
      </c>
    </row>
    <row r="397" spans="1:25" x14ac:dyDescent="0.3">
      <c r="A397" s="7">
        <v>396</v>
      </c>
      <c r="B397" s="8">
        <v>5792</v>
      </c>
      <c r="C397" s="9">
        <v>48.917200000000001</v>
      </c>
      <c r="D397" s="9">
        <v>-113.125435</v>
      </c>
      <c r="E397" s="10" t="s">
        <v>42</v>
      </c>
      <c r="F397" s="10" t="s">
        <v>3</v>
      </c>
      <c r="G397" s="10" t="s">
        <v>16</v>
      </c>
      <c r="H397" s="10">
        <v>-7</v>
      </c>
      <c r="I397" s="11">
        <v>1418.85</v>
      </c>
      <c r="J397" s="11">
        <v>3.6766157000000002</v>
      </c>
      <c r="K397" s="11" t="str">
        <f>IF(Table1[[#This Row],[Solar 
Resource]]&lt;3,"Low", IF(Table1[[#This Row],[Solar 
Resource]]&lt;4, "Moderate","High"))</f>
        <v>Moderate</v>
      </c>
      <c r="L397" s="11">
        <v>0.98171140000000001</v>
      </c>
      <c r="M397" s="11">
        <v>68.950846580000004</v>
      </c>
      <c r="N397" s="11">
        <v>2212.6016399999999</v>
      </c>
      <c r="O397" s="11">
        <v>2964.886403</v>
      </c>
      <c r="P397" s="11">
        <f>Table1[[#This Row],[Installed Capacity 
(AC -MW)]]/Table1[[#This Row],[Installed Capacity 
(DC -MW)]]</f>
        <v>0.74626860501677028</v>
      </c>
      <c r="Q397" s="12">
        <v>0.22510932</v>
      </c>
      <c r="R397" s="12">
        <v>0.16799204000000001</v>
      </c>
      <c r="S397" s="13">
        <v>42.441241040000001</v>
      </c>
      <c r="T397" s="11">
        <v>11.17763635</v>
      </c>
      <c r="U397" s="11">
        <v>279.81158429999999</v>
      </c>
      <c r="V397" s="13">
        <v>756731.21400000004</v>
      </c>
      <c r="W397" s="13">
        <v>847815.4</v>
      </c>
      <c r="X397" s="13">
        <v>34.781815000000002</v>
      </c>
      <c r="Y397" s="14">
        <f>+Table1[[#This Row],[Generation Cost 
LCOE (USD/MWh)]]+Table1[[#This Row],[Transmission Cost
LCOT (USD/MWh)]]</f>
        <v>77.223056040000003</v>
      </c>
    </row>
    <row r="398" spans="1:25" x14ac:dyDescent="0.3">
      <c r="A398" s="7">
        <v>397</v>
      </c>
      <c r="B398" s="8">
        <v>5793</v>
      </c>
      <c r="C398" s="9">
        <v>48.934708000000001</v>
      </c>
      <c r="D398" s="9">
        <v>-112.96178999999999</v>
      </c>
      <c r="E398" s="10" t="s">
        <v>42</v>
      </c>
      <c r="F398" s="10" t="s">
        <v>3</v>
      </c>
      <c r="G398" s="10" t="s">
        <v>16</v>
      </c>
      <c r="H398" s="10">
        <v>-7</v>
      </c>
      <c r="I398" s="11">
        <v>1352.8125</v>
      </c>
      <c r="J398" s="11">
        <v>3.6882630000000001</v>
      </c>
      <c r="K398" s="11" t="str">
        <f>IF(Table1[[#This Row],[Solar 
Resource]]&lt;3,"Low", IF(Table1[[#This Row],[Solar 
Resource]]&lt;4, "Moderate","High"))</f>
        <v>Moderate</v>
      </c>
      <c r="L398" s="11">
        <v>0.98176030000000003</v>
      </c>
      <c r="M398" s="11">
        <v>105.10714249999999</v>
      </c>
      <c r="N398" s="11">
        <v>3372.8405050000001</v>
      </c>
      <c r="O398" s="11">
        <v>4519.6071270000002</v>
      </c>
      <c r="P398" s="11">
        <f>Table1[[#This Row],[Installed Capacity 
(AC -MW)]]/Table1[[#This Row],[Installed Capacity 
(DC -MW)]]</f>
        <v>0.74626851631655111</v>
      </c>
      <c r="Q398" s="12">
        <v>0.22574965999999999</v>
      </c>
      <c r="R398" s="12">
        <v>0.16846990000000001</v>
      </c>
      <c r="S398" s="13">
        <v>42.32251582</v>
      </c>
      <c r="T398" s="11">
        <v>22.755201280000001</v>
      </c>
      <c r="U398" s="11">
        <v>275.06872060000001</v>
      </c>
      <c r="V398" s="13">
        <v>742573.81050000002</v>
      </c>
      <c r="W398" s="13">
        <v>886211.44</v>
      </c>
      <c r="X398" s="13">
        <v>36.253895</v>
      </c>
      <c r="Y398" s="14">
        <f>+Table1[[#This Row],[Generation Cost 
LCOE (USD/MWh)]]+Table1[[#This Row],[Transmission Cost
LCOT (USD/MWh)]]</f>
        <v>78.576410820000007</v>
      </c>
    </row>
    <row r="399" spans="1:25" x14ac:dyDescent="0.3">
      <c r="A399" s="7">
        <v>398</v>
      </c>
      <c r="B399" s="8">
        <v>5794</v>
      </c>
      <c r="C399" s="9">
        <v>48.95205</v>
      </c>
      <c r="D399" s="9">
        <v>-112.79804</v>
      </c>
      <c r="E399" s="10" t="s">
        <v>42</v>
      </c>
      <c r="F399" s="10" t="s">
        <v>3</v>
      </c>
      <c r="G399" s="10" t="s">
        <v>16</v>
      </c>
      <c r="H399" s="10">
        <v>-7</v>
      </c>
      <c r="I399" s="11">
        <v>1285.5</v>
      </c>
      <c r="J399" s="11">
        <v>3.6913497</v>
      </c>
      <c r="K399" s="11" t="str">
        <f>IF(Table1[[#This Row],[Solar 
Resource]]&lt;3,"Low", IF(Table1[[#This Row],[Solar 
Resource]]&lt;4, "Moderate","High"))</f>
        <v>Moderate</v>
      </c>
      <c r="L399" s="11">
        <v>0.98181490000000005</v>
      </c>
      <c r="M399" s="11">
        <v>66.796808200000001</v>
      </c>
      <c r="N399" s="11">
        <v>2143.479773</v>
      </c>
      <c r="O399" s="11">
        <v>2872.262753</v>
      </c>
      <c r="P399" s="11">
        <f>Table1[[#This Row],[Installed Capacity 
(AC -MW)]]/Table1[[#This Row],[Installed Capacity 
(DC -MW)]]</f>
        <v>0.74626869382377847</v>
      </c>
      <c r="Q399" s="12">
        <v>0.22602072000000001</v>
      </c>
      <c r="R399" s="12">
        <v>0.16867219999999999</v>
      </c>
      <c r="S399" s="13">
        <v>42.273607130000002</v>
      </c>
      <c r="T399" s="11">
        <v>34.191597389999998</v>
      </c>
      <c r="U399" s="11">
        <v>275.06872060000001</v>
      </c>
      <c r="V399" s="13">
        <v>742573.81050000002</v>
      </c>
      <c r="W399" s="13">
        <v>921893.1</v>
      </c>
      <c r="X399" s="13">
        <v>37.66836</v>
      </c>
      <c r="Y399" s="14">
        <f>+Table1[[#This Row],[Generation Cost 
LCOE (USD/MWh)]]+Table1[[#This Row],[Transmission Cost
LCOT (USD/MWh)]]</f>
        <v>79.941967129999995</v>
      </c>
    </row>
    <row r="400" spans="1:25" x14ac:dyDescent="0.3">
      <c r="A400" s="7">
        <v>399</v>
      </c>
      <c r="B400" s="8">
        <v>5795</v>
      </c>
      <c r="C400" s="9">
        <v>48.969226999999997</v>
      </c>
      <c r="D400" s="9">
        <v>-112.63420000000001</v>
      </c>
      <c r="E400" s="10" t="s">
        <v>42</v>
      </c>
      <c r="F400" s="10" t="s">
        <v>3</v>
      </c>
      <c r="G400" s="10" t="s">
        <v>16</v>
      </c>
      <c r="H400" s="10">
        <v>-7</v>
      </c>
      <c r="I400" s="11">
        <v>1252.363636</v>
      </c>
      <c r="J400" s="11">
        <v>3.6983244000000002</v>
      </c>
      <c r="K400" s="11" t="str">
        <f>IF(Table1[[#This Row],[Solar 
Resource]]&lt;3,"Low", IF(Table1[[#This Row],[Solar 
Resource]]&lt;4, "Moderate","High"))</f>
        <v>Moderate</v>
      </c>
      <c r="L400" s="11">
        <v>0.98187100000000005</v>
      </c>
      <c r="M400" s="11">
        <v>58.377024319999997</v>
      </c>
      <c r="N400" s="11">
        <v>1873.2922189999999</v>
      </c>
      <c r="O400" s="11">
        <v>2510.2120460000001</v>
      </c>
      <c r="P400" s="11">
        <f>Table1[[#This Row],[Installed Capacity 
(AC -MW)]]/Table1[[#This Row],[Installed Capacity 
(DC -MW)]]</f>
        <v>0.7462685162335484</v>
      </c>
      <c r="Q400" s="12">
        <v>0.22662508000000001</v>
      </c>
      <c r="R400" s="12">
        <v>0.1691232</v>
      </c>
      <c r="S400" s="13">
        <v>42.162766619999999</v>
      </c>
      <c r="T400" s="11">
        <v>32.151383099999997</v>
      </c>
      <c r="U400" s="11">
        <v>237.1732336</v>
      </c>
      <c r="V400" s="13">
        <v>633079.50639999995</v>
      </c>
      <c r="W400" s="13">
        <v>801226.94</v>
      </c>
      <c r="X400" s="13">
        <v>32.650660000000002</v>
      </c>
      <c r="Y400" s="14">
        <f>+Table1[[#This Row],[Generation Cost 
LCOE (USD/MWh)]]+Table1[[#This Row],[Transmission Cost
LCOT (USD/MWh)]]</f>
        <v>74.813426620000001</v>
      </c>
    </row>
    <row r="401" spans="1:25" x14ac:dyDescent="0.3">
      <c r="A401" s="7">
        <v>400</v>
      </c>
      <c r="B401" s="8">
        <v>5796</v>
      </c>
      <c r="C401" s="9">
        <v>48.986237000000003</v>
      </c>
      <c r="D401" s="9">
        <v>-112.47024500000001</v>
      </c>
      <c r="E401" s="10" t="s">
        <v>42</v>
      </c>
      <c r="F401" s="10" t="s">
        <v>3</v>
      </c>
      <c r="G401" s="10" t="s">
        <v>16</v>
      </c>
      <c r="H401" s="10">
        <v>-7</v>
      </c>
      <c r="I401" s="11">
        <v>1264.9000000000001</v>
      </c>
      <c r="J401" s="11">
        <v>3.6862887999999998</v>
      </c>
      <c r="K401" s="11" t="str">
        <f>IF(Table1[[#This Row],[Solar 
Resource]]&lt;3,"Low", IF(Table1[[#This Row],[Solar 
Resource]]&lt;4, "Moderate","High"))</f>
        <v>Moderate</v>
      </c>
      <c r="L401" s="11">
        <v>0.98190105000000005</v>
      </c>
      <c r="M401" s="11">
        <v>39.152077730000002</v>
      </c>
      <c r="N401" s="11">
        <v>1256.3727060000001</v>
      </c>
      <c r="O401" s="11">
        <v>1683.5393429999999</v>
      </c>
      <c r="P401" s="11">
        <f>Table1[[#This Row],[Installed Capacity 
(AC -MW)]]/Table1[[#This Row],[Installed Capacity 
(DC -MW)]]</f>
        <v>0.74626869352586322</v>
      </c>
      <c r="Q401" s="12">
        <v>0.22567087</v>
      </c>
      <c r="R401" s="12">
        <v>0.16841110000000001</v>
      </c>
      <c r="S401" s="13">
        <v>42.342055469999998</v>
      </c>
      <c r="T401" s="11">
        <v>19.438448050000002</v>
      </c>
      <c r="U401" s="11">
        <v>237.1732336</v>
      </c>
      <c r="V401" s="13">
        <v>633079.50639999995</v>
      </c>
      <c r="W401" s="13">
        <v>748101.4</v>
      </c>
      <c r="X401" s="13">
        <v>30.614653000000001</v>
      </c>
      <c r="Y401" s="14">
        <f>+Table1[[#This Row],[Generation Cost 
LCOE (USD/MWh)]]+Table1[[#This Row],[Transmission Cost
LCOT (USD/MWh)]]</f>
        <v>72.956708469999995</v>
      </c>
    </row>
    <row r="402" spans="1:25" x14ac:dyDescent="0.3">
      <c r="A402" s="7">
        <v>401</v>
      </c>
      <c r="B402" s="8">
        <v>6103</v>
      </c>
      <c r="C402" s="9">
        <v>47.226179999999999</v>
      </c>
      <c r="D402" s="9">
        <v>-124.07617</v>
      </c>
      <c r="E402" s="10" t="s">
        <v>42</v>
      </c>
      <c r="F402" s="10" t="s">
        <v>4</v>
      </c>
      <c r="G402" s="10" t="s">
        <v>18</v>
      </c>
      <c r="H402" s="10">
        <v>-8</v>
      </c>
      <c r="I402" s="11">
        <v>75.650000000000006</v>
      </c>
      <c r="J402" s="11">
        <v>3.1657467000000001</v>
      </c>
      <c r="K402" s="11" t="str">
        <f>IF(Table1[[#This Row],[Solar 
Resource]]&lt;3,"Low", IF(Table1[[#This Row],[Solar 
Resource]]&lt;4, "Moderate","High"))</f>
        <v>Moderate</v>
      </c>
      <c r="L402" s="11">
        <v>1.0208018000000001</v>
      </c>
      <c r="M402" s="11">
        <v>78.794537700000006</v>
      </c>
      <c r="N402" s="11">
        <v>2528.4809580000001</v>
      </c>
      <c r="O402" s="11">
        <v>3388.165121</v>
      </c>
      <c r="P402" s="11">
        <f>Table1[[#This Row],[Installed Capacity 
(AC -MW)]]/Table1[[#This Row],[Installed Capacity 
(DC -MW)]]</f>
        <v>0.74626851635074132</v>
      </c>
      <c r="Q402" s="12">
        <v>0.18399824000000001</v>
      </c>
      <c r="R402" s="12">
        <v>0.13731213</v>
      </c>
      <c r="S402" s="13">
        <v>53.546933660000001</v>
      </c>
      <c r="T402" s="11">
        <v>7.8657272660000004</v>
      </c>
      <c r="U402" s="11">
        <v>254.2004154</v>
      </c>
      <c r="V402" s="13">
        <v>880561.99910000002</v>
      </c>
      <c r="W402" s="13">
        <v>974275.1</v>
      </c>
      <c r="X402" s="13">
        <v>48.900393999999999</v>
      </c>
      <c r="Y402" s="14">
        <f>+Table1[[#This Row],[Generation Cost 
LCOE (USD/MWh)]]+Table1[[#This Row],[Transmission Cost
LCOT (USD/MWh)]]</f>
        <v>102.44732766</v>
      </c>
    </row>
    <row r="403" spans="1:25" x14ac:dyDescent="0.3">
      <c r="A403" s="7">
        <v>402</v>
      </c>
      <c r="B403" s="8">
        <v>6104</v>
      </c>
      <c r="C403" s="9">
        <v>47.25461</v>
      </c>
      <c r="D403" s="9">
        <v>-123.92171999999999</v>
      </c>
      <c r="E403" s="10" t="s">
        <v>42</v>
      </c>
      <c r="F403" s="10" t="s">
        <v>4</v>
      </c>
      <c r="G403" s="10" t="s">
        <v>18</v>
      </c>
      <c r="H403" s="10">
        <v>-8</v>
      </c>
      <c r="I403" s="11">
        <v>124.16666669999999</v>
      </c>
      <c r="J403" s="11">
        <v>3.0999857999999998</v>
      </c>
      <c r="K403" s="11" t="str">
        <f>IF(Table1[[#This Row],[Solar 
Resource]]&lt;3,"Low", IF(Table1[[#This Row],[Solar 
Resource]]&lt;4, "Moderate","High"))</f>
        <v>Moderate</v>
      </c>
      <c r="L403" s="11">
        <v>1.0206983999999999</v>
      </c>
      <c r="M403" s="11">
        <v>66.386144529999996</v>
      </c>
      <c r="N403" s="11">
        <v>2130.3012520000002</v>
      </c>
      <c r="O403" s="11">
        <v>2854.6042149999998</v>
      </c>
      <c r="P403" s="11">
        <f>Table1[[#This Row],[Installed Capacity 
(AC -MW)]]/Table1[[#This Row],[Installed Capacity 
(DC -MW)]]</f>
        <v>0.74626851624683121</v>
      </c>
      <c r="Q403" s="12">
        <v>0.17848994000000001</v>
      </c>
      <c r="R403" s="12">
        <v>0.13320141999999999</v>
      </c>
      <c r="S403" s="13">
        <v>55.195004369999999</v>
      </c>
      <c r="T403" s="11">
        <v>0.36</v>
      </c>
      <c r="U403" s="11">
        <v>269.43709719999998</v>
      </c>
      <c r="V403" s="13">
        <v>940518.32750000001</v>
      </c>
      <c r="W403" s="13">
        <v>980473.06</v>
      </c>
      <c r="X403" s="13">
        <v>50.730167000000002</v>
      </c>
      <c r="Y403" s="14">
        <f>+Table1[[#This Row],[Generation Cost 
LCOE (USD/MWh)]]+Table1[[#This Row],[Transmission Cost
LCOT (USD/MWh)]]</f>
        <v>105.92517137</v>
      </c>
    </row>
    <row r="404" spans="1:25" x14ac:dyDescent="0.3">
      <c r="A404" s="7">
        <v>403</v>
      </c>
      <c r="B404" s="8">
        <v>6105</v>
      </c>
      <c r="C404" s="9">
        <v>47.282882999999998</v>
      </c>
      <c r="D404" s="9">
        <v>-123.76712000000001</v>
      </c>
      <c r="E404" s="10" t="s">
        <v>42</v>
      </c>
      <c r="F404" s="10" t="s">
        <v>4</v>
      </c>
      <c r="G404" s="10" t="s">
        <v>18</v>
      </c>
      <c r="H404" s="10">
        <v>-8</v>
      </c>
      <c r="I404" s="11">
        <v>217</v>
      </c>
      <c r="J404" s="11">
        <v>3.1079496999999998</v>
      </c>
      <c r="K404" s="11" t="str">
        <f>IF(Table1[[#This Row],[Solar 
Resource]]&lt;3,"Low", IF(Table1[[#This Row],[Solar 
Resource]]&lt;4, "Moderate","High"))</f>
        <v>Moderate</v>
      </c>
      <c r="L404" s="11">
        <v>1.0206401000000001</v>
      </c>
      <c r="M404" s="11">
        <v>26.294140500000001</v>
      </c>
      <c r="N404" s="11">
        <v>843.76703659999998</v>
      </c>
      <c r="O404" s="11">
        <v>1130.648042</v>
      </c>
      <c r="P404" s="11">
        <f>Table1[[#This Row],[Installed Capacity 
(AC -MW)]]/Table1[[#This Row],[Installed Capacity 
(DC -MW)]]</f>
        <v>0.74626851615774514</v>
      </c>
      <c r="Q404" s="12">
        <v>0.17824358000000001</v>
      </c>
      <c r="R404" s="12">
        <v>0.13301760000000001</v>
      </c>
      <c r="S404" s="13">
        <v>55.268791829999998</v>
      </c>
      <c r="T404" s="11">
        <v>12.365727270000001</v>
      </c>
      <c r="U404" s="11">
        <v>271.5044479</v>
      </c>
      <c r="V404" s="13">
        <v>949583.45409999997</v>
      </c>
      <c r="W404" s="13">
        <v>1087988</v>
      </c>
      <c r="X404" s="13">
        <v>56.370857000000001</v>
      </c>
      <c r="Y404" s="14">
        <f>+Table1[[#This Row],[Generation Cost 
LCOE (USD/MWh)]]+Table1[[#This Row],[Transmission Cost
LCOT (USD/MWh)]]</f>
        <v>111.63964883</v>
      </c>
    </row>
    <row r="405" spans="1:25" x14ac:dyDescent="0.3">
      <c r="A405" s="7">
        <v>404</v>
      </c>
      <c r="B405" s="8">
        <v>6106</v>
      </c>
      <c r="C405" s="9">
        <v>47.311010000000003</v>
      </c>
      <c r="D405" s="9">
        <v>-123.61236599999999</v>
      </c>
      <c r="E405" s="10" t="s">
        <v>42</v>
      </c>
      <c r="F405" s="10" t="s">
        <v>4</v>
      </c>
      <c r="G405" s="10" t="s">
        <v>18</v>
      </c>
      <c r="H405" s="10">
        <v>-8</v>
      </c>
      <c r="I405" s="11">
        <v>273.35294119999998</v>
      </c>
      <c r="J405" s="11">
        <v>3.1785996000000001</v>
      </c>
      <c r="K405" s="11" t="str">
        <f>IF(Table1[[#This Row],[Solar 
Resource]]&lt;3,"Low", IF(Table1[[#This Row],[Solar 
Resource]]&lt;4, "Moderate","High"))</f>
        <v>Moderate</v>
      </c>
      <c r="L405" s="11">
        <v>1.0206145</v>
      </c>
      <c r="M405" s="11">
        <v>28.122066870000001</v>
      </c>
      <c r="N405" s="11">
        <v>902.42436420000001</v>
      </c>
      <c r="O405" s="11">
        <v>1209.248875</v>
      </c>
      <c r="P405" s="11">
        <f>Table1[[#This Row],[Installed Capacity 
(AC -MW)]]/Table1[[#This Row],[Installed Capacity 
(DC -MW)]]</f>
        <v>0.74626851664426819</v>
      </c>
      <c r="Q405" s="12">
        <v>0.18251848000000001</v>
      </c>
      <c r="R405" s="12">
        <v>0.13620782000000001</v>
      </c>
      <c r="S405" s="13">
        <v>53.973221850000002</v>
      </c>
      <c r="T405" s="11">
        <v>26.131525960000001</v>
      </c>
      <c r="U405" s="11">
        <v>271.5044479</v>
      </c>
      <c r="V405" s="13">
        <v>949583.45409999997</v>
      </c>
      <c r="W405" s="13">
        <v>1166960</v>
      </c>
      <c r="X405" s="13">
        <v>59.046413000000001</v>
      </c>
      <c r="Y405" s="14">
        <f>+Table1[[#This Row],[Generation Cost 
LCOE (USD/MWh)]]+Table1[[#This Row],[Transmission Cost
LCOT (USD/MWh)]]</f>
        <v>113.01963485</v>
      </c>
    </row>
    <row r="406" spans="1:25" x14ac:dyDescent="0.3">
      <c r="A406" s="7">
        <v>405</v>
      </c>
      <c r="B406" s="8">
        <v>6107</v>
      </c>
      <c r="C406" s="9">
        <v>47.338977999999997</v>
      </c>
      <c r="D406" s="9">
        <v>-123.45746</v>
      </c>
      <c r="E406" s="10" t="s">
        <v>42</v>
      </c>
      <c r="F406" s="10" t="s">
        <v>4</v>
      </c>
      <c r="G406" s="10" t="s">
        <v>28</v>
      </c>
      <c r="H406" s="10">
        <v>-8</v>
      </c>
      <c r="I406" s="11">
        <v>362.11111110000002</v>
      </c>
      <c r="J406" s="11">
        <v>3.1797236999999998</v>
      </c>
      <c r="K406" s="11" t="str">
        <f>IF(Table1[[#This Row],[Solar 
Resource]]&lt;3,"Low", IF(Table1[[#This Row],[Solar 
Resource]]&lt;4, "Moderate","High"))</f>
        <v>Moderate</v>
      </c>
      <c r="L406" s="11">
        <v>1.0206287999999999</v>
      </c>
      <c r="M406" s="11">
        <v>4.3518060790000002</v>
      </c>
      <c r="N406" s="11">
        <v>139.64749879999999</v>
      </c>
      <c r="O406" s="11">
        <v>187.12766139999999</v>
      </c>
      <c r="P406" s="11">
        <f>Table1[[#This Row],[Installed Capacity 
(AC -MW)]]/Table1[[#This Row],[Installed Capacity 
(DC -MW)]]</f>
        <v>0.74626860484026758</v>
      </c>
      <c r="Q406" s="12">
        <v>0.18220049999999999</v>
      </c>
      <c r="R406" s="12">
        <v>0.13597049999999999</v>
      </c>
      <c r="S406" s="13">
        <v>54.068026029999999</v>
      </c>
      <c r="T406" s="11">
        <v>21.510642839999999</v>
      </c>
      <c r="U406" s="11">
        <v>184.54707780000001</v>
      </c>
      <c r="V406" s="13">
        <v>583727.13529999997</v>
      </c>
      <c r="W406" s="13">
        <v>783304.7</v>
      </c>
      <c r="X406" s="13">
        <v>39.703204999999997</v>
      </c>
      <c r="Y406" s="14">
        <f>+Table1[[#This Row],[Generation Cost 
LCOE (USD/MWh)]]+Table1[[#This Row],[Transmission Cost
LCOT (USD/MWh)]]</f>
        <v>93.771231029999996</v>
      </c>
    </row>
    <row r="407" spans="1:25" x14ac:dyDescent="0.3">
      <c r="A407" s="7">
        <v>406</v>
      </c>
      <c r="B407" s="8">
        <v>6108</v>
      </c>
      <c r="C407" s="9">
        <v>47.366799999999998</v>
      </c>
      <c r="D407" s="9">
        <v>-123.30240000000001</v>
      </c>
      <c r="E407" s="10" t="s">
        <v>42</v>
      </c>
      <c r="F407" s="10" t="s">
        <v>4</v>
      </c>
      <c r="G407" s="10" t="s">
        <v>28</v>
      </c>
      <c r="H407" s="10">
        <v>-8</v>
      </c>
      <c r="I407" s="11">
        <v>279.08333329999999</v>
      </c>
      <c r="J407" s="11">
        <v>3.3364235999999998</v>
      </c>
      <c r="K407" s="11" t="str">
        <f>IF(Table1[[#This Row],[Solar 
Resource]]&lt;3,"Low", IF(Table1[[#This Row],[Solar 
Resource]]&lt;4, "Moderate","High"))</f>
        <v>Moderate</v>
      </c>
      <c r="L407" s="11">
        <v>1.020696</v>
      </c>
      <c r="M407" s="11">
        <v>15.262182749999999</v>
      </c>
      <c r="N407" s="11">
        <v>489.7565768</v>
      </c>
      <c r="O407" s="11">
        <v>656.27385830000003</v>
      </c>
      <c r="P407" s="11">
        <f>Table1[[#This Row],[Installed Capacity 
(AC -MW)]]/Table1[[#This Row],[Installed Capacity 
(DC -MW)]]</f>
        <v>0.74626860510436388</v>
      </c>
      <c r="Q407" s="12">
        <v>0.19069895000000001</v>
      </c>
      <c r="R407" s="12">
        <v>0.14231266000000001</v>
      </c>
      <c r="S407" s="13">
        <v>51.661179480000001</v>
      </c>
      <c r="T407" s="11">
        <v>10.6274935</v>
      </c>
      <c r="U407" s="11">
        <v>193.420896</v>
      </c>
      <c r="V407" s="13">
        <v>609422.67050000001</v>
      </c>
      <c r="W407" s="13">
        <v>708418.44</v>
      </c>
      <c r="X407" s="13">
        <v>34.307254999999998</v>
      </c>
      <c r="Y407" s="14">
        <f>+Table1[[#This Row],[Generation Cost 
LCOE (USD/MWh)]]+Table1[[#This Row],[Transmission Cost
LCOT (USD/MWh)]]</f>
        <v>85.968434479999999</v>
      </c>
    </row>
    <row r="408" spans="1:25" x14ac:dyDescent="0.3">
      <c r="A408" s="7">
        <v>407</v>
      </c>
      <c r="B408" s="8">
        <v>6109</v>
      </c>
      <c r="C408" s="9">
        <v>47.394463000000002</v>
      </c>
      <c r="D408" s="9">
        <v>-123.147194</v>
      </c>
      <c r="E408" s="10" t="s">
        <v>42</v>
      </c>
      <c r="F408" s="10" t="s">
        <v>4</v>
      </c>
      <c r="G408" s="10" t="s">
        <v>28</v>
      </c>
      <c r="H408" s="10">
        <v>-8</v>
      </c>
      <c r="I408" s="11">
        <v>144.1538462</v>
      </c>
      <c r="J408" s="11">
        <v>3.3349842999999999</v>
      </c>
      <c r="K408" s="11" t="str">
        <f>IF(Table1[[#This Row],[Solar 
Resource]]&lt;3,"Low", IF(Table1[[#This Row],[Solar 
Resource]]&lt;4, "Moderate","High"))</f>
        <v>Moderate</v>
      </c>
      <c r="L408" s="11">
        <v>1.0207808</v>
      </c>
      <c r="M408" s="11">
        <v>28.566675</v>
      </c>
      <c r="N408" s="11">
        <v>916.69174629999998</v>
      </c>
      <c r="O408" s="11">
        <v>1228.367025</v>
      </c>
      <c r="P408" s="11">
        <f>Table1[[#This Row],[Installed Capacity 
(AC -MW)]]/Table1[[#This Row],[Installed Capacity 
(DC -MW)]]</f>
        <v>0.74626860510196447</v>
      </c>
      <c r="Q408" s="12">
        <v>0.18961425000000001</v>
      </c>
      <c r="R408" s="12">
        <v>0.14150317000000001</v>
      </c>
      <c r="S408" s="13">
        <v>51.960137330000002</v>
      </c>
      <c r="T408" s="11">
        <v>7.0030064860000003</v>
      </c>
      <c r="U408" s="11">
        <v>201.40750639999999</v>
      </c>
      <c r="V408" s="13">
        <v>633451.71660000004</v>
      </c>
      <c r="W408" s="13">
        <v>688487.25</v>
      </c>
      <c r="X408" s="13">
        <v>33.532760000000003</v>
      </c>
      <c r="Y408" s="14">
        <f>+Table1[[#This Row],[Generation Cost 
LCOE (USD/MWh)]]+Table1[[#This Row],[Transmission Cost
LCOT (USD/MWh)]]</f>
        <v>85.492897330000005</v>
      </c>
    </row>
    <row r="409" spans="1:25" x14ac:dyDescent="0.3">
      <c r="A409" s="7">
        <v>408</v>
      </c>
      <c r="B409" s="8">
        <v>6110</v>
      </c>
      <c r="C409" s="9">
        <v>47.421973999999999</v>
      </c>
      <c r="D409" s="9">
        <v>-122.99184</v>
      </c>
      <c r="E409" s="10" t="s">
        <v>42</v>
      </c>
      <c r="F409" s="10" t="s">
        <v>4</v>
      </c>
      <c r="G409" s="10" t="s">
        <v>28</v>
      </c>
      <c r="H409" s="10">
        <v>-8</v>
      </c>
      <c r="I409" s="11">
        <v>96</v>
      </c>
      <c r="J409" s="11">
        <v>3.3335911999999999</v>
      </c>
      <c r="K409" s="11" t="str">
        <f>IF(Table1[[#This Row],[Solar 
Resource]]&lt;3,"Low", IF(Table1[[#This Row],[Solar 
Resource]]&lt;4, "Moderate","High"))</f>
        <v>Moderate</v>
      </c>
      <c r="L409" s="11">
        <v>1.0208976999999999</v>
      </c>
      <c r="M409" s="11">
        <v>44.345312839999998</v>
      </c>
      <c r="N409" s="11">
        <v>1423.021135</v>
      </c>
      <c r="O409" s="11">
        <v>1906.848452</v>
      </c>
      <c r="P409" s="11">
        <f>Table1[[#This Row],[Installed Capacity 
(AC -MW)]]/Table1[[#This Row],[Installed Capacity 
(DC -MW)]]</f>
        <v>0.74626860540881623</v>
      </c>
      <c r="Q409" s="12">
        <v>0.18915536999999999</v>
      </c>
      <c r="R409" s="12">
        <v>0.14116073000000001</v>
      </c>
      <c r="S409" s="13">
        <v>52.090914159999997</v>
      </c>
      <c r="T409" s="11">
        <v>12.92116882</v>
      </c>
      <c r="U409" s="11">
        <v>203.75125310000001</v>
      </c>
      <c r="V409" s="13">
        <v>653289.25870000001</v>
      </c>
      <c r="W409" s="13">
        <v>780983.7</v>
      </c>
      <c r="X409" s="13">
        <v>38.130077</v>
      </c>
      <c r="Y409" s="14">
        <f>+Table1[[#This Row],[Generation Cost 
LCOE (USD/MWh)]]+Table1[[#This Row],[Transmission Cost
LCOT (USD/MWh)]]</f>
        <v>90.220991159999997</v>
      </c>
    </row>
    <row r="410" spans="1:25" x14ac:dyDescent="0.3">
      <c r="A410" s="7">
        <v>409</v>
      </c>
      <c r="B410" s="8">
        <v>6111</v>
      </c>
      <c r="C410" s="9">
        <v>47.449337</v>
      </c>
      <c r="D410" s="9">
        <v>-122.83633</v>
      </c>
      <c r="E410" s="10" t="s">
        <v>42</v>
      </c>
      <c r="F410" s="10" t="s">
        <v>4</v>
      </c>
      <c r="G410" s="10" t="s">
        <v>28</v>
      </c>
      <c r="H410" s="10">
        <v>-8</v>
      </c>
      <c r="I410" s="11">
        <v>108.3125</v>
      </c>
      <c r="J410" s="11">
        <v>3.2689870000000001</v>
      </c>
      <c r="K410" s="11" t="str">
        <f>IF(Table1[[#This Row],[Solar 
Resource]]&lt;3,"Low", IF(Table1[[#This Row],[Solar 
Resource]]&lt;4, "Moderate","High"))</f>
        <v>Moderate</v>
      </c>
      <c r="L410" s="11">
        <v>1.0210163999999999</v>
      </c>
      <c r="M410" s="11">
        <v>54.708372949999998</v>
      </c>
      <c r="N410" s="11">
        <v>1755.5670700000001</v>
      </c>
      <c r="O410" s="11">
        <v>2352.4600369999998</v>
      </c>
      <c r="P410" s="11">
        <f>Table1[[#This Row],[Installed Capacity 
(AC -MW)]]/Table1[[#This Row],[Installed Capacity 
(DC -MW)]]</f>
        <v>0.74626860494463743</v>
      </c>
      <c r="Q410" s="12">
        <v>0.18617009000000001</v>
      </c>
      <c r="R410" s="12">
        <v>0.13893288000000001</v>
      </c>
      <c r="S410" s="13">
        <v>52.931070499999997</v>
      </c>
      <c r="T410" s="11">
        <v>3.588305192</v>
      </c>
      <c r="U410" s="11">
        <v>203.75125310000001</v>
      </c>
      <c r="V410" s="13">
        <v>653289.25870000001</v>
      </c>
      <c r="W410" s="13">
        <v>700597.4</v>
      </c>
      <c r="X410" s="13">
        <v>34.753857000000004</v>
      </c>
      <c r="Y410" s="14">
        <f>+Table1[[#This Row],[Generation Cost 
LCOE (USD/MWh)]]+Table1[[#This Row],[Transmission Cost
LCOT (USD/MWh)]]</f>
        <v>87.684927500000001</v>
      </c>
    </row>
    <row r="411" spans="1:25" x14ac:dyDescent="0.3">
      <c r="A411" s="7">
        <v>410</v>
      </c>
      <c r="B411" s="8">
        <v>6112</v>
      </c>
      <c r="C411" s="9">
        <v>47.476546999999997</v>
      </c>
      <c r="D411" s="9">
        <v>-122.68066399999999</v>
      </c>
      <c r="E411" s="10" t="s">
        <v>42</v>
      </c>
      <c r="F411" s="10" t="s">
        <v>4</v>
      </c>
      <c r="G411" s="10" t="s">
        <v>23</v>
      </c>
      <c r="H411" s="10">
        <v>-8</v>
      </c>
      <c r="I411" s="11">
        <v>112.25</v>
      </c>
      <c r="J411" s="11">
        <v>3.2509749999999999</v>
      </c>
      <c r="K411" s="11" t="str">
        <f>IF(Table1[[#This Row],[Solar 
Resource]]&lt;3,"Low", IF(Table1[[#This Row],[Solar 
Resource]]&lt;4, "Moderate","High"))</f>
        <v>Moderate</v>
      </c>
      <c r="L411" s="11">
        <v>1.0211302</v>
      </c>
      <c r="M411" s="11">
        <v>38.652958740000003</v>
      </c>
      <c r="N411" s="11">
        <v>1240.3561999999999</v>
      </c>
      <c r="O411" s="11">
        <v>1662.0772260000001</v>
      </c>
      <c r="P411" s="11">
        <f>Table1[[#This Row],[Installed Capacity 
(AC -MW)]]/Table1[[#This Row],[Installed Capacity 
(DC -MW)]]</f>
        <v>0.74626869353421965</v>
      </c>
      <c r="Q411" s="12">
        <v>0.18575121</v>
      </c>
      <c r="R411" s="12">
        <v>0.13862031999999999</v>
      </c>
      <c r="S411" s="13">
        <v>53.055102390000002</v>
      </c>
      <c r="T411" s="11">
        <v>2.5019090890000002</v>
      </c>
      <c r="U411" s="11">
        <v>222.91814919999999</v>
      </c>
      <c r="V411" s="13">
        <v>717958.73340000003</v>
      </c>
      <c r="W411" s="13">
        <v>760757.25</v>
      </c>
      <c r="X411" s="13">
        <v>37.823250000000002</v>
      </c>
      <c r="Y411" s="14">
        <f>+Table1[[#This Row],[Generation Cost 
LCOE (USD/MWh)]]+Table1[[#This Row],[Transmission Cost
LCOT (USD/MWh)]]</f>
        <v>90.878352390000003</v>
      </c>
    </row>
    <row r="412" spans="1:25" x14ac:dyDescent="0.3">
      <c r="A412" s="7">
        <v>411</v>
      </c>
      <c r="B412" s="8">
        <v>6113</v>
      </c>
      <c r="C412" s="9">
        <v>47.503599999999999</v>
      </c>
      <c r="D412" s="9">
        <v>-122.52487000000001</v>
      </c>
      <c r="E412" s="10" t="s">
        <v>42</v>
      </c>
      <c r="F412" s="10" t="s">
        <v>4</v>
      </c>
      <c r="G412" s="10" t="s">
        <v>23</v>
      </c>
      <c r="H412" s="10">
        <v>-8</v>
      </c>
      <c r="I412" s="11">
        <v>72.142857140000004</v>
      </c>
      <c r="J412" s="11">
        <v>3.3097061999999999</v>
      </c>
      <c r="K412" s="11" t="str">
        <f>IF(Table1[[#This Row],[Solar 
Resource]]&lt;3,"Low", IF(Table1[[#This Row],[Solar 
Resource]]&lt;4, "Moderate","High"))</f>
        <v>Moderate</v>
      </c>
      <c r="L412" s="11">
        <v>1.0212292999999999</v>
      </c>
      <c r="M412" s="11">
        <v>9.5603493159999999</v>
      </c>
      <c r="N412" s="11">
        <v>306.78730760000002</v>
      </c>
      <c r="O412" s="11">
        <v>411.0950206</v>
      </c>
      <c r="P412" s="11">
        <f>Table1[[#This Row],[Installed Capacity 
(AC -MW)]]/Table1[[#This Row],[Installed Capacity 
(DC -MW)]]</f>
        <v>0.74626860513230941</v>
      </c>
      <c r="Q412" s="12">
        <v>0.18933393000000001</v>
      </c>
      <c r="R412" s="12">
        <v>0.14129399000000001</v>
      </c>
      <c r="S412" s="13">
        <v>52.055154440000003</v>
      </c>
      <c r="T412" s="11">
        <v>7.8593311630000002</v>
      </c>
      <c r="U412" s="11">
        <v>228.9737336</v>
      </c>
      <c r="V412" s="13">
        <v>774277.24739999999</v>
      </c>
      <c r="W412" s="13">
        <v>819297.06</v>
      </c>
      <c r="X412" s="13">
        <v>39.962935999999999</v>
      </c>
      <c r="Y412" s="14">
        <f>+Table1[[#This Row],[Generation Cost 
LCOE (USD/MWh)]]+Table1[[#This Row],[Transmission Cost
LCOT (USD/MWh)]]</f>
        <v>92.018090440000009</v>
      </c>
    </row>
    <row r="413" spans="1:25" x14ac:dyDescent="0.3">
      <c r="A413" s="7">
        <v>412</v>
      </c>
      <c r="B413" s="8">
        <v>6114</v>
      </c>
      <c r="C413" s="9">
        <v>47.530501999999998</v>
      </c>
      <c r="D413" s="9">
        <v>-122.36891</v>
      </c>
      <c r="E413" s="10" t="s">
        <v>42</v>
      </c>
      <c r="F413" s="10" t="s">
        <v>4</v>
      </c>
      <c r="G413" s="10" t="s">
        <v>22</v>
      </c>
      <c r="H413" s="10">
        <v>-8</v>
      </c>
      <c r="I413" s="11">
        <v>58.111111110000003</v>
      </c>
      <c r="J413" s="11">
        <v>3.3717622999999999</v>
      </c>
      <c r="K413" s="11" t="str">
        <f>IF(Table1[[#This Row],[Solar 
Resource]]&lt;3,"Low", IF(Table1[[#This Row],[Solar 
Resource]]&lt;4, "Moderate","High"))</f>
        <v>Moderate</v>
      </c>
      <c r="L413" s="11">
        <v>1.0212821999999999</v>
      </c>
      <c r="M413" s="11">
        <v>4.8287341189999999</v>
      </c>
      <c r="N413" s="11">
        <v>154.9519234</v>
      </c>
      <c r="O413" s="11">
        <v>207.6355671</v>
      </c>
      <c r="P413" s="11">
        <f>Table1[[#This Row],[Installed Capacity 
(AC -MW)]]/Table1[[#This Row],[Installed Capacity 
(DC -MW)]]</f>
        <v>0.74626869357778736</v>
      </c>
      <c r="Q413" s="12">
        <v>0.19275321000000001</v>
      </c>
      <c r="R413" s="12">
        <v>0.14384565999999999</v>
      </c>
      <c r="S413" s="13">
        <v>51.133838130000001</v>
      </c>
      <c r="T413" s="11">
        <v>0.56183766199999996</v>
      </c>
      <c r="U413" s="11">
        <v>8.0329350599999998</v>
      </c>
      <c r="V413" s="13">
        <v>35343.807119999998</v>
      </c>
      <c r="W413" s="13">
        <v>77033.835999999996</v>
      </c>
      <c r="X413" s="13">
        <v>3.6908324000000001</v>
      </c>
      <c r="Y413" s="14">
        <f>+Table1[[#This Row],[Generation Cost 
LCOE (USD/MWh)]]+Table1[[#This Row],[Transmission Cost
LCOT (USD/MWh)]]</f>
        <v>54.824670529999999</v>
      </c>
    </row>
    <row r="414" spans="1:25" x14ac:dyDescent="0.3">
      <c r="A414" s="7">
        <v>413</v>
      </c>
      <c r="B414" s="8">
        <v>6115</v>
      </c>
      <c r="C414" s="9">
        <v>47.557250000000003</v>
      </c>
      <c r="D414" s="9">
        <v>-122.21281399999999</v>
      </c>
      <c r="E414" s="10" t="s">
        <v>42</v>
      </c>
      <c r="F414" s="10" t="s">
        <v>4</v>
      </c>
      <c r="G414" s="10" t="s">
        <v>22</v>
      </c>
      <c r="H414" s="10">
        <v>-8</v>
      </c>
      <c r="I414" s="11">
        <v>85.5</v>
      </c>
      <c r="J414" s="11">
        <v>3.2517027999999999</v>
      </c>
      <c r="K414" s="11" t="str">
        <f>IF(Table1[[#This Row],[Solar 
Resource]]&lt;3,"Low", IF(Table1[[#This Row],[Solar 
Resource]]&lt;4, "Moderate","High"))</f>
        <v>Moderate</v>
      </c>
      <c r="L414" s="11">
        <v>1.0212607</v>
      </c>
      <c r="M414" s="11">
        <v>3.6245067629999999</v>
      </c>
      <c r="N414" s="11">
        <v>116.3088049</v>
      </c>
      <c r="O414" s="11">
        <v>155.85379080000001</v>
      </c>
      <c r="P414" s="11">
        <f>Table1[[#This Row],[Installed Capacity 
(AC -MW)]]/Table1[[#This Row],[Installed Capacity 
(DC -MW)]]</f>
        <v>0.74626869390205419</v>
      </c>
      <c r="Q414" s="12">
        <v>0.18461900000000001</v>
      </c>
      <c r="R414" s="12">
        <v>0.13777538</v>
      </c>
      <c r="S414" s="13">
        <v>53.38588034</v>
      </c>
      <c r="T414" s="11">
        <v>1.4463961030000001</v>
      </c>
      <c r="U414" s="11">
        <v>39.12725322</v>
      </c>
      <c r="V414" s="13">
        <v>156810.58720000001</v>
      </c>
      <c r="W414" s="13">
        <v>188419.56</v>
      </c>
      <c r="X414" s="13">
        <v>9.4252749999999992</v>
      </c>
      <c r="Y414" s="14">
        <f>+Table1[[#This Row],[Generation Cost 
LCOE (USD/MWh)]]+Table1[[#This Row],[Transmission Cost
LCOT (USD/MWh)]]</f>
        <v>62.811155339999999</v>
      </c>
    </row>
    <row r="415" spans="1:25" x14ac:dyDescent="0.3">
      <c r="A415" s="7">
        <v>414</v>
      </c>
      <c r="B415" s="8">
        <v>6116</v>
      </c>
      <c r="C415" s="9">
        <v>47.583846999999999</v>
      </c>
      <c r="D415" s="9">
        <v>-122.05658</v>
      </c>
      <c r="E415" s="10" t="s">
        <v>42</v>
      </c>
      <c r="F415" s="10" t="s">
        <v>4</v>
      </c>
      <c r="G415" s="10" t="s">
        <v>22</v>
      </c>
      <c r="H415" s="10">
        <v>-8</v>
      </c>
      <c r="I415" s="11">
        <v>136.94444440000001</v>
      </c>
      <c r="J415" s="11">
        <v>3.1368407999999999</v>
      </c>
      <c r="K415" s="11" t="str">
        <f>IF(Table1[[#This Row],[Solar 
Resource]]&lt;3,"Low", IF(Table1[[#This Row],[Solar 
Resource]]&lt;4, "Moderate","High"))</f>
        <v>Moderate</v>
      </c>
      <c r="L415" s="11">
        <v>1.0211513999999999</v>
      </c>
      <c r="M415" s="11">
        <v>10.461959800000001</v>
      </c>
      <c r="N415" s="11">
        <v>335.71958239999998</v>
      </c>
      <c r="O415" s="11">
        <v>449.86427149999997</v>
      </c>
      <c r="P415" s="11">
        <f>Table1[[#This Row],[Installed Capacity 
(AC -MW)]]/Table1[[#This Row],[Installed Capacity 
(DC -MW)]]</f>
        <v>0.74626860515194304</v>
      </c>
      <c r="Q415" s="12">
        <v>0.17606889000000001</v>
      </c>
      <c r="R415" s="12">
        <v>0.1313947</v>
      </c>
      <c r="S415" s="13">
        <v>55.973613960000002</v>
      </c>
      <c r="T415" s="11">
        <v>1.536396103</v>
      </c>
      <c r="U415" s="11">
        <v>43.057467500000001</v>
      </c>
      <c r="V415" s="13">
        <v>182062.6654</v>
      </c>
      <c r="W415" s="13">
        <v>213080.08</v>
      </c>
      <c r="X415" s="13">
        <v>11.17647</v>
      </c>
      <c r="Y415" s="14">
        <f>+Table1[[#This Row],[Generation Cost 
LCOE (USD/MWh)]]+Table1[[#This Row],[Transmission Cost
LCOT (USD/MWh)]]</f>
        <v>67.150083960000003</v>
      </c>
    </row>
    <row r="416" spans="1:25" x14ac:dyDescent="0.3">
      <c r="A416" s="7">
        <v>415</v>
      </c>
      <c r="B416" s="8">
        <v>6117</v>
      </c>
      <c r="C416" s="9">
        <v>47.610287</v>
      </c>
      <c r="D416" s="9">
        <v>-121.90018999999999</v>
      </c>
      <c r="E416" s="10" t="s">
        <v>42</v>
      </c>
      <c r="F416" s="10" t="s">
        <v>4</v>
      </c>
      <c r="G416" s="10" t="s">
        <v>22</v>
      </c>
      <c r="H416" s="10">
        <v>-8</v>
      </c>
      <c r="I416" s="11">
        <v>155.07692309999999</v>
      </c>
      <c r="J416" s="11">
        <v>3.0806746</v>
      </c>
      <c r="K416" s="11" t="str">
        <f>IF(Table1[[#This Row],[Solar 
Resource]]&lt;3,"Low", IF(Table1[[#This Row],[Solar 
Resource]]&lt;4, "Moderate","High"))</f>
        <v>Moderate</v>
      </c>
      <c r="L416" s="11">
        <v>1.0209903</v>
      </c>
      <c r="M416" s="11">
        <v>15.604487840000001</v>
      </c>
      <c r="N416" s="11">
        <v>500.74099310000003</v>
      </c>
      <c r="O416" s="11">
        <v>670.99297720000004</v>
      </c>
      <c r="P416" s="11">
        <f>Table1[[#This Row],[Installed Capacity 
(AC -MW)]]/Table1[[#This Row],[Installed Capacity 
(DC -MW)]]</f>
        <v>0.74626860505985038</v>
      </c>
      <c r="Q416" s="12">
        <v>0.17150217000000001</v>
      </c>
      <c r="R416" s="12">
        <v>0.12798667999999999</v>
      </c>
      <c r="S416" s="13">
        <v>57.456893780000001</v>
      </c>
      <c r="T416" s="11">
        <v>0.63</v>
      </c>
      <c r="U416" s="11">
        <v>61.978850610000002</v>
      </c>
      <c r="V416" s="13">
        <v>270576.40549999999</v>
      </c>
      <c r="W416" s="13">
        <v>315397.94</v>
      </c>
      <c r="X416" s="13">
        <v>16.983753</v>
      </c>
      <c r="Y416" s="14">
        <f>+Table1[[#This Row],[Generation Cost 
LCOE (USD/MWh)]]+Table1[[#This Row],[Transmission Cost
LCOT (USD/MWh)]]</f>
        <v>74.440646780000009</v>
      </c>
    </row>
    <row r="417" spans="1:25" x14ac:dyDescent="0.3">
      <c r="A417" s="7">
        <v>416</v>
      </c>
      <c r="B417" s="8">
        <v>6118</v>
      </c>
      <c r="C417" s="9">
        <v>47.636574000000003</v>
      </c>
      <c r="D417" s="9">
        <v>-121.74365</v>
      </c>
      <c r="E417" s="10" t="s">
        <v>42</v>
      </c>
      <c r="F417" s="10" t="s">
        <v>4</v>
      </c>
      <c r="G417" s="10" t="s">
        <v>22</v>
      </c>
      <c r="H417" s="10">
        <v>-8</v>
      </c>
      <c r="I417" s="11">
        <v>513</v>
      </c>
      <c r="J417" s="11">
        <v>2.9977771999999998</v>
      </c>
      <c r="K417" s="11" t="str">
        <f>IF(Table1[[#This Row],[Solar 
Resource]]&lt;3,"Low", IF(Table1[[#This Row],[Solar 
Resource]]&lt;4, "Moderate","High"))</f>
        <v>Low</v>
      </c>
      <c r="L417" s="11">
        <v>1.0201960000000001</v>
      </c>
      <c r="M417" s="11">
        <v>0.85535998800000002</v>
      </c>
      <c r="N417" s="11">
        <v>27.448117109999998</v>
      </c>
      <c r="O417" s="11">
        <v>36.780479470000003</v>
      </c>
      <c r="P417" s="11">
        <f>Table1[[#This Row],[Installed Capacity 
(AC -MW)]]/Table1[[#This Row],[Installed Capacity 
(DC -MW)]]</f>
        <v>0.74626860512756654</v>
      </c>
      <c r="Q417" s="12">
        <v>0.17006560000000001</v>
      </c>
      <c r="R417" s="12">
        <v>0.12691464</v>
      </c>
      <c r="S417" s="13">
        <v>64.03121831</v>
      </c>
      <c r="T417" s="11">
        <v>9.5538896040000001</v>
      </c>
      <c r="U417" s="11">
        <v>62.09333762</v>
      </c>
      <c r="V417" s="13">
        <v>258768.5828</v>
      </c>
      <c r="W417" s="13">
        <v>380834.3</v>
      </c>
      <c r="X417" s="13">
        <v>20.680641000000001</v>
      </c>
      <c r="Y417" s="14">
        <f>+Table1[[#This Row],[Generation Cost 
LCOE (USD/MWh)]]+Table1[[#This Row],[Transmission Cost
LCOT (USD/MWh)]]</f>
        <v>84.711859309999994</v>
      </c>
    </row>
    <row r="418" spans="1:25" x14ac:dyDescent="0.3">
      <c r="A418" s="7">
        <v>417</v>
      </c>
      <c r="B418" s="8">
        <v>6119</v>
      </c>
      <c r="C418" s="9">
        <v>47.662703999999998</v>
      </c>
      <c r="D418" s="9">
        <v>-121.586975</v>
      </c>
      <c r="E418" s="10" t="s">
        <v>42</v>
      </c>
      <c r="F418" s="10" t="s">
        <v>4</v>
      </c>
      <c r="G418" s="10" t="s">
        <v>22</v>
      </c>
      <c r="H418" s="10">
        <v>-8</v>
      </c>
      <c r="I418" s="11">
        <v>802.33333330000005</v>
      </c>
      <c r="J418" s="11">
        <v>3.0066060000000001</v>
      </c>
      <c r="K418" s="11" t="str">
        <f>IF(Table1[[#This Row],[Solar 
Resource]]&lt;3,"Low", IF(Table1[[#This Row],[Solar 
Resource]]&lt;4, "Moderate","High"))</f>
        <v>Moderate</v>
      </c>
      <c r="L418" s="11">
        <v>1.0196297999999999</v>
      </c>
      <c r="M418" s="11">
        <v>0.57477599300000004</v>
      </c>
      <c r="N418" s="11">
        <v>18.444305159999999</v>
      </c>
      <c r="O418" s="11">
        <v>24.71536768</v>
      </c>
      <c r="P418" s="11">
        <f>Table1[[#This Row],[Installed Capacity 
(AC -MW)]]/Table1[[#This Row],[Installed Capacity 
(DC -MW)]]</f>
        <v>0.74626869398853302</v>
      </c>
      <c r="Q418" s="12">
        <v>0.17220592000000001</v>
      </c>
      <c r="R418" s="12">
        <v>0.12851185000000001</v>
      </c>
      <c r="S418" s="13">
        <v>66.023313590000001</v>
      </c>
      <c r="T418" s="11">
        <v>17.55594155</v>
      </c>
      <c r="U418" s="11">
        <v>78.748181770000002</v>
      </c>
      <c r="V418" s="13">
        <v>335859.32299999997</v>
      </c>
      <c r="W418" s="13">
        <v>501059.44</v>
      </c>
      <c r="X418" s="13">
        <v>26.871106999999999</v>
      </c>
      <c r="Y418" s="14">
        <f>+Table1[[#This Row],[Generation Cost 
LCOE (USD/MWh)]]+Table1[[#This Row],[Transmission Cost
LCOT (USD/MWh)]]</f>
        <v>92.894420589999996</v>
      </c>
    </row>
    <row r="419" spans="1:25" x14ac:dyDescent="0.3">
      <c r="A419" s="7">
        <v>418</v>
      </c>
      <c r="B419" s="8">
        <v>6120</v>
      </c>
      <c r="C419" s="9">
        <v>47.688682999999997</v>
      </c>
      <c r="D419" s="9">
        <v>-121.43016</v>
      </c>
      <c r="E419" s="10" t="s">
        <v>42</v>
      </c>
      <c r="F419" s="10" t="s">
        <v>4</v>
      </c>
      <c r="G419" s="10" t="s">
        <v>22</v>
      </c>
      <c r="H419" s="10">
        <v>-8</v>
      </c>
      <c r="I419" s="11">
        <v>519</v>
      </c>
      <c r="J419" s="11">
        <v>3.1645243000000001</v>
      </c>
      <c r="K419" s="11" t="str">
        <f>IF(Table1[[#This Row],[Solar 
Resource]]&lt;3,"Low", IF(Table1[[#This Row],[Solar 
Resource]]&lt;4, "Moderate","High"))</f>
        <v>Moderate</v>
      </c>
      <c r="L419" s="11">
        <v>1.0187573000000001</v>
      </c>
      <c r="M419" s="11">
        <v>0.25757999399999998</v>
      </c>
      <c r="N419" s="11">
        <v>8.2656270779999996</v>
      </c>
      <c r="O419" s="11">
        <v>11.07593973</v>
      </c>
      <c r="P419" s="11">
        <f>Table1[[#This Row],[Installed Capacity 
(AC -MW)]]/Table1[[#This Row],[Installed Capacity 
(DC -MW)]]</f>
        <v>0.74626869407856555</v>
      </c>
      <c r="Q419" s="12">
        <v>0.17820057</v>
      </c>
      <c r="R419" s="12">
        <v>0.13298546999999999</v>
      </c>
      <c r="S419" s="13">
        <v>69.711666589999993</v>
      </c>
      <c r="T419" s="11">
        <v>4.9447012949999998</v>
      </c>
      <c r="U419" s="11">
        <v>118.5082726</v>
      </c>
      <c r="V419" s="13">
        <v>470881.21950000001</v>
      </c>
      <c r="W419" s="13">
        <v>584360.80000000005</v>
      </c>
      <c r="X419" s="13">
        <v>30.284222</v>
      </c>
      <c r="Y419" s="14">
        <f>+Table1[[#This Row],[Generation Cost 
LCOE (USD/MWh)]]+Table1[[#This Row],[Transmission Cost
LCOT (USD/MWh)]]</f>
        <v>99.995888589999993</v>
      </c>
    </row>
    <row r="420" spans="1:25" x14ac:dyDescent="0.3">
      <c r="A420" s="7">
        <v>419</v>
      </c>
      <c r="B420" s="8">
        <v>6121</v>
      </c>
      <c r="C420" s="9">
        <v>47.714500000000001</v>
      </c>
      <c r="D420" s="9">
        <v>-121.27319</v>
      </c>
      <c r="E420" s="10" t="s">
        <v>42</v>
      </c>
      <c r="F420" s="10" t="s">
        <v>4</v>
      </c>
      <c r="G420" s="10" t="s">
        <v>22</v>
      </c>
      <c r="H420" s="10">
        <v>-8</v>
      </c>
      <c r="I420" s="11">
        <v>613.66666669999995</v>
      </c>
      <c r="J420" s="11">
        <v>3.2488291</v>
      </c>
      <c r="K420" s="11" t="str">
        <f>IF(Table1[[#This Row],[Solar 
Resource]]&lt;3,"Low", IF(Table1[[#This Row],[Solar 
Resource]]&lt;4, "Moderate","High"))</f>
        <v>Moderate</v>
      </c>
      <c r="L420" s="11">
        <v>1.0177293000000001</v>
      </c>
      <c r="M420" s="11">
        <v>0.27215998800000002</v>
      </c>
      <c r="N420" s="11">
        <v>8.7334925749999996</v>
      </c>
      <c r="O420" s="11">
        <v>11.702879469999999</v>
      </c>
      <c r="P420" s="11">
        <f>Table1[[#This Row],[Installed Capacity 
(AC -MW)]]/Table1[[#This Row],[Installed Capacity 
(DC -MW)]]</f>
        <v>0.74626869373371407</v>
      </c>
      <c r="Q420" s="12">
        <v>0.18341716</v>
      </c>
      <c r="R420" s="12">
        <v>0.13687848</v>
      </c>
      <c r="S420" s="13">
        <v>67.255269310000003</v>
      </c>
      <c r="T420" s="11">
        <v>0.09</v>
      </c>
      <c r="U420" s="11">
        <v>127.6121622</v>
      </c>
      <c r="V420" s="13">
        <v>502459.37190000003</v>
      </c>
      <c r="W420" s="13">
        <v>538772.06000000006</v>
      </c>
      <c r="X420" s="13">
        <v>27.127485</v>
      </c>
      <c r="Y420" s="14">
        <f>+Table1[[#This Row],[Generation Cost 
LCOE (USD/MWh)]]+Table1[[#This Row],[Transmission Cost
LCOT (USD/MWh)]]</f>
        <v>94.382754309999996</v>
      </c>
    </row>
    <row r="421" spans="1:25" x14ac:dyDescent="0.3">
      <c r="A421" s="7">
        <v>420</v>
      </c>
      <c r="B421" s="8">
        <v>6122</v>
      </c>
      <c r="C421" s="9">
        <v>47.740169999999999</v>
      </c>
      <c r="D421" s="9">
        <v>-121.11609</v>
      </c>
      <c r="E421" s="10" t="s">
        <v>42</v>
      </c>
      <c r="F421" s="10" t="s">
        <v>4</v>
      </c>
      <c r="G421" s="10" t="s">
        <v>22</v>
      </c>
      <c r="H421" s="10">
        <v>-8</v>
      </c>
      <c r="I421" s="11">
        <v>1280.666667</v>
      </c>
      <c r="J421" s="11">
        <v>3.3285762999999999</v>
      </c>
      <c r="K421" s="11" t="str">
        <f>IF(Table1[[#This Row],[Solar 
Resource]]&lt;3,"Low", IF(Table1[[#This Row],[Solar 
Resource]]&lt;4, "Moderate","High"))</f>
        <v>Moderate</v>
      </c>
      <c r="L421" s="11">
        <v>1.0165759000000001</v>
      </c>
      <c r="M421" s="11">
        <v>0.107892005</v>
      </c>
      <c r="N421" s="11">
        <v>3.4622054879999999</v>
      </c>
      <c r="O421" s="11">
        <v>4.6393562260000003</v>
      </c>
      <c r="P421" s="11">
        <f>Table1[[#This Row],[Installed Capacity 
(AC -MW)]]/Table1[[#This Row],[Installed Capacity 
(DC -MW)]]</f>
        <v>0.7462685164370475</v>
      </c>
      <c r="Q421" s="12">
        <v>0.19082186000000001</v>
      </c>
      <c r="R421" s="12">
        <v>0.14240436000000001</v>
      </c>
      <c r="S421" s="13">
        <v>71.716577970000003</v>
      </c>
      <c r="T421" s="11">
        <v>2.7655129860000001</v>
      </c>
      <c r="U421" s="11">
        <v>145.5062661</v>
      </c>
      <c r="V421" s="13">
        <v>608157.071</v>
      </c>
      <c r="W421" s="13">
        <v>664353.1</v>
      </c>
      <c r="X421" s="13">
        <v>32.152540000000002</v>
      </c>
      <c r="Y421" s="14">
        <f>+Table1[[#This Row],[Generation Cost 
LCOE (USD/MWh)]]+Table1[[#This Row],[Transmission Cost
LCOT (USD/MWh)]]</f>
        <v>103.86911797</v>
      </c>
    </row>
    <row r="422" spans="1:25" x14ac:dyDescent="0.3">
      <c r="A422" s="7">
        <v>421</v>
      </c>
      <c r="B422" s="8">
        <v>6123</v>
      </c>
      <c r="C422" s="9">
        <v>47.765680000000003</v>
      </c>
      <c r="D422" s="9">
        <v>-120.95883000000001</v>
      </c>
      <c r="E422" s="10" t="s">
        <v>42</v>
      </c>
      <c r="F422" s="10" t="s">
        <v>4</v>
      </c>
      <c r="G422" s="10" t="s">
        <v>11</v>
      </c>
      <c r="H422" s="10">
        <v>-8</v>
      </c>
      <c r="I422" s="11">
        <v>1251.5</v>
      </c>
      <c r="J422" s="11">
        <v>3.4355880999999999</v>
      </c>
      <c r="K422" s="11" t="str">
        <f>IF(Table1[[#This Row],[Solar 
Resource]]&lt;3,"Low", IF(Table1[[#This Row],[Solar 
Resource]]&lt;4, "Moderate","High"))</f>
        <v>Moderate</v>
      </c>
      <c r="L422" s="11">
        <v>1.0157149000000001</v>
      </c>
      <c r="M422" s="11">
        <v>5.5079999999999999E-3</v>
      </c>
      <c r="N422" s="11">
        <v>0.176749243</v>
      </c>
      <c r="O422" s="11">
        <v>0.236844002</v>
      </c>
      <c r="P422" s="11">
        <f>Table1[[#This Row],[Installed Capacity 
(AC -MW)]]/Table1[[#This Row],[Installed Capacity 
(DC -MW)]]</f>
        <v>0.7462686051048909</v>
      </c>
      <c r="Q422" s="12">
        <v>0.19682870999999999</v>
      </c>
      <c r="R422" s="12">
        <v>0.14688709999999999</v>
      </c>
      <c r="S422" s="13">
        <v>98.526760359999997</v>
      </c>
      <c r="T422" s="11">
        <v>0.9</v>
      </c>
      <c r="U422" s="11">
        <v>155.52824659999999</v>
      </c>
      <c r="V422" s="13">
        <v>655511.01260000002</v>
      </c>
      <c r="W422" s="13">
        <v>712620.94</v>
      </c>
      <c r="X422" s="13">
        <v>33.436016000000002</v>
      </c>
      <c r="Y422" s="14">
        <f>+Table1[[#This Row],[Generation Cost 
LCOE (USD/MWh)]]+Table1[[#This Row],[Transmission Cost
LCOT (USD/MWh)]]</f>
        <v>131.96277635999999</v>
      </c>
    </row>
    <row r="423" spans="1:25" x14ac:dyDescent="0.3">
      <c r="A423" s="7">
        <v>422</v>
      </c>
      <c r="B423" s="8">
        <v>6124</v>
      </c>
      <c r="C423" s="9">
        <v>47.791035000000001</v>
      </c>
      <c r="D423" s="9">
        <v>-120.80145</v>
      </c>
      <c r="E423" s="10" t="s">
        <v>42</v>
      </c>
      <c r="F423" s="10" t="s">
        <v>4</v>
      </c>
      <c r="G423" s="10" t="s">
        <v>11</v>
      </c>
      <c r="H423" s="10">
        <v>-8</v>
      </c>
      <c r="I423" s="11">
        <v>939.6</v>
      </c>
      <c r="J423" s="11">
        <v>3.8702673999999999</v>
      </c>
      <c r="K423" s="11" t="str">
        <f>IF(Table1[[#This Row],[Solar 
Resource]]&lt;3,"Low", IF(Table1[[#This Row],[Solar 
Resource]]&lt;4, "Moderate","High"))</f>
        <v>Moderate</v>
      </c>
      <c r="L423" s="11">
        <v>1.0134890000000001</v>
      </c>
      <c r="M423" s="11">
        <v>1.86429603</v>
      </c>
      <c r="N423" s="11">
        <v>59.824413579999998</v>
      </c>
      <c r="O423" s="11">
        <v>80.164729280000003</v>
      </c>
      <c r="P423" s="11">
        <f>Table1[[#This Row],[Installed Capacity 
(AC -MW)]]/Table1[[#This Row],[Installed Capacity 
(DC -MW)]]</f>
        <v>0.74626851630777435</v>
      </c>
      <c r="Q423" s="12">
        <v>0.22813411</v>
      </c>
      <c r="R423" s="12">
        <v>0.17024933</v>
      </c>
      <c r="S423" s="13">
        <v>43.650717810000003</v>
      </c>
      <c r="T423" s="11">
        <v>2.2473506470000002</v>
      </c>
      <c r="U423" s="11">
        <v>173.4525908</v>
      </c>
      <c r="V423" s="13">
        <v>602792.20420000004</v>
      </c>
      <c r="W423" s="13">
        <v>671744.2</v>
      </c>
      <c r="X423" s="13">
        <v>27.193062000000001</v>
      </c>
      <c r="Y423" s="14">
        <f>+Table1[[#This Row],[Generation Cost 
LCOE (USD/MWh)]]+Table1[[#This Row],[Transmission Cost
LCOT (USD/MWh)]]</f>
        <v>70.843779810000001</v>
      </c>
    </row>
    <row r="424" spans="1:25" x14ac:dyDescent="0.3">
      <c r="A424" s="7">
        <v>423</v>
      </c>
      <c r="B424" s="8">
        <v>6125</v>
      </c>
      <c r="C424" s="9">
        <v>47.816229999999997</v>
      </c>
      <c r="D424" s="9">
        <v>-120.64391999999999</v>
      </c>
      <c r="E424" s="10" t="s">
        <v>42</v>
      </c>
      <c r="F424" s="10" t="s">
        <v>4</v>
      </c>
      <c r="G424" s="10" t="s">
        <v>11</v>
      </c>
      <c r="H424" s="10">
        <v>-8</v>
      </c>
      <c r="I424" s="11">
        <v>737.25</v>
      </c>
      <c r="J424" s="11">
        <v>3.8743707999999999</v>
      </c>
      <c r="K424" s="11" t="str">
        <f>IF(Table1[[#This Row],[Solar 
Resource]]&lt;3,"Low", IF(Table1[[#This Row],[Solar 
Resource]]&lt;4, "Moderate","High"))</f>
        <v>Moderate</v>
      </c>
      <c r="L424" s="11">
        <v>1.0120391</v>
      </c>
      <c r="M424" s="11">
        <v>3.211973822</v>
      </c>
      <c r="N424" s="11">
        <v>103.07080689999999</v>
      </c>
      <c r="O424" s="11">
        <v>138.1148743</v>
      </c>
      <c r="P424" s="11">
        <f>Table1[[#This Row],[Installed Capacity 
(AC -MW)]]/Table1[[#This Row],[Installed Capacity 
(DC -MW)]]</f>
        <v>0.74626869424736531</v>
      </c>
      <c r="Q424" s="12">
        <v>0.22841481999999999</v>
      </c>
      <c r="R424" s="12">
        <v>0.17045884</v>
      </c>
      <c r="S424" s="13">
        <v>42.841354279999997</v>
      </c>
      <c r="T424" s="11">
        <v>6.788376618</v>
      </c>
      <c r="U424" s="11">
        <v>173.0244285</v>
      </c>
      <c r="V424" s="13">
        <v>615481.33640000003</v>
      </c>
      <c r="W424" s="13">
        <v>714436.56</v>
      </c>
      <c r="X424" s="13">
        <v>28.885760999999999</v>
      </c>
      <c r="Y424" s="14">
        <f>+Table1[[#This Row],[Generation Cost 
LCOE (USD/MWh)]]+Table1[[#This Row],[Transmission Cost
LCOT (USD/MWh)]]</f>
        <v>71.727115279999992</v>
      </c>
    </row>
    <row r="425" spans="1:25" x14ac:dyDescent="0.3">
      <c r="A425" s="7">
        <v>424</v>
      </c>
      <c r="B425" s="8">
        <v>6126</v>
      </c>
      <c r="C425" s="9">
        <v>47.841278000000003</v>
      </c>
      <c r="D425" s="9">
        <v>-120.48625</v>
      </c>
      <c r="E425" s="10" t="s">
        <v>42</v>
      </c>
      <c r="F425" s="10" t="s">
        <v>4</v>
      </c>
      <c r="G425" s="10" t="s">
        <v>11</v>
      </c>
      <c r="H425" s="10">
        <v>-8</v>
      </c>
      <c r="I425" s="11">
        <v>1131.2857140000001</v>
      </c>
      <c r="J425" s="11">
        <v>4.0161300000000004</v>
      </c>
      <c r="K425" s="11" t="str">
        <f>IF(Table1[[#This Row],[Solar 
Resource]]&lt;3,"Low", IF(Table1[[#This Row],[Solar 
Resource]]&lt;4, "Moderate","High"))</f>
        <v>High</v>
      </c>
      <c r="L425" s="11">
        <v>1.0097951000000001</v>
      </c>
      <c r="M425" s="11">
        <v>0.54853194800000005</v>
      </c>
      <c r="N425" s="11">
        <v>17.602145480000001</v>
      </c>
      <c r="O425" s="11">
        <v>23.58687377</v>
      </c>
      <c r="P425" s="11">
        <f>Table1[[#This Row],[Installed Capacity 
(AC -MW)]]/Table1[[#This Row],[Installed Capacity 
(DC -MW)]]</f>
        <v>0.74626869383546968</v>
      </c>
      <c r="Q425" s="12">
        <v>0.24169752999999999</v>
      </c>
      <c r="R425" s="12">
        <v>0.18037127999999999</v>
      </c>
      <c r="S425" s="13">
        <v>46.909565870000002</v>
      </c>
      <c r="T425" s="11">
        <v>19.827779209999999</v>
      </c>
      <c r="U425" s="11">
        <v>148.42975319999999</v>
      </c>
      <c r="V425" s="13">
        <v>472695.56459999998</v>
      </c>
      <c r="W425" s="13">
        <v>635364.4</v>
      </c>
      <c r="X425" s="13">
        <v>24.277000000000001</v>
      </c>
      <c r="Y425" s="14">
        <f>+Table1[[#This Row],[Generation Cost 
LCOE (USD/MWh)]]+Table1[[#This Row],[Transmission Cost
LCOT (USD/MWh)]]</f>
        <v>71.18656587000001</v>
      </c>
    </row>
    <row r="426" spans="1:25" x14ac:dyDescent="0.3">
      <c r="A426" s="7">
        <v>425</v>
      </c>
      <c r="B426" s="8">
        <v>6127</v>
      </c>
      <c r="C426" s="9">
        <v>47.866165000000002</v>
      </c>
      <c r="D426" s="9">
        <v>-120.328445</v>
      </c>
      <c r="E426" s="10" t="s">
        <v>42</v>
      </c>
      <c r="F426" s="10" t="s">
        <v>4</v>
      </c>
      <c r="G426" s="10" t="s">
        <v>11</v>
      </c>
      <c r="H426" s="10">
        <v>-8</v>
      </c>
      <c r="I426" s="11">
        <v>1022.333333</v>
      </c>
      <c r="J426" s="11">
        <v>4.0396004000000003</v>
      </c>
      <c r="K426" s="11" t="str">
        <f>IF(Table1[[#This Row],[Solar 
Resource]]&lt;3,"Low", IF(Table1[[#This Row],[Solar 
Resource]]&lt;4, "Moderate","High"))</f>
        <v>High</v>
      </c>
      <c r="L426" s="11">
        <v>1.0079503000000001</v>
      </c>
      <c r="M426" s="11">
        <v>0.17657999399999999</v>
      </c>
      <c r="N426" s="11">
        <v>5.6663725439999997</v>
      </c>
      <c r="O426" s="11">
        <v>7.5929397339999998</v>
      </c>
      <c r="P426" s="11">
        <f>Table1[[#This Row],[Installed Capacity 
(AC -MW)]]/Table1[[#This Row],[Installed Capacity 
(DC -MW)]]</f>
        <v>0.74626860511309834</v>
      </c>
      <c r="Q426" s="12">
        <v>0.24419156</v>
      </c>
      <c r="R426" s="12">
        <v>0.18223248</v>
      </c>
      <c r="S426" s="13">
        <v>52.610551569999998</v>
      </c>
      <c r="T426" s="11">
        <v>16.605870119999999</v>
      </c>
      <c r="U426" s="11">
        <v>147.38063629999999</v>
      </c>
      <c r="V426" s="13">
        <v>477865.56160000002</v>
      </c>
      <c r="W426" s="13">
        <v>625269.93999999994</v>
      </c>
      <c r="X426" s="13">
        <v>23.647286999999999</v>
      </c>
      <c r="Y426" s="14">
        <f>+Table1[[#This Row],[Generation Cost 
LCOE (USD/MWh)]]+Table1[[#This Row],[Transmission Cost
LCOT (USD/MWh)]]</f>
        <v>76.25783856999999</v>
      </c>
    </row>
    <row r="427" spans="1:25" x14ac:dyDescent="0.3">
      <c r="A427" s="7">
        <v>426</v>
      </c>
      <c r="B427" s="8">
        <v>6128</v>
      </c>
      <c r="C427" s="9">
        <v>47.890892000000001</v>
      </c>
      <c r="D427" s="9">
        <v>-120.1705</v>
      </c>
      <c r="E427" s="10" t="s">
        <v>42</v>
      </c>
      <c r="F427" s="10" t="s">
        <v>4</v>
      </c>
      <c r="G427" s="10" t="s">
        <v>11</v>
      </c>
      <c r="H427" s="10">
        <v>-8</v>
      </c>
      <c r="I427" s="11">
        <v>523.38461540000003</v>
      </c>
      <c r="J427" s="11">
        <v>3.9507306</v>
      </c>
      <c r="K427" s="11" t="str">
        <f>IF(Table1[[#This Row],[Solar 
Resource]]&lt;3,"Low", IF(Table1[[#This Row],[Solar 
Resource]]&lt;4, "Moderate","High"))</f>
        <v>Moderate</v>
      </c>
      <c r="L427" s="11">
        <v>1.0059578</v>
      </c>
      <c r="M427" s="11">
        <v>3.9157018620000001</v>
      </c>
      <c r="N427" s="11">
        <v>125.6531107</v>
      </c>
      <c r="O427" s="11">
        <v>168.37518</v>
      </c>
      <c r="P427" s="11">
        <f>Table1[[#This Row],[Installed Capacity 
(AC -MW)]]/Table1[[#This Row],[Installed Capacity 
(DC -MW)]]</f>
        <v>0.74626860502836578</v>
      </c>
      <c r="Q427" s="12">
        <v>0.23686624000000001</v>
      </c>
      <c r="R427" s="12">
        <v>0.17676583000000001</v>
      </c>
      <c r="S427" s="13">
        <v>41.116651650000001</v>
      </c>
      <c r="T427" s="11">
        <v>0.959116882</v>
      </c>
      <c r="U427" s="11">
        <v>183.60075309999999</v>
      </c>
      <c r="V427" s="13">
        <v>594710.39910000004</v>
      </c>
      <c r="W427" s="13">
        <v>639269.25</v>
      </c>
      <c r="X427" s="13">
        <v>24.924420999999999</v>
      </c>
      <c r="Y427" s="14">
        <f>+Table1[[#This Row],[Generation Cost 
LCOE (USD/MWh)]]+Table1[[#This Row],[Transmission Cost
LCOT (USD/MWh)]]</f>
        <v>66.041072650000004</v>
      </c>
    </row>
    <row r="428" spans="1:25" x14ac:dyDescent="0.3">
      <c r="A428" s="7">
        <v>427</v>
      </c>
      <c r="B428" s="8">
        <v>6129</v>
      </c>
      <c r="C428" s="9">
        <v>47.915466000000002</v>
      </c>
      <c r="D428" s="9">
        <v>-120.01242000000001</v>
      </c>
      <c r="E428" s="10" t="s">
        <v>42</v>
      </c>
      <c r="F428" s="10" t="s">
        <v>4</v>
      </c>
      <c r="G428" s="10" t="s">
        <v>11</v>
      </c>
      <c r="H428" s="10">
        <v>-8</v>
      </c>
      <c r="I428" s="11">
        <v>725.16666669999995</v>
      </c>
      <c r="J428" s="11">
        <v>4.0232986999999998</v>
      </c>
      <c r="K428" s="11" t="str">
        <f>IF(Table1[[#This Row],[Solar 
Resource]]&lt;3,"Low", IF(Table1[[#This Row],[Solar 
Resource]]&lt;4, "Moderate","High"))</f>
        <v>High</v>
      </c>
      <c r="L428" s="11">
        <v>1.0038533999999999</v>
      </c>
      <c r="M428" s="11">
        <v>16.012970289999998</v>
      </c>
      <c r="N428" s="11">
        <v>513.84901100000002</v>
      </c>
      <c r="O428" s="11">
        <v>688.55772239999999</v>
      </c>
      <c r="P428" s="11">
        <f>Table1[[#This Row],[Installed Capacity 
(AC -MW)]]/Table1[[#This Row],[Installed Capacity 
(DC -MW)]]</f>
        <v>0.74626860506183179</v>
      </c>
      <c r="Q428" s="12">
        <v>0.24371409999999999</v>
      </c>
      <c r="R428" s="12">
        <v>0.18187619999999999</v>
      </c>
      <c r="S428" s="13">
        <v>39.89538795</v>
      </c>
      <c r="T428" s="11">
        <v>5.6929350599999999</v>
      </c>
      <c r="U428" s="11">
        <v>173.17399990000001</v>
      </c>
      <c r="V428" s="13">
        <v>558000.37840000005</v>
      </c>
      <c r="W428" s="13">
        <v>653048.80000000005</v>
      </c>
      <c r="X428" s="13">
        <v>24.74625</v>
      </c>
      <c r="Y428" s="14">
        <f>+Table1[[#This Row],[Generation Cost 
LCOE (USD/MWh)]]+Table1[[#This Row],[Transmission Cost
LCOT (USD/MWh)]]</f>
        <v>64.641637950000003</v>
      </c>
    </row>
    <row r="429" spans="1:25" x14ac:dyDescent="0.3">
      <c r="A429" s="7">
        <v>428</v>
      </c>
      <c r="B429" s="8">
        <v>6130</v>
      </c>
      <c r="C429" s="9">
        <v>47.939880000000002</v>
      </c>
      <c r="D429" s="9">
        <v>-119.85420000000001</v>
      </c>
      <c r="E429" s="10" t="s">
        <v>42</v>
      </c>
      <c r="F429" s="10" t="s">
        <v>4</v>
      </c>
      <c r="G429" s="10" t="s">
        <v>13</v>
      </c>
      <c r="H429" s="10">
        <v>-8</v>
      </c>
      <c r="I429" s="11">
        <v>630.04999999999995</v>
      </c>
      <c r="J429" s="11">
        <v>3.9955463</v>
      </c>
      <c r="K429" s="11" t="str">
        <f>IF(Table1[[#This Row],[Solar 
Resource]]&lt;3,"Low", IF(Table1[[#This Row],[Solar 
Resource]]&lt;4, "Moderate","High"))</f>
        <v>Moderate</v>
      </c>
      <c r="L429" s="11">
        <v>1.0015438999999999</v>
      </c>
      <c r="M429" s="11">
        <v>23.906501370000001</v>
      </c>
      <c r="N429" s="11">
        <v>767.14887139999996</v>
      </c>
      <c r="O429" s="11">
        <v>1027.9795590000001</v>
      </c>
      <c r="P429" s="11">
        <f>Table1[[#This Row],[Installed Capacity 
(AC -MW)]]/Table1[[#This Row],[Installed Capacity 
(DC -MW)]]</f>
        <v>0.74626860493828151</v>
      </c>
      <c r="Q429" s="12">
        <v>0.24133036999999999</v>
      </c>
      <c r="R429" s="12">
        <v>0.18009731000000001</v>
      </c>
      <c r="S429" s="13">
        <v>40.216344460000002</v>
      </c>
      <c r="T429" s="11">
        <v>0.86911688200000004</v>
      </c>
      <c r="U429" s="11">
        <v>180.76707780000001</v>
      </c>
      <c r="V429" s="13">
        <v>509542.76490000001</v>
      </c>
      <c r="W429" s="13">
        <v>553812</v>
      </c>
      <c r="X429" s="13">
        <v>21.193114999999999</v>
      </c>
      <c r="Y429" s="14">
        <f>+Table1[[#This Row],[Generation Cost 
LCOE (USD/MWh)]]+Table1[[#This Row],[Transmission Cost
LCOT (USD/MWh)]]</f>
        <v>61.409459460000001</v>
      </c>
    </row>
    <row r="430" spans="1:25" x14ac:dyDescent="0.3">
      <c r="A430" s="7">
        <v>429</v>
      </c>
      <c r="B430" s="8">
        <v>6131</v>
      </c>
      <c r="C430" s="9">
        <v>47.96414</v>
      </c>
      <c r="D430" s="9">
        <v>-119.69584999999999</v>
      </c>
      <c r="E430" s="10" t="s">
        <v>42</v>
      </c>
      <c r="F430" s="10" t="s">
        <v>4</v>
      </c>
      <c r="G430" s="10" t="s">
        <v>13</v>
      </c>
      <c r="H430" s="10">
        <v>-8</v>
      </c>
      <c r="I430" s="11">
        <v>658.47058819999995</v>
      </c>
      <c r="J430" s="11">
        <v>3.9677137999999998</v>
      </c>
      <c r="K430" s="11" t="str">
        <f>IF(Table1[[#This Row],[Solar 
Resource]]&lt;3,"Low", IF(Table1[[#This Row],[Solar 
Resource]]&lt;4, "Moderate","High"))</f>
        <v>Moderate</v>
      </c>
      <c r="L430" s="11">
        <v>0.99943729999999997</v>
      </c>
      <c r="M430" s="11">
        <v>28.826280400000002</v>
      </c>
      <c r="N430" s="11">
        <v>925.02236660000005</v>
      </c>
      <c r="O430" s="11">
        <v>1239.5300569999999</v>
      </c>
      <c r="P430" s="11">
        <f>Table1[[#This Row],[Installed Capacity 
(AC -MW)]]/Table1[[#This Row],[Installed Capacity 
(DC -MW)]]</f>
        <v>0.74626860508635495</v>
      </c>
      <c r="Q430" s="12">
        <v>0.24064724000000001</v>
      </c>
      <c r="R430" s="12">
        <v>0.17958747999999999</v>
      </c>
      <c r="S430" s="13">
        <v>40.263635039999997</v>
      </c>
      <c r="T430" s="11">
        <v>2.144558441</v>
      </c>
      <c r="U430" s="11">
        <v>166.50605179999999</v>
      </c>
      <c r="V430" s="13">
        <v>450959.99040000001</v>
      </c>
      <c r="W430" s="13">
        <v>503944.53</v>
      </c>
      <c r="X430" s="13">
        <v>19.339545999999999</v>
      </c>
      <c r="Y430" s="14">
        <f>+Table1[[#This Row],[Generation Cost 
LCOE (USD/MWh)]]+Table1[[#This Row],[Transmission Cost
LCOT (USD/MWh)]]</f>
        <v>59.603181039999996</v>
      </c>
    </row>
    <row r="431" spans="1:25" x14ac:dyDescent="0.3">
      <c r="A431" s="7">
        <v>430</v>
      </c>
      <c r="B431" s="8">
        <v>6132</v>
      </c>
      <c r="C431" s="9">
        <v>47.988242999999997</v>
      </c>
      <c r="D431" s="9">
        <v>-119.53736000000001</v>
      </c>
      <c r="E431" s="10" t="s">
        <v>42</v>
      </c>
      <c r="F431" s="10" t="s">
        <v>4</v>
      </c>
      <c r="G431" s="10" t="s">
        <v>13</v>
      </c>
      <c r="H431" s="10">
        <v>-8</v>
      </c>
      <c r="I431" s="11">
        <v>598.5</v>
      </c>
      <c r="J431" s="11">
        <v>3.9324126000000001</v>
      </c>
      <c r="K431" s="11" t="str">
        <f>IF(Table1[[#This Row],[Solar 
Resource]]&lt;3,"Low", IF(Table1[[#This Row],[Solar 
Resource]]&lt;4, "Moderate","High"))</f>
        <v>Moderate</v>
      </c>
      <c r="L431" s="11">
        <v>0.99707924999999997</v>
      </c>
      <c r="M431" s="11">
        <v>48.487814210000003</v>
      </c>
      <c r="N431" s="11">
        <v>1555.9519539999999</v>
      </c>
      <c r="O431" s="11">
        <v>2084.9760110000002</v>
      </c>
      <c r="P431" s="11">
        <f>Table1[[#This Row],[Installed Capacity 
(AC -MW)]]/Table1[[#This Row],[Installed Capacity 
(DC -MW)]]</f>
        <v>0.7462685161800644</v>
      </c>
      <c r="Q431" s="12">
        <v>0.239233</v>
      </c>
      <c r="R431" s="12">
        <v>0.17853205999999999</v>
      </c>
      <c r="S431" s="13">
        <v>40.426370179999999</v>
      </c>
      <c r="T431" s="11">
        <v>1.0491168820000001</v>
      </c>
      <c r="U431" s="11">
        <v>152.35576610000001</v>
      </c>
      <c r="V431" s="13">
        <v>408143.99329999997</v>
      </c>
      <c r="W431" s="13">
        <v>450761.44</v>
      </c>
      <c r="X431" s="13">
        <v>17.400835000000001</v>
      </c>
      <c r="Y431" s="14">
        <f>+Table1[[#This Row],[Generation Cost 
LCOE (USD/MWh)]]+Table1[[#This Row],[Transmission Cost
LCOT (USD/MWh)]]</f>
        <v>57.82720518</v>
      </c>
    </row>
    <row r="432" spans="1:25" x14ac:dyDescent="0.3">
      <c r="A432" s="7">
        <v>431</v>
      </c>
      <c r="B432" s="8">
        <v>6133</v>
      </c>
      <c r="C432" s="9">
        <v>48.012188000000002</v>
      </c>
      <c r="D432" s="9">
        <v>-119.37873999999999</v>
      </c>
      <c r="E432" s="10" t="s">
        <v>42</v>
      </c>
      <c r="F432" s="10" t="s">
        <v>4</v>
      </c>
      <c r="G432" s="10" t="s">
        <v>13</v>
      </c>
      <c r="H432" s="10">
        <v>-8</v>
      </c>
      <c r="I432" s="11">
        <v>670.66666669999995</v>
      </c>
      <c r="J432" s="11">
        <v>3.9221156000000001</v>
      </c>
      <c r="K432" s="11" t="str">
        <f>IF(Table1[[#This Row],[Solar 
Resource]]&lt;3,"Low", IF(Table1[[#This Row],[Solar 
Resource]]&lt;4, "Moderate","High"))</f>
        <v>Moderate</v>
      </c>
      <c r="L432" s="11">
        <v>0.99493854999999998</v>
      </c>
      <c r="M432" s="11">
        <v>80.579527729999995</v>
      </c>
      <c r="N432" s="11">
        <v>2585.7607859999998</v>
      </c>
      <c r="O432" s="11">
        <v>3464.9196929999998</v>
      </c>
      <c r="P432" s="11">
        <f>Table1[[#This Row],[Installed Capacity 
(AC -MW)]]/Table1[[#This Row],[Installed Capacity 
(DC -MW)]]</f>
        <v>0.74626860507730675</v>
      </c>
      <c r="Q432" s="12">
        <v>0.23871328</v>
      </c>
      <c r="R432" s="12">
        <v>0.17814426</v>
      </c>
      <c r="S432" s="13">
        <v>40.445868279999999</v>
      </c>
      <c r="T432" s="11">
        <v>0.84727922099999997</v>
      </c>
      <c r="U432" s="11">
        <v>140.22650640000001</v>
      </c>
      <c r="V432" s="13">
        <v>374869.12119999999</v>
      </c>
      <c r="W432" s="13">
        <v>416388.97</v>
      </c>
      <c r="X432" s="13">
        <v>16.108941999999999</v>
      </c>
      <c r="Y432" s="14">
        <f>+Table1[[#This Row],[Generation Cost 
LCOE (USD/MWh)]]+Table1[[#This Row],[Transmission Cost
LCOT (USD/MWh)]]</f>
        <v>56.554810279999998</v>
      </c>
    </row>
    <row r="433" spans="1:25" x14ac:dyDescent="0.3">
      <c r="A433" s="7">
        <v>432</v>
      </c>
      <c r="B433" s="8">
        <v>6134</v>
      </c>
      <c r="C433" s="9">
        <v>48.035972999999998</v>
      </c>
      <c r="D433" s="9">
        <v>-119.21998000000001</v>
      </c>
      <c r="E433" s="10" t="s">
        <v>42</v>
      </c>
      <c r="F433" s="10" t="s">
        <v>4</v>
      </c>
      <c r="G433" s="10" t="s">
        <v>13</v>
      </c>
      <c r="H433" s="10">
        <v>-8</v>
      </c>
      <c r="I433" s="11">
        <v>662.94736839999996</v>
      </c>
      <c r="J433" s="11">
        <v>3.9152529999999999</v>
      </c>
      <c r="K433" s="11" t="str">
        <f>IF(Table1[[#This Row],[Solar 
Resource]]&lt;3,"Low", IF(Table1[[#This Row],[Solar 
Resource]]&lt;4, "Moderate","High"))</f>
        <v>Moderate</v>
      </c>
      <c r="L433" s="11">
        <v>0.99260300000000001</v>
      </c>
      <c r="M433" s="11">
        <v>72.637398630000007</v>
      </c>
      <c r="N433" s="11">
        <v>2330.901437</v>
      </c>
      <c r="O433" s="11">
        <v>3123.4081409999999</v>
      </c>
      <c r="P433" s="11">
        <f>Table1[[#This Row],[Installed Capacity 
(AC -MW)]]/Table1[[#This Row],[Installed Capacity 
(DC -MW)]]</f>
        <v>0.74626860524661742</v>
      </c>
      <c r="Q433" s="12">
        <v>0.23807803999999999</v>
      </c>
      <c r="R433" s="12">
        <v>0.17767021</v>
      </c>
      <c r="S433" s="13">
        <v>40.478842450000002</v>
      </c>
      <c r="T433" s="11">
        <v>3.4327922059999998</v>
      </c>
      <c r="U433" s="11">
        <v>128.3736428</v>
      </c>
      <c r="V433" s="13">
        <v>352649.17509999999</v>
      </c>
      <c r="W433" s="13">
        <v>415052.75</v>
      </c>
      <c r="X433" s="13">
        <v>16.100090000000002</v>
      </c>
      <c r="Y433" s="14">
        <f>+Table1[[#This Row],[Generation Cost 
LCOE (USD/MWh)]]+Table1[[#This Row],[Transmission Cost
LCOT (USD/MWh)]]</f>
        <v>56.578932450000003</v>
      </c>
    </row>
    <row r="434" spans="1:25" x14ac:dyDescent="0.3">
      <c r="A434" s="7">
        <v>433</v>
      </c>
      <c r="B434" s="8">
        <v>6135</v>
      </c>
      <c r="C434" s="9">
        <v>48.059600000000003</v>
      </c>
      <c r="D434" s="9">
        <v>-119.06108999999999</v>
      </c>
      <c r="E434" s="10" t="s">
        <v>42</v>
      </c>
      <c r="F434" s="10" t="s">
        <v>4</v>
      </c>
      <c r="G434" s="10" t="s">
        <v>13</v>
      </c>
      <c r="H434" s="10">
        <v>-8</v>
      </c>
      <c r="I434" s="11">
        <v>616.29411760000005</v>
      </c>
      <c r="J434" s="11">
        <v>3.8958482999999999</v>
      </c>
      <c r="K434" s="11" t="str">
        <f>IF(Table1[[#This Row],[Solar 
Resource]]&lt;3,"Low", IF(Table1[[#This Row],[Solar 
Resource]]&lt;4, "Moderate","High"))</f>
        <v>Moderate</v>
      </c>
      <c r="L434" s="11">
        <v>0.99058526999999996</v>
      </c>
      <c r="M434" s="11">
        <v>54.030887839999998</v>
      </c>
      <c r="N434" s="11">
        <v>1733.8266719999999</v>
      </c>
      <c r="O434" s="11">
        <v>2323.3281769999999</v>
      </c>
      <c r="P434" s="11">
        <f>Table1[[#This Row],[Installed Capacity 
(AC -MW)]]/Table1[[#This Row],[Installed Capacity 
(DC -MW)]]</f>
        <v>0.74626851650325421</v>
      </c>
      <c r="Q434" s="12">
        <v>0.23642521999999999</v>
      </c>
      <c r="R434" s="12">
        <v>0.17643671999999999</v>
      </c>
      <c r="S434" s="13">
        <v>40.696634009999997</v>
      </c>
      <c r="T434" s="11">
        <v>1.1982337649999999</v>
      </c>
      <c r="U434" s="11">
        <v>127.0172467</v>
      </c>
      <c r="V434" s="13">
        <v>349313.05469999998</v>
      </c>
      <c r="W434" s="13">
        <v>395865.25</v>
      </c>
      <c r="X434" s="13">
        <v>15.463150000000001</v>
      </c>
      <c r="Y434" s="14">
        <f>+Table1[[#This Row],[Generation Cost 
LCOE (USD/MWh)]]+Table1[[#This Row],[Transmission Cost
LCOT (USD/MWh)]]</f>
        <v>56.159784009999996</v>
      </c>
    </row>
    <row r="435" spans="1:25" x14ac:dyDescent="0.3">
      <c r="A435" s="7">
        <v>434</v>
      </c>
      <c r="B435" s="8">
        <v>6136</v>
      </c>
      <c r="C435" s="9">
        <v>48.083072999999999</v>
      </c>
      <c r="D435" s="9">
        <v>-118.90206999999999</v>
      </c>
      <c r="E435" s="10" t="s">
        <v>42</v>
      </c>
      <c r="F435" s="10" t="s">
        <v>4</v>
      </c>
      <c r="G435" s="10" t="s">
        <v>29</v>
      </c>
      <c r="H435" s="10">
        <v>-8</v>
      </c>
      <c r="I435" s="11">
        <v>721.47058819999995</v>
      </c>
      <c r="J435" s="11">
        <v>3.8490388000000002</v>
      </c>
      <c r="K435" s="11" t="str">
        <f>IF(Table1[[#This Row],[Solar 
Resource]]&lt;3,"Low", IF(Table1[[#This Row],[Solar 
Resource]]&lt;4, "Moderate","High"))</f>
        <v>Moderate</v>
      </c>
      <c r="L435" s="11">
        <v>0.98885672999999996</v>
      </c>
      <c r="M435" s="11">
        <v>30.328100679999999</v>
      </c>
      <c r="N435" s="11">
        <v>973.21510379999995</v>
      </c>
      <c r="O435" s="11">
        <v>1304.1083289999999</v>
      </c>
      <c r="P435" s="11">
        <f>Table1[[#This Row],[Installed Capacity 
(AC -MW)]]/Table1[[#This Row],[Installed Capacity 
(DC -MW)]]</f>
        <v>0.74626860526707062</v>
      </c>
      <c r="Q435" s="12">
        <v>0.23273842</v>
      </c>
      <c r="R435" s="12">
        <v>0.17368539</v>
      </c>
      <c r="S435" s="13">
        <v>41.284565010000001</v>
      </c>
      <c r="T435" s="11">
        <v>8.1511688249999992</v>
      </c>
      <c r="U435" s="11">
        <v>138.28488300000001</v>
      </c>
      <c r="V435" s="13">
        <v>390752.50829999999</v>
      </c>
      <c r="W435" s="13">
        <v>464722.97</v>
      </c>
      <c r="X435" s="13">
        <v>18.440404999999998</v>
      </c>
      <c r="Y435" s="14">
        <f>+Table1[[#This Row],[Generation Cost 
LCOE (USD/MWh)]]+Table1[[#This Row],[Transmission Cost
LCOT (USD/MWh)]]</f>
        <v>59.72497001</v>
      </c>
    </row>
    <row r="436" spans="1:25" x14ac:dyDescent="0.3">
      <c r="A436" s="7">
        <v>435</v>
      </c>
      <c r="B436" s="8">
        <v>6137</v>
      </c>
      <c r="C436" s="9">
        <v>48.106383999999998</v>
      </c>
      <c r="D436" s="9">
        <v>-118.74290999999999</v>
      </c>
      <c r="E436" s="10" t="s">
        <v>42</v>
      </c>
      <c r="F436" s="10" t="s">
        <v>4</v>
      </c>
      <c r="G436" s="10" t="s">
        <v>14</v>
      </c>
      <c r="H436" s="10">
        <v>-8</v>
      </c>
      <c r="I436" s="11">
        <v>856.26315790000001</v>
      </c>
      <c r="J436" s="11">
        <v>3.7707269999999999</v>
      </c>
      <c r="K436" s="11" t="str">
        <f>IF(Table1[[#This Row],[Solar 
Resource]]&lt;3,"Low", IF(Table1[[#This Row],[Solar 
Resource]]&lt;4, "Moderate","High"))</f>
        <v>Moderate</v>
      </c>
      <c r="L436" s="11">
        <v>0.98701799999999995</v>
      </c>
      <c r="M436" s="11">
        <v>10.865663530000001</v>
      </c>
      <c r="N436" s="11">
        <v>348.6742946</v>
      </c>
      <c r="O436" s="11">
        <v>467.2235316</v>
      </c>
      <c r="P436" s="11">
        <f>Table1[[#This Row],[Installed Capacity 
(AC -MW)]]/Table1[[#This Row],[Installed Capacity 
(DC -MW)]]</f>
        <v>0.74626869371491222</v>
      </c>
      <c r="Q436" s="12">
        <v>0.22834840000000001</v>
      </c>
      <c r="R436" s="12">
        <v>0.17040926000000001</v>
      </c>
      <c r="S436" s="13">
        <v>42.01675333</v>
      </c>
      <c r="T436" s="11">
        <v>6.8629350599999999</v>
      </c>
      <c r="U436" s="11">
        <v>145.19304539999999</v>
      </c>
      <c r="V436" s="13">
        <v>450701.7818</v>
      </c>
      <c r="W436" s="13">
        <v>538405.6</v>
      </c>
      <c r="X436" s="13">
        <v>21.774892999999999</v>
      </c>
      <c r="Y436" s="14">
        <f>+Table1[[#This Row],[Generation Cost 
LCOE (USD/MWh)]]+Table1[[#This Row],[Transmission Cost
LCOT (USD/MWh)]]</f>
        <v>63.791646329999999</v>
      </c>
    </row>
    <row r="437" spans="1:25" x14ac:dyDescent="0.3">
      <c r="A437" s="7">
        <v>436</v>
      </c>
      <c r="B437" s="8">
        <v>6138</v>
      </c>
      <c r="C437" s="9">
        <v>48.129536000000002</v>
      </c>
      <c r="D437" s="9">
        <v>-118.58363</v>
      </c>
      <c r="E437" s="10" t="s">
        <v>42</v>
      </c>
      <c r="F437" s="10" t="s">
        <v>4</v>
      </c>
      <c r="G437" s="10" t="s">
        <v>14</v>
      </c>
      <c r="H437" s="10">
        <v>-8</v>
      </c>
      <c r="I437" s="11">
        <v>897.06666670000004</v>
      </c>
      <c r="J437" s="11">
        <v>3.7377813</v>
      </c>
      <c r="K437" s="11" t="str">
        <f>IF(Table1[[#This Row],[Solar 
Resource]]&lt;3,"Low", IF(Table1[[#This Row],[Solar 
Resource]]&lt;4, "Moderate","High"))</f>
        <v>Moderate</v>
      </c>
      <c r="L437" s="11">
        <v>0.98540859999999997</v>
      </c>
      <c r="M437" s="11">
        <v>7.8322135250000002</v>
      </c>
      <c r="N437" s="11">
        <v>251.33223760000001</v>
      </c>
      <c r="O437" s="11">
        <v>336.78518159999999</v>
      </c>
      <c r="P437" s="11">
        <f>Table1[[#This Row],[Installed Capacity 
(AC -MW)]]/Table1[[#This Row],[Installed Capacity 
(DC -MW)]]</f>
        <v>0.74626869390740447</v>
      </c>
      <c r="Q437" s="12">
        <v>0.22586455999999999</v>
      </c>
      <c r="R437" s="12">
        <v>0.16855565</v>
      </c>
      <c r="S437" s="13">
        <v>42.424378840000003</v>
      </c>
      <c r="T437" s="11">
        <v>11.2521948</v>
      </c>
      <c r="U437" s="11">
        <v>145.19304539999999</v>
      </c>
      <c r="V437" s="13">
        <v>450701.7818</v>
      </c>
      <c r="W437" s="13">
        <v>563163.06000000006</v>
      </c>
      <c r="X437" s="13">
        <v>23.026636</v>
      </c>
      <c r="Y437" s="14">
        <f>+Table1[[#This Row],[Generation Cost 
LCOE (USD/MWh)]]+Table1[[#This Row],[Transmission Cost
LCOT (USD/MWh)]]</f>
        <v>65.451014839999999</v>
      </c>
    </row>
    <row r="438" spans="1:25" x14ac:dyDescent="0.3">
      <c r="A438" s="7">
        <v>437</v>
      </c>
      <c r="B438" s="8">
        <v>6139</v>
      </c>
      <c r="C438" s="9">
        <v>48.152526999999999</v>
      </c>
      <c r="D438" s="9">
        <v>-118.42421</v>
      </c>
      <c r="E438" s="10" t="s">
        <v>42</v>
      </c>
      <c r="F438" s="10" t="s">
        <v>4</v>
      </c>
      <c r="G438" s="10" t="s">
        <v>14</v>
      </c>
      <c r="H438" s="10">
        <v>-8</v>
      </c>
      <c r="I438" s="11">
        <v>941.94444439999995</v>
      </c>
      <c r="J438" s="11">
        <v>3.7291234000000002</v>
      </c>
      <c r="K438" s="11" t="str">
        <f>IF(Table1[[#This Row],[Solar 
Resource]]&lt;3,"Low", IF(Table1[[#This Row],[Solar 
Resource]]&lt;4, "Moderate","High"))</f>
        <v>Moderate</v>
      </c>
      <c r="L438" s="11">
        <v>0.98382329999999996</v>
      </c>
      <c r="M438" s="11">
        <v>2.5030619110000001</v>
      </c>
      <c r="N438" s="11">
        <v>80.32213994</v>
      </c>
      <c r="O438" s="11">
        <v>107.63166219999999</v>
      </c>
      <c r="P438" s="11">
        <f>Table1[[#This Row],[Installed Capacity 
(AC -MW)]]/Table1[[#This Row],[Installed Capacity 
(DC -MW)]]</f>
        <v>0.7462686936000883</v>
      </c>
      <c r="Q438" s="12">
        <v>0.22336523</v>
      </c>
      <c r="R438" s="12">
        <v>0.16669047000000001</v>
      </c>
      <c r="S438" s="13">
        <v>42.844866799999998</v>
      </c>
      <c r="T438" s="11">
        <v>23.965129860000001</v>
      </c>
      <c r="U438" s="11">
        <v>145.19304539999999</v>
      </c>
      <c r="V438" s="13">
        <v>450701.7818</v>
      </c>
      <c r="W438" s="13">
        <v>680198.1</v>
      </c>
      <c r="X438" s="13">
        <v>28.123169000000001</v>
      </c>
      <c r="Y438" s="14">
        <f>+Table1[[#This Row],[Generation Cost 
LCOE (USD/MWh)]]+Table1[[#This Row],[Transmission Cost
LCOT (USD/MWh)]]</f>
        <v>70.968035799999996</v>
      </c>
    </row>
    <row r="439" spans="1:25" x14ac:dyDescent="0.3">
      <c r="A439" s="7">
        <v>438</v>
      </c>
      <c r="B439" s="8">
        <v>6140</v>
      </c>
      <c r="C439" s="9">
        <v>48.175364999999999</v>
      </c>
      <c r="D439" s="9">
        <v>-118.26466000000001</v>
      </c>
      <c r="E439" s="10" t="s">
        <v>42</v>
      </c>
      <c r="F439" s="10" t="s">
        <v>4</v>
      </c>
      <c r="G439" s="10" t="s">
        <v>14</v>
      </c>
      <c r="H439" s="10">
        <v>-8</v>
      </c>
      <c r="I439" s="11">
        <v>687.5625</v>
      </c>
      <c r="J439" s="11">
        <v>3.7378821000000002</v>
      </c>
      <c r="K439" s="11" t="str">
        <f>IF(Table1[[#This Row],[Solar 
Resource]]&lt;3,"Low", IF(Table1[[#This Row],[Solar 
Resource]]&lt;4, "Moderate","High"))</f>
        <v>Moderate</v>
      </c>
      <c r="L439" s="11">
        <v>0.98293763000000001</v>
      </c>
      <c r="M439" s="11">
        <v>13.404851369999999</v>
      </c>
      <c r="N439" s="11">
        <v>430.15569959999999</v>
      </c>
      <c r="O439" s="11">
        <v>576.40860880000002</v>
      </c>
      <c r="P439" s="11">
        <f>Table1[[#This Row],[Installed Capacity 
(AC -MW)]]/Table1[[#This Row],[Installed Capacity 
(DC -MW)]]</f>
        <v>0.7462686938273223</v>
      </c>
      <c r="Q439" s="12">
        <v>0.22028328</v>
      </c>
      <c r="R439" s="12">
        <v>0.16439053000000001</v>
      </c>
      <c r="S439" s="13">
        <v>43.413585769999997</v>
      </c>
      <c r="T439" s="11">
        <v>24.647850630000001</v>
      </c>
      <c r="U439" s="11">
        <v>134.9008766</v>
      </c>
      <c r="V439" s="13">
        <v>483202.20209999999</v>
      </c>
      <c r="W439" s="13">
        <v>713399</v>
      </c>
      <c r="X439" s="13">
        <v>29.908550000000002</v>
      </c>
      <c r="Y439" s="14">
        <f>+Table1[[#This Row],[Generation Cost 
LCOE (USD/MWh)]]+Table1[[#This Row],[Transmission Cost
LCOT (USD/MWh)]]</f>
        <v>73.322135770000003</v>
      </c>
    </row>
    <row r="440" spans="1:25" x14ac:dyDescent="0.3">
      <c r="A440" s="7">
        <v>439</v>
      </c>
      <c r="B440" s="8">
        <v>6141</v>
      </c>
      <c r="C440" s="9">
        <v>48.198039999999999</v>
      </c>
      <c r="D440" s="9">
        <v>-118.104996</v>
      </c>
      <c r="E440" s="10" t="s">
        <v>42</v>
      </c>
      <c r="F440" s="10" t="s">
        <v>4</v>
      </c>
      <c r="G440" s="10" t="s">
        <v>37</v>
      </c>
      <c r="H440" s="10">
        <v>-8</v>
      </c>
      <c r="I440" s="11">
        <v>759.89473680000003</v>
      </c>
      <c r="J440" s="11">
        <v>3.7445986000000002</v>
      </c>
      <c r="K440" s="11" t="str">
        <f>IF(Table1[[#This Row],[Solar 
Resource]]&lt;3,"Low", IF(Table1[[#This Row],[Solar 
Resource]]&lt;4, "Moderate","High"))</f>
        <v>Moderate</v>
      </c>
      <c r="L440" s="11">
        <v>0.9821221</v>
      </c>
      <c r="M440" s="11">
        <v>9.920069604</v>
      </c>
      <c r="N440" s="11">
        <v>318.33056979999998</v>
      </c>
      <c r="O440" s="11">
        <v>426.56299300000001</v>
      </c>
      <c r="P440" s="11">
        <f>Table1[[#This Row],[Installed Capacity 
(AC -MW)]]/Table1[[#This Row],[Installed Capacity 
(DC -MW)]]</f>
        <v>0.74626860516237981</v>
      </c>
      <c r="Q440" s="12">
        <v>0.22028329999999999</v>
      </c>
      <c r="R440" s="12">
        <v>0.16439053000000001</v>
      </c>
      <c r="S440" s="13">
        <v>43.385299930000002</v>
      </c>
      <c r="T440" s="11">
        <v>16.233077909999999</v>
      </c>
      <c r="U440" s="11">
        <v>134.9008766</v>
      </c>
      <c r="V440" s="13">
        <v>483202.20209999999</v>
      </c>
      <c r="W440" s="13">
        <v>622577</v>
      </c>
      <c r="X440" s="13">
        <v>26.100923999999999</v>
      </c>
      <c r="Y440" s="14">
        <f>+Table1[[#This Row],[Generation Cost 
LCOE (USD/MWh)]]+Table1[[#This Row],[Transmission Cost
LCOT (USD/MWh)]]</f>
        <v>69.486223929999994</v>
      </c>
    </row>
    <row r="441" spans="1:25" x14ac:dyDescent="0.3">
      <c r="A441" s="7">
        <v>440</v>
      </c>
      <c r="B441" s="8">
        <v>6142</v>
      </c>
      <c r="C441" s="9">
        <v>48.220559999999999</v>
      </c>
      <c r="D441" s="9">
        <v>-117.94519</v>
      </c>
      <c r="E441" s="10" t="s">
        <v>42</v>
      </c>
      <c r="F441" s="10" t="s">
        <v>4</v>
      </c>
      <c r="G441" s="10" t="s">
        <v>37</v>
      </c>
      <c r="H441" s="10">
        <v>-8</v>
      </c>
      <c r="I441" s="11">
        <v>1069.4705879999999</v>
      </c>
      <c r="J441" s="11">
        <v>3.6572678000000001</v>
      </c>
      <c r="K441" s="11" t="str">
        <f>IF(Table1[[#This Row],[Solar 
Resource]]&lt;3,"Low", IF(Table1[[#This Row],[Solar 
Resource]]&lt;4, "Moderate","High"))</f>
        <v>Moderate</v>
      </c>
      <c r="L441" s="11">
        <v>0.98146129999999998</v>
      </c>
      <c r="M441" s="11">
        <v>8.3856060790000004</v>
      </c>
      <c r="N441" s="11">
        <v>269.09029370000002</v>
      </c>
      <c r="O441" s="11">
        <v>360.58106140000001</v>
      </c>
      <c r="P441" s="11">
        <f>Table1[[#This Row],[Installed Capacity 
(AC -MW)]]/Table1[[#This Row],[Installed Capacity 
(DC -MW)]]</f>
        <v>0.74626851630871593</v>
      </c>
      <c r="Q441" s="12">
        <v>0.21596159000000001</v>
      </c>
      <c r="R441" s="12">
        <v>0.16116536000000001</v>
      </c>
      <c r="S441" s="13">
        <v>44.230134489999998</v>
      </c>
      <c r="T441" s="11">
        <v>19.595058430000002</v>
      </c>
      <c r="U441" s="11">
        <v>100.3907597</v>
      </c>
      <c r="V441" s="13">
        <v>377791.69579999999</v>
      </c>
      <c r="W441" s="13">
        <v>530577.5</v>
      </c>
      <c r="X441" s="13">
        <v>22.689071999999999</v>
      </c>
      <c r="Y441" s="14">
        <f>+Table1[[#This Row],[Generation Cost 
LCOE (USD/MWh)]]+Table1[[#This Row],[Transmission Cost
LCOT (USD/MWh)]]</f>
        <v>66.919206489999993</v>
      </c>
    </row>
    <row r="442" spans="1:25" x14ac:dyDescent="0.3">
      <c r="A442" s="7">
        <v>441</v>
      </c>
      <c r="B442" s="8">
        <v>6143</v>
      </c>
      <c r="C442" s="9">
        <v>48.242911999999997</v>
      </c>
      <c r="D442" s="9">
        <v>-117.78525999999999</v>
      </c>
      <c r="E442" s="10" t="s">
        <v>42</v>
      </c>
      <c r="F442" s="10" t="s">
        <v>4</v>
      </c>
      <c r="G442" s="10" t="s">
        <v>37</v>
      </c>
      <c r="H442" s="10">
        <v>-8</v>
      </c>
      <c r="I442" s="11">
        <v>680.82352939999998</v>
      </c>
      <c r="J442" s="11">
        <v>3.6187437</v>
      </c>
      <c r="K442" s="11" t="str">
        <f>IF(Table1[[#This Row],[Solar 
Resource]]&lt;3,"Low", IF(Table1[[#This Row],[Solar 
Resource]]&lt;4, "Moderate","High"))</f>
        <v>Moderate</v>
      </c>
      <c r="L442" s="11">
        <v>0.9810702</v>
      </c>
      <c r="M442" s="11">
        <v>11.510504409999999</v>
      </c>
      <c r="N442" s="11">
        <v>369.3669069</v>
      </c>
      <c r="O442" s="11">
        <v>494.95168949999999</v>
      </c>
      <c r="P442" s="11">
        <f>Table1[[#This Row],[Installed Capacity 
(AC -MW)]]/Table1[[#This Row],[Installed Capacity 
(DC -MW)]]</f>
        <v>0.74626860506958637</v>
      </c>
      <c r="Q442" s="12">
        <v>0.21070807999999999</v>
      </c>
      <c r="R442" s="12">
        <v>0.15724482000000001</v>
      </c>
      <c r="S442" s="13">
        <v>45.318732699999998</v>
      </c>
      <c r="T442" s="11">
        <v>6.031097398</v>
      </c>
      <c r="U442" s="11">
        <v>100.3907597</v>
      </c>
      <c r="V442" s="13">
        <v>377791.69579999999</v>
      </c>
      <c r="W442" s="13">
        <v>435307.4</v>
      </c>
      <c r="X442" s="13">
        <v>19.079159000000001</v>
      </c>
      <c r="Y442" s="14">
        <f>+Table1[[#This Row],[Generation Cost 
LCOE (USD/MWh)]]+Table1[[#This Row],[Transmission Cost
LCOT (USD/MWh)]]</f>
        <v>64.397891700000002</v>
      </c>
    </row>
    <row r="443" spans="1:25" x14ac:dyDescent="0.3">
      <c r="A443" s="7">
        <v>442</v>
      </c>
      <c r="B443" s="8">
        <v>6144</v>
      </c>
      <c r="C443" s="9">
        <v>48.26511</v>
      </c>
      <c r="D443" s="9">
        <v>-117.62521</v>
      </c>
      <c r="E443" s="10" t="s">
        <v>42</v>
      </c>
      <c r="F443" s="10" t="s">
        <v>4</v>
      </c>
      <c r="G443" s="10" t="s">
        <v>37</v>
      </c>
      <c r="H443" s="10">
        <v>-8</v>
      </c>
      <c r="I443" s="11">
        <v>945.33333330000005</v>
      </c>
      <c r="J443" s="11">
        <v>3.6203832999999999</v>
      </c>
      <c r="K443" s="11" t="str">
        <f>IF(Table1[[#This Row],[Solar 
Resource]]&lt;3,"Low", IF(Table1[[#This Row],[Solar 
Resource]]&lt;4, "Moderate","High"))</f>
        <v>Moderate</v>
      </c>
      <c r="L443" s="11">
        <v>0.98063915999999995</v>
      </c>
      <c r="M443" s="11">
        <v>8.6791499999999999</v>
      </c>
      <c r="N443" s="11">
        <v>278.510018</v>
      </c>
      <c r="O443" s="11">
        <v>373.20344999999998</v>
      </c>
      <c r="P443" s="11">
        <f>Table1[[#This Row],[Installed Capacity 
(AC -MW)]]/Table1[[#This Row],[Installed Capacity 
(DC -MW)]]</f>
        <v>0.74626860496600456</v>
      </c>
      <c r="Q443" s="12">
        <v>0.21070433</v>
      </c>
      <c r="R443" s="12">
        <v>0.15724203</v>
      </c>
      <c r="S443" s="13">
        <v>45.303908020000001</v>
      </c>
      <c r="T443" s="11">
        <v>7.958376618</v>
      </c>
      <c r="U443" s="11">
        <v>100.3907597</v>
      </c>
      <c r="V443" s="13">
        <v>377791.69579999999</v>
      </c>
      <c r="W443" s="13">
        <v>464269.7</v>
      </c>
      <c r="X443" s="13">
        <v>20.348917</v>
      </c>
      <c r="Y443" s="14">
        <f>+Table1[[#This Row],[Generation Cost 
LCOE (USD/MWh)]]+Table1[[#This Row],[Transmission Cost
LCOT (USD/MWh)]]</f>
        <v>65.652825019999995</v>
      </c>
    </row>
    <row r="444" spans="1:25" x14ac:dyDescent="0.3">
      <c r="A444" s="7">
        <v>443</v>
      </c>
      <c r="B444" s="8">
        <v>6145</v>
      </c>
      <c r="C444" s="9">
        <v>48.287143999999998</v>
      </c>
      <c r="D444" s="9">
        <v>-117.46503</v>
      </c>
      <c r="E444" s="10" t="s">
        <v>42</v>
      </c>
      <c r="F444" s="10" t="s">
        <v>4</v>
      </c>
      <c r="G444" s="10" t="s">
        <v>30</v>
      </c>
      <c r="H444" s="10">
        <v>-8</v>
      </c>
      <c r="I444" s="11">
        <v>1048.4000000000001</v>
      </c>
      <c r="J444" s="11">
        <v>3.5542587999999999</v>
      </c>
      <c r="K444" s="11" t="str">
        <f>IF(Table1[[#This Row],[Solar 
Resource]]&lt;3,"Low", IF(Table1[[#This Row],[Solar 
Resource]]&lt;4, "Moderate","High"))</f>
        <v>Moderate</v>
      </c>
      <c r="L444" s="11">
        <v>0.98068580000000005</v>
      </c>
      <c r="M444" s="11">
        <v>8.6112719599999998</v>
      </c>
      <c r="N444" s="11">
        <v>276.3318094</v>
      </c>
      <c r="O444" s="11">
        <v>370.28469430000001</v>
      </c>
      <c r="P444" s="11">
        <f>Table1[[#This Row],[Installed Capacity 
(AC -MW)]]/Table1[[#This Row],[Installed Capacity 
(DC -MW)]]</f>
        <v>0.7462685162355629</v>
      </c>
      <c r="Q444" s="12">
        <v>0.20685396</v>
      </c>
      <c r="R444" s="12">
        <v>0.15436864</v>
      </c>
      <c r="S444" s="13">
        <v>46.148907850000001</v>
      </c>
      <c r="T444" s="11">
        <v>5.1401428530000004</v>
      </c>
      <c r="U444" s="11">
        <v>110.9150064</v>
      </c>
      <c r="V444" s="13">
        <v>430859.58110000001</v>
      </c>
      <c r="W444" s="13">
        <v>538162.25</v>
      </c>
      <c r="X444" s="13">
        <v>24.026682000000001</v>
      </c>
      <c r="Y444" s="14">
        <f>+Table1[[#This Row],[Generation Cost 
LCOE (USD/MWh)]]+Table1[[#This Row],[Transmission Cost
LCOT (USD/MWh)]]</f>
        <v>70.175589849999994</v>
      </c>
    </row>
    <row r="445" spans="1:25" x14ac:dyDescent="0.3">
      <c r="A445" s="7">
        <v>444</v>
      </c>
      <c r="B445" s="8">
        <v>6146</v>
      </c>
      <c r="C445" s="9">
        <v>48.309019999999997</v>
      </c>
      <c r="D445" s="9">
        <v>-117.304726</v>
      </c>
      <c r="E445" s="10" t="s">
        <v>42</v>
      </c>
      <c r="F445" s="10" t="s">
        <v>4</v>
      </c>
      <c r="G445" s="10" t="s">
        <v>30</v>
      </c>
      <c r="H445" s="10">
        <v>-8</v>
      </c>
      <c r="I445" s="11">
        <v>669.31578950000005</v>
      </c>
      <c r="J445" s="11">
        <v>3.5257700000000001</v>
      </c>
      <c r="K445" s="11" t="str">
        <f>IF(Table1[[#This Row],[Solar 
Resource]]&lt;3,"Low", IF(Table1[[#This Row],[Solar 
Resource]]&lt;4, "Moderate","High"))</f>
        <v>Moderate</v>
      </c>
      <c r="L445" s="11">
        <v>0.98079939999999999</v>
      </c>
      <c r="M445" s="11">
        <v>23.565087160000001</v>
      </c>
      <c r="N445" s="11">
        <v>756.19313290000002</v>
      </c>
      <c r="O445" s="11">
        <v>1013.298748</v>
      </c>
      <c r="P445" s="11">
        <f>Table1[[#This Row],[Installed Capacity 
(AC -MW)]]/Table1[[#This Row],[Installed Capacity 
(DC -MW)]]</f>
        <v>0.74626869360347814</v>
      </c>
      <c r="Q445" s="12">
        <v>0.20218131</v>
      </c>
      <c r="R445" s="12">
        <v>0.15088156999999999</v>
      </c>
      <c r="S445" s="13">
        <v>47.219756740000001</v>
      </c>
      <c r="T445" s="11">
        <v>0.21727922099999999</v>
      </c>
      <c r="U445" s="11">
        <v>108.95044799999999</v>
      </c>
      <c r="V445" s="13">
        <v>410036.59749999997</v>
      </c>
      <c r="W445" s="13">
        <v>446819.44</v>
      </c>
      <c r="X445" s="13">
        <v>20.409645000000001</v>
      </c>
      <c r="Y445" s="14">
        <f>+Table1[[#This Row],[Generation Cost 
LCOE (USD/MWh)]]+Table1[[#This Row],[Transmission Cost
LCOT (USD/MWh)]]</f>
        <v>67.629401740000006</v>
      </c>
    </row>
    <row r="446" spans="1:25" x14ac:dyDescent="0.3">
      <c r="A446" s="7">
        <v>445</v>
      </c>
      <c r="B446" s="8">
        <v>6147</v>
      </c>
      <c r="C446" s="9">
        <v>48.330737999999997</v>
      </c>
      <c r="D446" s="9">
        <v>-117.1443</v>
      </c>
      <c r="E446" s="10" t="s">
        <v>42</v>
      </c>
      <c r="F446" s="10" t="s">
        <v>4</v>
      </c>
      <c r="G446" s="10" t="s">
        <v>30</v>
      </c>
      <c r="H446" s="10">
        <v>-8</v>
      </c>
      <c r="I446" s="11">
        <v>892.33333330000005</v>
      </c>
      <c r="J446" s="11">
        <v>3.5309327000000001</v>
      </c>
      <c r="K446" s="11" t="str">
        <f>IF(Table1[[#This Row],[Solar 
Resource]]&lt;3,"Low", IF(Table1[[#This Row],[Solar 
Resource]]&lt;4, "Moderate","High"))</f>
        <v>Moderate</v>
      </c>
      <c r="L446" s="11">
        <v>0.98107069999999996</v>
      </c>
      <c r="M446" s="11">
        <v>7.2867598019999997</v>
      </c>
      <c r="N446" s="11">
        <v>233.8288431</v>
      </c>
      <c r="O446" s="11">
        <v>313.33067149999999</v>
      </c>
      <c r="P446" s="11">
        <f>Table1[[#This Row],[Installed Capacity 
(AC -MW)]]/Table1[[#This Row],[Installed Capacity 
(DC -MW)]]</f>
        <v>0.74626860492334535</v>
      </c>
      <c r="Q446" s="12">
        <v>0.20435685000000001</v>
      </c>
      <c r="R446" s="12">
        <v>0.1525051</v>
      </c>
      <c r="S446" s="13">
        <v>46.72721104</v>
      </c>
      <c r="T446" s="11">
        <v>13.260428559999999</v>
      </c>
      <c r="U446" s="11">
        <v>112.54779859999999</v>
      </c>
      <c r="V446" s="13">
        <v>421811.89279999997</v>
      </c>
      <c r="W446" s="13">
        <v>562966.93999999994</v>
      </c>
      <c r="X446" s="13">
        <v>25.441229</v>
      </c>
      <c r="Y446" s="14">
        <f>+Table1[[#This Row],[Generation Cost 
LCOE (USD/MWh)]]+Table1[[#This Row],[Transmission Cost
LCOT (USD/MWh)]]</f>
        <v>72.168440040000007</v>
      </c>
    </row>
    <row r="447" spans="1:25" x14ac:dyDescent="0.3">
      <c r="A447" s="7">
        <v>446</v>
      </c>
      <c r="B447" s="8">
        <v>6148</v>
      </c>
      <c r="C447" s="9">
        <v>48.352294999999998</v>
      </c>
      <c r="D447" s="9">
        <v>-116.98375</v>
      </c>
      <c r="E447" s="10" t="s">
        <v>42</v>
      </c>
      <c r="F447" s="10" t="s">
        <v>1</v>
      </c>
      <c r="G447" s="10" t="s">
        <v>9</v>
      </c>
      <c r="H447" s="10">
        <v>-8</v>
      </c>
      <c r="I447" s="11">
        <v>832.8823529</v>
      </c>
      <c r="J447" s="11">
        <v>3.4776535000000002</v>
      </c>
      <c r="K447" s="11" t="str">
        <f>IF(Table1[[#This Row],[Solar 
Resource]]&lt;3,"Low", IF(Table1[[#This Row],[Solar 
Resource]]&lt;4, "Moderate","High"))</f>
        <v>Moderate</v>
      </c>
      <c r="L447" s="11">
        <v>0.98136570000000001</v>
      </c>
      <c r="M447" s="11">
        <v>21.141891869999998</v>
      </c>
      <c r="N447" s="11">
        <v>678.433716</v>
      </c>
      <c r="O447" s="11">
        <v>909.1013504</v>
      </c>
      <c r="P447" s="11">
        <f>Table1[[#This Row],[Installed Capacity 
(AC -MW)]]/Table1[[#This Row],[Installed Capacity 
(DC -MW)]]</f>
        <v>0.74626851637773128</v>
      </c>
      <c r="Q447" s="12">
        <v>0.19932857000000001</v>
      </c>
      <c r="R447" s="12">
        <v>0.14875267</v>
      </c>
      <c r="S447" s="13">
        <v>47.917251559999997</v>
      </c>
      <c r="T447" s="11">
        <v>21.677850629999998</v>
      </c>
      <c r="U447" s="11">
        <v>315.34175310000001</v>
      </c>
      <c r="V447" s="13">
        <v>1168665.02</v>
      </c>
      <c r="W447" s="13">
        <v>1327880.2</v>
      </c>
      <c r="X447" s="13">
        <v>61.522469999999998</v>
      </c>
      <c r="Y447" s="14">
        <f>+Table1[[#This Row],[Generation Cost 
LCOE (USD/MWh)]]+Table1[[#This Row],[Transmission Cost
LCOT (USD/MWh)]]</f>
        <v>109.43972156</v>
      </c>
    </row>
    <row r="448" spans="1:25" x14ac:dyDescent="0.3">
      <c r="A448" s="7">
        <v>447</v>
      </c>
      <c r="B448" s="8">
        <v>6149</v>
      </c>
      <c r="C448" s="9">
        <v>48.373688000000001</v>
      </c>
      <c r="D448" s="9">
        <v>-116.82307400000001</v>
      </c>
      <c r="E448" s="10" t="s">
        <v>42</v>
      </c>
      <c r="F448" s="10" t="s">
        <v>1</v>
      </c>
      <c r="G448" s="10" t="s">
        <v>9</v>
      </c>
      <c r="H448" s="10">
        <v>-8</v>
      </c>
      <c r="I448" s="11">
        <v>925.08333330000005</v>
      </c>
      <c r="J448" s="11">
        <v>3.4444275000000002</v>
      </c>
      <c r="K448" s="11" t="str">
        <f>IF(Table1[[#This Row],[Solar 
Resource]]&lt;3,"Low", IF(Table1[[#This Row],[Solar 
Resource]]&lt;4, "Moderate","High"))</f>
        <v>Moderate</v>
      </c>
      <c r="L448" s="11">
        <v>0.98087679999999999</v>
      </c>
      <c r="M448" s="11">
        <v>21.97319392</v>
      </c>
      <c r="N448" s="11">
        <v>705.1099054</v>
      </c>
      <c r="O448" s="11">
        <v>944.84733859999994</v>
      </c>
      <c r="P448" s="11">
        <f>Table1[[#This Row],[Installed Capacity 
(AC -MW)]]/Table1[[#This Row],[Installed Capacity 
(DC -MW)]]</f>
        <v>0.74626860508997794</v>
      </c>
      <c r="Q448" s="12">
        <v>0.19686168000000001</v>
      </c>
      <c r="R448" s="12">
        <v>0.14691167999999999</v>
      </c>
      <c r="S448" s="13">
        <v>48.498749250000003</v>
      </c>
      <c r="T448" s="11">
        <v>22.27431816</v>
      </c>
      <c r="U448" s="11">
        <v>315.34175310000001</v>
      </c>
      <c r="V448" s="13">
        <v>1168665.02</v>
      </c>
      <c r="W448" s="13">
        <v>1325888.1000000001</v>
      </c>
      <c r="X448" s="13">
        <v>62.199959999999997</v>
      </c>
      <c r="Y448" s="14">
        <f>+Table1[[#This Row],[Generation Cost 
LCOE (USD/MWh)]]+Table1[[#This Row],[Transmission Cost
LCOT (USD/MWh)]]</f>
        <v>110.69870925000001</v>
      </c>
    </row>
    <row r="449" spans="1:25" x14ac:dyDescent="0.3">
      <c r="A449" s="7">
        <v>448</v>
      </c>
      <c r="B449" s="8">
        <v>6150</v>
      </c>
      <c r="C449" s="9">
        <v>48.394917</v>
      </c>
      <c r="D449" s="9">
        <v>-116.66227000000001</v>
      </c>
      <c r="E449" s="10" t="s">
        <v>42</v>
      </c>
      <c r="F449" s="10" t="s">
        <v>1</v>
      </c>
      <c r="G449" s="10" t="s">
        <v>9</v>
      </c>
      <c r="H449" s="10">
        <v>-8</v>
      </c>
      <c r="I449" s="11">
        <v>1433.5</v>
      </c>
      <c r="J449" s="11">
        <v>3.4380487999999998</v>
      </c>
      <c r="K449" s="11" t="str">
        <f>IF(Table1[[#This Row],[Solar 
Resource]]&lt;3,"Low", IF(Table1[[#This Row],[Solar 
Resource]]&lt;4, "Moderate","High"))</f>
        <v>Moderate</v>
      </c>
      <c r="L449" s="11">
        <v>0.98113793000000005</v>
      </c>
      <c r="M449" s="11">
        <v>0.41212797800000001</v>
      </c>
      <c r="N449" s="11">
        <v>13.225004500000001</v>
      </c>
      <c r="O449" s="11">
        <v>17.721503040000002</v>
      </c>
      <c r="P449" s="11">
        <f>Table1[[#This Row],[Installed Capacity 
(AC -MW)]]/Table1[[#This Row],[Installed Capacity 
(DC -MW)]]</f>
        <v>0.74626878262804508</v>
      </c>
      <c r="Q449" s="12">
        <v>0.20091181999999999</v>
      </c>
      <c r="R449" s="12">
        <v>0.14993419999999999</v>
      </c>
      <c r="S449" s="13">
        <v>56.881118780000001</v>
      </c>
      <c r="T449" s="11">
        <v>11.636681810000001</v>
      </c>
      <c r="U449" s="11">
        <v>352.48215570000002</v>
      </c>
      <c r="V449" s="13">
        <v>1337688.531</v>
      </c>
      <c r="W449" s="13">
        <v>1480053.2</v>
      </c>
      <c r="X449" s="13">
        <v>68.032470000000004</v>
      </c>
      <c r="Y449" s="14">
        <f>+Table1[[#This Row],[Generation Cost 
LCOE (USD/MWh)]]+Table1[[#This Row],[Transmission Cost
LCOT (USD/MWh)]]</f>
        <v>124.91358878</v>
      </c>
    </row>
    <row r="450" spans="1:25" x14ac:dyDescent="0.3">
      <c r="A450" s="7">
        <v>449</v>
      </c>
      <c r="B450" s="8">
        <v>6151</v>
      </c>
      <c r="C450" s="9">
        <v>48.415993</v>
      </c>
      <c r="D450" s="9">
        <v>-116.50136000000001</v>
      </c>
      <c r="E450" s="10" t="s">
        <v>42</v>
      </c>
      <c r="F450" s="10" t="s">
        <v>1</v>
      </c>
      <c r="G450" s="10" t="s">
        <v>9</v>
      </c>
      <c r="H450" s="10">
        <v>-8</v>
      </c>
      <c r="I450" s="11">
        <v>792.4</v>
      </c>
      <c r="J450" s="11">
        <v>3.4898129999999998</v>
      </c>
      <c r="K450" s="11" t="str">
        <f>IF(Table1[[#This Row],[Solar 
Resource]]&lt;3,"Low", IF(Table1[[#This Row],[Solar 
Resource]]&lt;4, "Moderate","High"))</f>
        <v>Moderate</v>
      </c>
      <c r="L450" s="11">
        <v>0.98149149999999996</v>
      </c>
      <c r="M450" s="11">
        <v>31.078402730000001</v>
      </c>
      <c r="N450" s="11">
        <v>997.29195900000002</v>
      </c>
      <c r="O450" s="11">
        <v>1336.371318</v>
      </c>
      <c r="P450" s="11">
        <f>Table1[[#This Row],[Installed Capacity 
(AC -MW)]]/Table1[[#This Row],[Installed Capacity 
(DC -MW)]]</f>
        <v>0.74626860481601565</v>
      </c>
      <c r="Q450" s="12">
        <v>0.20068792999999999</v>
      </c>
      <c r="R450" s="12">
        <v>0.14976712</v>
      </c>
      <c r="S450" s="13">
        <v>47.597474949999999</v>
      </c>
      <c r="T450" s="11">
        <v>1.0336753240000001</v>
      </c>
      <c r="U450" s="11">
        <v>359.814279</v>
      </c>
      <c r="V450" s="13">
        <v>1366160.16</v>
      </c>
      <c r="W450" s="13">
        <v>1413830.8</v>
      </c>
      <c r="X450" s="13">
        <v>65.060974000000002</v>
      </c>
      <c r="Y450" s="14">
        <f>+Table1[[#This Row],[Generation Cost 
LCOE (USD/MWh)]]+Table1[[#This Row],[Transmission Cost
LCOT (USD/MWh)]]</f>
        <v>112.65844895000001</v>
      </c>
    </row>
    <row r="451" spans="1:25" x14ac:dyDescent="0.3">
      <c r="A451" s="7">
        <v>450</v>
      </c>
      <c r="B451" s="8">
        <v>6152</v>
      </c>
      <c r="C451" s="9">
        <v>48.436900000000001</v>
      </c>
      <c r="D451" s="9">
        <v>-116.34032000000001</v>
      </c>
      <c r="E451" s="10" t="s">
        <v>42</v>
      </c>
      <c r="F451" s="10" t="s">
        <v>1</v>
      </c>
      <c r="G451" s="10" t="s">
        <v>9</v>
      </c>
      <c r="H451" s="10">
        <v>-8</v>
      </c>
      <c r="I451" s="11">
        <v>935.52941180000005</v>
      </c>
      <c r="J451" s="11">
        <v>3.4939022</v>
      </c>
      <c r="K451" s="11" t="str">
        <f>IF(Table1[[#This Row],[Solar 
Resource]]&lt;3,"Low", IF(Table1[[#This Row],[Solar 
Resource]]&lt;4, "Moderate","High"))</f>
        <v>Moderate</v>
      </c>
      <c r="L451" s="11">
        <v>0.98183330000000002</v>
      </c>
      <c r="M451" s="11">
        <v>24.505739210000002</v>
      </c>
      <c r="N451" s="11">
        <v>786.37814409999999</v>
      </c>
      <c r="O451" s="11">
        <v>1053.7467859999999</v>
      </c>
      <c r="P451" s="11">
        <f>Table1[[#This Row],[Installed Capacity 
(AC -MW)]]/Table1[[#This Row],[Installed Capacity 
(DC -MW)]]</f>
        <v>0.74626860508403015</v>
      </c>
      <c r="Q451" s="12">
        <v>0.20226221</v>
      </c>
      <c r="R451" s="12">
        <v>0.15094194</v>
      </c>
      <c r="S451" s="13">
        <v>47.239929799999999</v>
      </c>
      <c r="T451" s="11">
        <v>11.891240249999999</v>
      </c>
      <c r="U451" s="11">
        <v>362.55530499999998</v>
      </c>
      <c r="V451" s="13">
        <v>1379563.746</v>
      </c>
      <c r="W451" s="13">
        <v>1494345.6</v>
      </c>
      <c r="X451" s="13">
        <v>68.230840000000001</v>
      </c>
      <c r="Y451" s="14">
        <f>+Table1[[#This Row],[Generation Cost 
LCOE (USD/MWh)]]+Table1[[#This Row],[Transmission Cost
LCOT (USD/MWh)]]</f>
        <v>115.4707698</v>
      </c>
    </row>
    <row r="452" spans="1:25" x14ac:dyDescent="0.3">
      <c r="A452" s="7">
        <v>451</v>
      </c>
      <c r="B452" s="8">
        <v>6153</v>
      </c>
      <c r="C452" s="9">
        <v>48.457650000000001</v>
      </c>
      <c r="D452" s="9">
        <v>-116.17917</v>
      </c>
      <c r="E452" s="10" t="s">
        <v>42</v>
      </c>
      <c r="F452" s="10" t="s">
        <v>1</v>
      </c>
      <c r="G452" s="10" t="s">
        <v>9</v>
      </c>
      <c r="H452" s="10">
        <v>-8</v>
      </c>
      <c r="I452" s="11">
        <v>1383.5</v>
      </c>
      <c r="J452" s="11">
        <v>3.4223180000000002</v>
      </c>
      <c r="K452" s="11" t="str">
        <f>IF(Table1[[#This Row],[Solar 
Resource]]&lt;3,"Low", IF(Table1[[#This Row],[Solar 
Resource]]&lt;4, "Moderate","High"))</f>
        <v>Moderate</v>
      </c>
      <c r="L452" s="11">
        <v>0.98197204000000005</v>
      </c>
      <c r="M452" s="11">
        <v>0.77435998800000005</v>
      </c>
      <c r="N452" s="11">
        <v>24.848863560000002</v>
      </c>
      <c r="O452" s="11">
        <v>33.297479469999999</v>
      </c>
      <c r="P452" s="11">
        <f>Table1[[#This Row],[Installed Capacity 
(AC -MW)]]/Table1[[#This Row],[Installed Capacity 
(DC -MW)]]</f>
        <v>0.74626860517739968</v>
      </c>
      <c r="Q452" s="12">
        <v>0.19916327</v>
      </c>
      <c r="R452" s="12">
        <v>0.14862928</v>
      </c>
      <c r="S452" s="13">
        <v>53.58939307</v>
      </c>
      <c r="T452" s="11">
        <v>24.582337649999999</v>
      </c>
      <c r="U452" s="11">
        <v>362.55530499999998</v>
      </c>
      <c r="V452" s="13">
        <v>1379563.746</v>
      </c>
      <c r="W452" s="13">
        <v>1630294.8</v>
      </c>
      <c r="X452" s="13">
        <v>75.596429999999998</v>
      </c>
      <c r="Y452" s="14">
        <f>+Table1[[#This Row],[Generation Cost 
LCOE (USD/MWh)]]+Table1[[#This Row],[Transmission Cost
LCOT (USD/MWh)]]</f>
        <v>129.18582307</v>
      </c>
    </row>
    <row r="453" spans="1:25" x14ac:dyDescent="0.3">
      <c r="A453" s="7">
        <v>452</v>
      </c>
      <c r="B453" s="8">
        <v>6154</v>
      </c>
      <c r="C453" s="9">
        <v>48.478237</v>
      </c>
      <c r="D453" s="9">
        <v>-116.01788000000001</v>
      </c>
      <c r="E453" s="10" t="s">
        <v>42</v>
      </c>
      <c r="F453" s="10" t="s">
        <v>3</v>
      </c>
      <c r="G453" s="10" t="s">
        <v>27</v>
      </c>
      <c r="H453" s="10">
        <v>-7</v>
      </c>
      <c r="I453" s="11">
        <v>1041.1111109999999</v>
      </c>
      <c r="J453" s="11">
        <v>3.4901423</v>
      </c>
      <c r="K453" s="11" t="str">
        <f>IF(Table1[[#This Row],[Solar 
Resource]]&lt;3,"Low", IF(Table1[[#This Row],[Solar 
Resource]]&lt;4, "Moderate","High"))</f>
        <v>Moderate</v>
      </c>
      <c r="L453" s="11">
        <v>0.98264085999999995</v>
      </c>
      <c r="M453" s="11">
        <v>1.9164600490000001</v>
      </c>
      <c r="N453" s="11">
        <v>61.498347930000001</v>
      </c>
      <c r="O453" s="11">
        <v>82.407782130000001</v>
      </c>
      <c r="P453" s="11">
        <f>Table1[[#This Row],[Installed Capacity 
(AC -MW)]]/Table1[[#This Row],[Installed Capacity 
(DC -MW)]]</f>
        <v>0.74626869381079897</v>
      </c>
      <c r="Q453" s="12">
        <v>0.20192404</v>
      </c>
      <c r="R453" s="12">
        <v>0.15068960000000001</v>
      </c>
      <c r="S453" s="13">
        <v>47.984620360000001</v>
      </c>
      <c r="T453" s="11">
        <v>16.06587012</v>
      </c>
      <c r="U453" s="11">
        <v>333.76480500000002</v>
      </c>
      <c r="V453" s="13">
        <v>1447217.798</v>
      </c>
      <c r="W453" s="13">
        <v>1588322.5</v>
      </c>
      <c r="X453" s="13">
        <v>72.643219999999999</v>
      </c>
      <c r="Y453" s="14">
        <f>+Table1[[#This Row],[Generation Cost 
LCOE (USD/MWh)]]+Table1[[#This Row],[Transmission Cost
LCOT (USD/MWh)]]</f>
        <v>120.62784035999999</v>
      </c>
    </row>
    <row r="454" spans="1:25" x14ac:dyDescent="0.3">
      <c r="A454" s="7">
        <v>453</v>
      </c>
      <c r="B454" s="8">
        <v>6155</v>
      </c>
      <c r="C454" s="9">
        <v>48.498657000000001</v>
      </c>
      <c r="D454" s="9">
        <v>-115.85648999999999</v>
      </c>
      <c r="E454" s="10" t="s">
        <v>42</v>
      </c>
      <c r="F454" s="10" t="s">
        <v>3</v>
      </c>
      <c r="G454" s="10" t="s">
        <v>27</v>
      </c>
      <c r="H454" s="10">
        <v>-7</v>
      </c>
      <c r="I454" s="11">
        <v>853.11111110000002</v>
      </c>
      <c r="J454" s="11">
        <v>3.4469264000000002</v>
      </c>
      <c r="K454" s="11" t="str">
        <f>IF(Table1[[#This Row],[Solar 
Resource]]&lt;3,"Low", IF(Table1[[#This Row],[Solar 
Resource]]&lt;4, "Moderate","High"))</f>
        <v>Moderate</v>
      </c>
      <c r="L454" s="11">
        <v>0.98287409999999997</v>
      </c>
      <c r="M454" s="11">
        <v>11.101536469999999</v>
      </c>
      <c r="N454" s="11">
        <v>356.24326760000002</v>
      </c>
      <c r="O454" s="11">
        <v>477.36606840000002</v>
      </c>
      <c r="P454" s="11">
        <f>Table1[[#This Row],[Installed Capacity 
(AC -MW)]]/Table1[[#This Row],[Installed Capacity 
(DC -MW)]]</f>
        <v>0.74626851630663582</v>
      </c>
      <c r="Q454" s="12">
        <v>0.19736217</v>
      </c>
      <c r="R454" s="12">
        <v>0.14728521</v>
      </c>
      <c r="S454" s="13">
        <v>48.453059410000002</v>
      </c>
      <c r="T454" s="11">
        <v>3.1319090890000001</v>
      </c>
      <c r="U454" s="11">
        <v>339.42575959999999</v>
      </c>
      <c r="V454" s="13">
        <v>1483412.094</v>
      </c>
      <c r="W454" s="13">
        <v>1555368.6</v>
      </c>
      <c r="X454" s="13">
        <v>72.780299999999997</v>
      </c>
      <c r="Y454" s="14">
        <f>+Table1[[#This Row],[Generation Cost 
LCOE (USD/MWh)]]+Table1[[#This Row],[Transmission Cost
LCOT (USD/MWh)]]</f>
        <v>121.23335940999999</v>
      </c>
    </row>
    <row r="455" spans="1:25" x14ac:dyDescent="0.3">
      <c r="A455" s="7">
        <v>454</v>
      </c>
      <c r="B455" s="8">
        <v>6156</v>
      </c>
      <c r="C455" s="9">
        <v>48.518920000000001</v>
      </c>
      <c r="D455" s="9">
        <v>-115.69499</v>
      </c>
      <c r="E455" s="10" t="s">
        <v>42</v>
      </c>
      <c r="F455" s="10" t="s">
        <v>3</v>
      </c>
      <c r="G455" s="10" t="s">
        <v>27</v>
      </c>
      <c r="H455" s="10">
        <v>-7</v>
      </c>
      <c r="I455" s="11">
        <v>1139.333333</v>
      </c>
      <c r="J455" s="11">
        <v>3.514716</v>
      </c>
      <c r="K455" s="11" t="str">
        <f>IF(Table1[[#This Row],[Solar 
Resource]]&lt;3,"Low", IF(Table1[[#This Row],[Solar 
Resource]]&lt;4, "Moderate","High"))</f>
        <v>Moderate</v>
      </c>
      <c r="L455" s="11">
        <v>0.98311912999999995</v>
      </c>
      <c r="M455" s="11">
        <v>0.90558002500000001</v>
      </c>
      <c r="N455" s="11">
        <v>29.059658949999999</v>
      </c>
      <c r="O455" s="11">
        <v>38.939941060000002</v>
      </c>
      <c r="P455" s="11">
        <f>Table1[[#This Row],[Installed Capacity 
(AC -MW)]]/Table1[[#This Row],[Installed Capacity 
(DC -MW)]]</f>
        <v>0.74626869376160265</v>
      </c>
      <c r="Q455" s="12">
        <v>0.20225066</v>
      </c>
      <c r="R455" s="12">
        <v>0.15093335999999999</v>
      </c>
      <c r="S455" s="13">
        <v>51.932225950000003</v>
      </c>
      <c r="T455" s="11">
        <v>8.8674220740000003</v>
      </c>
      <c r="U455" s="11">
        <v>319.22628559999998</v>
      </c>
      <c r="V455" s="13">
        <v>1364360.1569999999</v>
      </c>
      <c r="W455" s="13">
        <v>1501114.5</v>
      </c>
      <c r="X455" s="13">
        <v>68.543816000000007</v>
      </c>
      <c r="Y455" s="14">
        <f>+Table1[[#This Row],[Generation Cost 
LCOE (USD/MWh)]]+Table1[[#This Row],[Transmission Cost
LCOT (USD/MWh)]]</f>
        <v>120.47604195000001</v>
      </c>
    </row>
    <row r="456" spans="1:25" x14ac:dyDescent="0.3">
      <c r="A456" s="7">
        <v>455</v>
      </c>
      <c r="B456" s="8">
        <v>6157</v>
      </c>
      <c r="C456" s="9">
        <v>48.539020000000001</v>
      </c>
      <c r="D456" s="9">
        <v>-115.533356</v>
      </c>
      <c r="E456" s="10" t="s">
        <v>42</v>
      </c>
      <c r="F456" s="10" t="s">
        <v>3</v>
      </c>
      <c r="G456" s="10" t="s">
        <v>27</v>
      </c>
      <c r="H456" s="10">
        <v>-7</v>
      </c>
      <c r="I456" s="11">
        <v>1246.9285709999999</v>
      </c>
      <c r="J456" s="11">
        <v>3.5064003000000001</v>
      </c>
      <c r="K456" s="11" t="str">
        <f>IF(Table1[[#This Row],[Solar 
Resource]]&lt;3,"Low", IF(Table1[[#This Row],[Solar 
Resource]]&lt;4, "Moderate","High"))</f>
        <v>Moderate</v>
      </c>
      <c r="L456" s="11">
        <v>0.98338749999999997</v>
      </c>
      <c r="M456" s="11">
        <v>5.9249878420000002</v>
      </c>
      <c r="N456" s="11">
        <v>190.13019370000001</v>
      </c>
      <c r="O456" s="11">
        <v>254.77447720000001</v>
      </c>
      <c r="P456" s="11">
        <f>Table1[[#This Row],[Installed Capacity 
(AC -MW)]]/Table1[[#This Row],[Installed Capacity 
(DC -MW)]]</f>
        <v>0.74626860504063086</v>
      </c>
      <c r="Q456" s="12">
        <v>0.20223324000000001</v>
      </c>
      <c r="R456" s="12">
        <v>0.15092032</v>
      </c>
      <c r="S456" s="13">
        <v>47.305398500000003</v>
      </c>
      <c r="T456" s="11">
        <v>18.954915570000001</v>
      </c>
      <c r="U456" s="11">
        <v>305.93497389999999</v>
      </c>
      <c r="V456" s="13">
        <v>1295964.9110000001</v>
      </c>
      <c r="W456" s="13">
        <v>1471780.1</v>
      </c>
      <c r="X456" s="13">
        <v>67.210139999999996</v>
      </c>
      <c r="Y456" s="14">
        <f>+Table1[[#This Row],[Generation Cost 
LCOE (USD/MWh)]]+Table1[[#This Row],[Transmission Cost
LCOT (USD/MWh)]]</f>
        <v>114.51553849999999</v>
      </c>
    </row>
    <row r="457" spans="1:25" x14ac:dyDescent="0.3">
      <c r="A457" s="7">
        <v>456</v>
      </c>
      <c r="B457" s="8">
        <v>6158</v>
      </c>
      <c r="C457" s="9">
        <v>48.558956000000002</v>
      </c>
      <c r="D457" s="9">
        <v>-115.37161</v>
      </c>
      <c r="E457" s="10" t="s">
        <v>42</v>
      </c>
      <c r="F457" s="10" t="s">
        <v>3</v>
      </c>
      <c r="G457" s="10" t="s">
        <v>27</v>
      </c>
      <c r="H457" s="10">
        <v>-7</v>
      </c>
      <c r="I457" s="11">
        <v>1187.5</v>
      </c>
      <c r="J457" s="11">
        <v>3.5204680000000002</v>
      </c>
      <c r="K457" s="11" t="str">
        <f>IF(Table1[[#This Row],[Solar 
Resource]]&lt;3,"Low", IF(Table1[[#This Row],[Solar 
Resource]]&lt;4, "Moderate","High"))</f>
        <v>Moderate</v>
      </c>
      <c r="L457" s="11">
        <v>0.98357660000000002</v>
      </c>
      <c r="M457" s="11">
        <v>1.44892804</v>
      </c>
      <c r="N457" s="11">
        <v>46.495448799999998</v>
      </c>
      <c r="O457" s="11">
        <v>62.303905700000001</v>
      </c>
      <c r="P457" s="11">
        <f>Table1[[#This Row],[Installed Capacity 
(AC -MW)]]/Table1[[#This Row],[Installed Capacity 
(DC -MW)]]</f>
        <v>0.74626860511571425</v>
      </c>
      <c r="Q457" s="12">
        <v>0.20308809</v>
      </c>
      <c r="R457" s="12">
        <v>0.15155826999999999</v>
      </c>
      <c r="S457" s="13">
        <v>49.187753450000002</v>
      </c>
      <c r="T457" s="11">
        <v>17.450499990000001</v>
      </c>
      <c r="U457" s="11">
        <v>295.59027259999999</v>
      </c>
      <c r="V457" s="13">
        <v>1242294.4909999999</v>
      </c>
      <c r="W457" s="13">
        <v>1445974.4</v>
      </c>
      <c r="X457" s="13">
        <v>65.753749999999997</v>
      </c>
      <c r="Y457" s="14">
        <f>+Table1[[#This Row],[Generation Cost 
LCOE (USD/MWh)]]+Table1[[#This Row],[Transmission Cost
LCOT (USD/MWh)]]</f>
        <v>114.94150345</v>
      </c>
    </row>
    <row r="458" spans="1:25" x14ac:dyDescent="0.3">
      <c r="A458" s="7">
        <v>457</v>
      </c>
      <c r="B458" s="8">
        <v>6159</v>
      </c>
      <c r="C458" s="9">
        <v>48.578727999999998</v>
      </c>
      <c r="D458" s="9">
        <v>-115.20976</v>
      </c>
      <c r="E458" s="10" t="s">
        <v>42</v>
      </c>
      <c r="F458" s="10" t="s">
        <v>3</v>
      </c>
      <c r="G458" s="10" t="s">
        <v>27</v>
      </c>
      <c r="H458" s="10">
        <v>-7</v>
      </c>
      <c r="I458" s="11">
        <v>930.25</v>
      </c>
      <c r="J458" s="11">
        <v>3.463838</v>
      </c>
      <c r="K458" s="11" t="str">
        <f>IF(Table1[[#This Row],[Solar 
Resource]]&lt;3,"Low", IF(Table1[[#This Row],[Solar 
Resource]]&lt;4, "Moderate","High"))</f>
        <v>Moderate</v>
      </c>
      <c r="L458" s="11">
        <v>0.98384369999999999</v>
      </c>
      <c r="M458" s="11">
        <v>0.67165204700000003</v>
      </c>
      <c r="N458" s="11">
        <v>21.553011959999999</v>
      </c>
      <c r="O458" s="11">
        <v>28.881038019999998</v>
      </c>
      <c r="P458" s="11">
        <f>Table1[[#This Row],[Installed Capacity 
(AC -MW)]]/Table1[[#This Row],[Installed Capacity 
(DC -MW)]]</f>
        <v>0.74626860520299265</v>
      </c>
      <c r="Q458" s="12">
        <v>0.1980847</v>
      </c>
      <c r="R458" s="12">
        <v>0.14782445</v>
      </c>
      <c r="S458" s="13">
        <v>54.80643542</v>
      </c>
      <c r="T458" s="11">
        <v>19.997636350000001</v>
      </c>
      <c r="U458" s="11">
        <v>293.43996090000002</v>
      </c>
      <c r="V458" s="13">
        <v>1211180.9369999999</v>
      </c>
      <c r="W458" s="13">
        <v>1395952.1</v>
      </c>
      <c r="X458" s="13">
        <v>65.082465999999997</v>
      </c>
      <c r="Y458" s="14">
        <f>+Table1[[#This Row],[Generation Cost 
LCOE (USD/MWh)]]+Table1[[#This Row],[Transmission Cost
LCOT (USD/MWh)]]</f>
        <v>119.88890142</v>
      </c>
    </row>
    <row r="459" spans="1:25" x14ac:dyDescent="0.3">
      <c r="A459" s="7">
        <v>458</v>
      </c>
      <c r="B459" s="8">
        <v>6160</v>
      </c>
      <c r="C459" s="9">
        <v>48.59834</v>
      </c>
      <c r="D459" s="9">
        <v>-115.04779000000001</v>
      </c>
      <c r="E459" s="10" t="s">
        <v>42</v>
      </c>
      <c r="F459" s="10" t="s">
        <v>3</v>
      </c>
      <c r="G459" s="10" t="s">
        <v>27</v>
      </c>
      <c r="H459" s="10">
        <v>-7</v>
      </c>
      <c r="I459" s="11">
        <v>1329.6</v>
      </c>
      <c r="J459" s="11">
        <v>3.5290225</v>
      </c>
      <c r="K459" s="11" t="str">
        <f>IF(Table1[[#This Row],[Solar 
Resource]]&lt;3,"Low", IF(Table1[[#This Row],[Solar 
Resource]]&lt;4, "Moderate","High"))</f>
        <v>Moderate</v>
      </c>
      <c r="L459" s="11">
        <v>0.98405019999999999</v>
      </c>
      <c r="M459" s="11">
        <v>6.3263432369999997</v>
      </c>
      <c r="N459" s="11">
        <v>203.00948360000001</v>
      </c>
      <c r="O459" s="11">
        <v>272.03275919999999</v>
      </c>
      <c r="P459" s="11">
        <f>Table1[[#This Row],[Installed Capacity 
(AC -MW)]]/Table1[[#This Row],[Installed Capacity 
(DC -MW)]]</f>
        <v>0.74626851632507363</v>
      </c>
      <c r="Q459" s="12">
        <v>0.20507</v>
      </c>
      <c r="R459" s="12">
        <v>0.15303732</v>
      </c>
      <c r="S459" s="13">
        <v>46.675702989999998</v>
      </c>
      <c r="T459" s="11">
        <v>7.0610259710000003</v>
      </c>
      <c r="U459" s="11">
        <v>293.43996090000002</v>
      </c>
      <c r="V459" s="13">
        <v>1211180.9369999999</v>
      </c>
      <c r="W459" s="13">
        <v>1312294.8</v>
      </c>
      <c r="X459" s="13">
        <v>59.098117999999999</v>
      </c>
      <c r="Y459" s="14">
        <f>+Table1[[#This Row],[Generation Cost 
LCOE (USD/MWh)]]+Table1[[#This Row],[Transmission Cost
LCOT (USD/MWh)]]</f>
        <v>105.77382098999999</v>
      </c>
    </row>
    <row r="460" spans="1:25" x14ac:dyDescent="0.3">
      <c r="A460" s="7">
        <v>459</v>
      </c>
      <c r="B460" s="8">
        <v>6161</v>
      </c>
      <c r="C460" s="9">
        <v>48.617789999999999</v>
      </c>
      <c r="D460" s="9">
        <v>-114.88571</v>
      </c>
      <c r="E460" s="10" t="s">
        <v>42</v>
      </c>
      <c r="F460" s="10" t="s">
        <v>3</v>
      </c>
      <c r="G460" s="10" t="s">
        <v>27</v>
      </c>
      <c r="H460" s="10">
        <v>-7</v>
      </c>
      <c r="I460" s="11">
        <v>1266.75</v>
      </c>
      <c r="J460" s="11">
        <v>3.4829829000000001</v>
      </c>
      <c r="K460" s="11" t="str">
        <f>IF(Table1[[#This Row],[Solar 
Resource]]&lt;3,"Low", IF(Table1[[#This Row],[Solar 
Resource]]&lt;4, "Moderate","High"))</f>
        <v>Moderate</v>
      </c>
      <c r="L460" s="11">
        <v>0.98414880000000005</v>
      </c>
      <c r="M460" s="11">
        <v>16.304003720000001</v>
      </c>
      <c r="N460" s="11">
        <v>523.18820519999997</v>
      </c>
      <c r="O460" s="11">
        <v>701.07216010000002</v>
      </c>
      <c r="P460" s="11">
        <f>Table1[[#This Row],[Installed Capacity 
(AC -MW)]]/Table1[[#This Row],[Installed Capacity 
(DC -MW)]]</f>
        <v>0.74626869383227701</v>
      </c>
      <c r="Q460" s="12">
        <v>0.2015864</v>
      </c>
      <c r="R460" s="12">
        <v>0.15043761</v>
      </c>
      <c r="S460" s="13">
        <v>47.486044040000003</v>
      </c>
      <c r="T460" s="11">
        <v>2.1791883090000002</v>
      </c>
      <c r="U460" s="11">
        <v>288.8089349</v>
      </c>
      <c r="V460" s="13">
        <v>1180776.541</v>
      </c>
      <c r="W460" s="13">
        <v>1247235.5</v>
      </c>
      <c r="X460" s="13">
        <v>57.138869999999997</v>
      </c>
      <c r="Y460" s="14">
        <f>+Table1[[#This Row],[Generation Cost 
LCOE (USD/MWh)]]+Table1[[#This Row],[Transmission Cost
LCOT (USD/MWh)]]</f>
        <v>104.62491403999999</v>
      </c>
    </row>
    <row r="461" spans="1:25" x14ac:dyDescent="0.3">
      <c r="A461" s="7">
        <v>460</v>
      </c>
      <c r="B461" s="8">
        <v>6162</v>
      </c>
      <c r="C461" s="9">
        <v>48.637073999999998</v>
      </c>
      <c r="D461" s="9">
        <v>-114.72351</v>
      </c>
      <c r="E461" s="10" t="s">
        <v>42</v>
      </c>
      <c r="F461" s="10" t="s">
        <v>3</v>
      </c>
      <c r="G461" s="10" t="s">
        <v>15</v>
      </c>
      <c r="H461" s="10">
        <v>-7</v>
      </c>
      <c r="I461" s="11">
        <v>1259.6923079999999</v>
      </c>
      <c r="J461" s="11">
        <v>3.3618519999999998</v>
      </c>
      <c r="K461" s="11" t="str">
        <f>IF(Table1[[#This Row],[Solar 
Resource]]&lt;3,"Low", IF(Table1[[#This Row],[Solar 
Resource]]&lt;4, "Moderate","High"))</f>
        <v>Moderate</v>
      </c>
      <c r="L461" s="11">
        <v>0.98130360000000005</v>
      </c>
      <c r="M461" s="11">
        <v>11.3594402</v>
      </c>
      <c r="N461" s="11">
        <v>364.5192811</v>
      </c>
      <c r="O461" s="11">
        <v>488.45592850000003</v>
      </c>
      <c r="P461" s="11">
        <f>Table1[[#This Row],[Installed Capacity 
(AC -MW)]]/Table1[[#This Row],[Installed Capacity 
(DC -MW)]]</f>
        <v>0.7462685164235856</v>
      </c>
      <c r="Q461" s="12">
        <v>0.19335579999999999</v>
      </c>
      <c r="R461" s="12">
        <v>0.14429536000000001</v>
      </c>
      <c r="S461" s="13">
        <v>49.394982630000001</v>
      </c>
      <c r="T461" s="11">
        <v>0.30727922099999999</v>
      </c>
      <c r="U461" s="11">
        <v>263.61624010000003</v>
      </c>
      <c r="V461" s="13">
        <v>1034074.013</v>
      </c>
      <c r="W461" s="13">
        <v>1072256.5</v>
      </c>
      <c r="X461" s="13">
        <v>51.21367</v>
      </c>
      <c r="Y461" s="14">
        <f>+Table1[[#This Row],[Generation Cost 
LCOE (USD/MWh)]]+Table1[[#This Row],[Transmission Cost
LCOT (USD/MWh)]]</f>
        <v>100.60865262999999</v>
      </c>
    </row>
    <row r="462" spans="1:25" x14ac:dyDescent="0.3">
      <c r="A462" s="7">
        <v>461</v>
      </c>
      <c r="B462" s="8">
        <v>6163</v>
      </c>
      <c r="C462" s="9">
        <v>48.656193000000002</v>
      </c>
      <c r="D462" s="9">
        <v>-114.56121</v>
      </c>
      <c r="E462" s="10" t="s">
        <v>42</v>
      </c>
      <c r="F462" s="10" t="s">
        <v>3</v>
      </c>
      <c r="G462" s="10" t="s">
        <v>15</v>
      </c>
      <c r="H462" s="10">
        <v>-7</v>
      </c>
      <c r="I462" s="11">
        <v>1489</v>
      </c>
      <c r="J462" s="11">
        <v>3.3429346</v>
      </c>
      <c r="K462" s="11" t="str">
        <f>IF(Table1[[#This Row],[Solar 
Resource]]&lt;3,"Low", IF(Table1[[#This Row],[Solar 
Resource]]&lt;4, "Moderate","High"))</f>
        <v>Moderate</v>
      </c>
      <c r="L462" s="11">
        <v>0.98133429999999999</v>
      </c>
      <c r="M462" s="11">
        <v>10.463903719999999</v>
      </c>
      <c r="N462" s="11">
        <v>335.7819619</v>
      </c>
      <c r="O462" s="11">
        <v>449.94786010000001</v>
      </c>
      <c r="P462" s="11">
        <f>Table1[[#This Row],[Installed Capacity 
(AC -MW)]]/Table1[[#This Row],[Installed Capacity 
(DC -MW)]]</f>
        <v>0.74626860504542269</v>
      </c>
      <c r="Q462" s="12">
        <v>0.19308448</v>
      </c>
      <c r="R462" s="12">
        <v>0.14409289</v>
      </c>
      <c r="S462" s="13">
        <v>49.465609579999999</v>
      </c>
      <c r="T462" s="11">
        <v>15.20314934</v>
      </c>
      <c r="U462" s="11">
        <v>246.13485700000001</v>
      </c>
      <c r="V462" s="13">
        <v>937054.66070000001</v>
      </c>
      <c r="W462" s="13">
        <v>1093807.5</v>
      </c>
      <c r="X462" s="13">
        <v>52.316409999999998</v>
      </c>
      <c r="Y462" s="14">
        <f>+Table1[[#This Row],[Generation Cost 
LCOE (USD/MWh)]]+Table1[[#This Row],[Transmission Cost
LCOT (USD/MWh)]]</f>
        <v>101.78201958</v>
      </c>
    </row>
    <row r="463" spans="1:25" x14ac:dyDescent="0.3">
      <c r="A463" s="7">
        <v>462</v>
      </c>
      <c r="B463" s="8">
        <v>6164</v>
      </c>
      <c r="C463" s="9">
        <v>48.675150000000002</v>
      </c>
      <c r="D463" s="9">
        <v>-114.39879999999999</v>
      </c>
      <c r="E463" s="10" t="s">
        <v>42</v>
      </c>
      <c r="F463" s="10" t="s">
        <v>3</v>
      </c>
      <c r="G463" s="10" t="s">
        <v>15</v>
      </c>
      <c r="H463" s="10">
        <v>-7</v>
      </c>
      <c r="I463" s="11">
        <v>1532.75</v>
      </c>
      <c r="J463" s="11">
        <v>3.4914749</v>
      </c>
      <c r="K463" s="11" t="str">
        <f>IF(Table1[[#This Row],[Solar 
Resource]]&lt;3,"Low", IF(Table1[[#This Row],[Solar 
Resource]]&lt;4, "Moderate","High"))</f>
        <v>Moderate</v>
      </c>
      <c r="L463" s="11">
        <v>0.98137003</v>
      </c>
      <c r="M463" s="11">
        <v>1.309284119</v>
      </c>
      <c r="N463" s="11">
        <v>42.014338209999998</v>
      </c>
      <c r="O463" s="11">
        <v>56.2992171</v>
      </c>
      <c r="P463" s="11">
        <f>Table1[[#This Row],[Installed Capacity 
(AC -MW)]]/Table1[[#This Row],[Installed Capacity 
(DC -MW)]]</f>
        <v>0.74626860503891446</v>
      </c>
      <c r="Q463" s="12">
        <v>0.20172292999999999</v>
      </c>
      <c r="R463" s="12">
        <v>0.15053952000000001</v>
      </c>
      <c r="S463" s="13">
        <v>49.971007610000001</v>
      </c>
      <c r="T463" s="11">
        <v>22.243435049999999</v>
      </c>
      <c r="U463" s="11">
        <v>246.13485700000001</v>
      </c>
      <c r="V463" s="13">
        <v>937054.66070000001</v>
      </c>
      <c r="W463" s="13">
        <v>1161720.6000000001</v>
      </c>
      <c r="X463" s="13">
        <v>53.185203999999999</v>
      </c>
      <c r="Y463" s="14">
        <f>+Table1[[#This Row],[Generation Cost 
LCOE (USD/MWh)]]+Table1[[#This Row],[Transmission Cost
LCOT (USD/MWh)]]</f>
        <v>103.15621161</v>
      </c>
    </row>
    <row r="464" spans="1:25" x14ac:dyDescent="0.3">
      <c r="A464" s="7">
        <v>463</v>
      </c>
      <c r="B464" s="8">
        <v>6165</v>
      </c>
      <c r="C464" s="9">
        <v>48.693947000000001</v>
      </c>
      <c r="D464" s="9">
        <v>-114.23627</v>
      </c>
      <c r="E464" s="10" t="s">
        <v>42</v>
      </c>
      <c r="F464" s="10" t="s">
        <v>3</v>
      </c>
      <c r="G464" s="10" t="s">
        <v>15</v>
      </c>
      <c r="H464" s="10">
        <v>-7</v>
      </c>
      <c r="I464" s="11">
        <v>1306</v>
      </c>
      <c r="J464" s="11">
        <v>3.4208810000000001</v>
      </c>
      <c r="K464" s="11" t="str">
        <f>IF(Table1[[#This Row],[Solar 
Resource]]&lt;3,"Low", IF(Table1[[#This Row],[Solar 
Resource]]&lt;4, "Moderate","High"))</f>
        <v>Moderate</v>
      </c>
      <c r="L464" s="11">
        <v>0.98141175999999997</v>
      </c>
      <c r="M464" s="11">
        <v>7.3648439210000003</v>
      </c>
      <c r="N464" s="11">
        <v>236.33452740000001</v>
      </c>
      <c r="O464" s="11">
        <v>316.68828860000002</v>
      </c>
      <c r="P464" s="11">
        <f>Table1[[#This Row],[Installed Capacity 
(AC -MW)]]/Table1[[#This Row],[Installed Capacity 
(DC -MW)]]</f>
        <v>0.746268605147276</v>
      </c>
      <c r="Q464" s="12">
        <v>0.19767275000000001</v>
      </c>
      <c r="R464" s="12">
        <v>0.14751700000000001</v>
      </c>
      <c r="S464" s="13">
        <v>48.320414290000002</v>
      </c>
      <c r="T464" s="11">
        <v>33.458350619999997</v>
      </c>
      <c r="U464" s="11">
        <v>246.494857</v>
      </c>
      <c r="V464" s="13">
        <v>938794.97930000001</v>
      </c>
      <c r="W464" s="13">
        <v>1275767.2</v>
      </c>
      <c r="X464" s="13">
        <v>59.60313</v>
      </c>
      <c r="Y464" s="14">
        <f>+Table1[[#This Row],[Generation Cost 
LCOE (USD/MWh)]]+Table1[[#This Row],[Transmission Cost
LCOT (USD/MWh)]]</f>
        <v>107.92354429</v>
      </c>
    </row>
    <row r="465" spans="1:25" x14ac:dyDescent="0.3">
      <c r="A465" s="7">
        <v>464</v>
      </c>
      <c r="B465" s="8">
        <v>6170</v>
      </c>
      <c r="C465" s="9">
        <v>48.785442000000003</v>
      </c>
      <c r="D465" s="9">
        <v>-113.42203499999999</v>
      </c>
      <c r="E465" s="10" t="s">
        <v>42</v>
      </c>
      <c r="F465" s="10" t="s">
        <v>3</v>
      </c>
      <c r="G465" s="10" t="s">
        <v>16</v>
      </c>
      <c r="H465" s="10">
        <v>-7</v>
      </c>
      <c r="I465" s="11">
        <v>1563.4375</v>
      </c>
      <c r="J465" s="11">
        <v>3.6815096999999999</v>
      </c>
      <c r="K465" s="11" t="str">
        <f>IF(Table1[[#This Row],[Solar 
Resource]]&lt;3,"Low", IF(Table1[[#This Row],[Solar 
Resource]]&lt;4, "Moderate","High"))</f>
        <v>Moderate</v>
      </c>
      <c r="L465" s="11">
        <v>0.98168880000000003</v>
      </c>
      <c r="M465" s="11">
        <v>35.943912159999996</v>
      </c>
      <c r="N465" s="11">
        <v>1153.4241039999999</v>
      </c>
      <c r="O465" s="11">
        <v>1545.588223</v>
      </c>
      <c r="P465" s="11">
        <f>Table1[[#This Row],[Installed Capacity 
(AC -MW)]]/Table1[[#This Row],[Installed Capacity 
(DC -MW)]]</f>
        <v>0.74626869358592407</v>
      </c>
      <c r="Q465" s="12">
        <v>0.22300215000000001</v>
      </c>
      <c r="R465" s="12">
        <v>0.16641951999999999</v>
      </c>
      <c r="S465" s="13">
        <v>42.841501890000004</v>
      </c>
      <c r="T465" s="11">
        <v>8.2129350599999995</v>
      </c>
      <c r="U465" s="11">
        <v>291.26716870000001</v>
      </c>
      <c r="V465" s="13">
        <v>794563.39159999997</v>
      </c>
      <c r="W465" s="13">
        <v>944491.7</v>
      </c>
      <c r="X465" s="13">
        <v>39.114113000000003</v>
      </c>
      <c r="Y465" s="14">
        <f>+Table1[[#This Row],[Generation Cost 
LCOE (USD/MWh)]]+Table1[[#This Row],[Transmission Cost
LCOT (USD/MWh)]]</f>
        <v>81.955614890000007</v>
      </c>
    </row>
    <row r="466" spans="1:25" x14ac:dyDescent="0.3">
      <c r="A466" s="7">
        <v>465</v>
      </c>
      <c r="B466" s="8">
        <v>6171</v>
      </c>
      <c r="C466" s="9">
        <v>48.803249999999998</v>
      </c>
      <c r="D466" s="9">
        <v>-113.25887</v>
      </c>
      <c r="E466" s="10" t="s">
        <v>42</v>
      </c>
      <c r="F466" s="10" t="s">
        <v>3</v>
      </c>
      <c r="G466" s="10" t="s">
        <v>16</v>
      </c>
      <c r="H466" s="10">
        <v>-7</v>
      </c>
      <c r="I466" s="11">
        <v>1574.176471</v>
      </c>
      <c r="J466" s="11">
        <v>3.7007902000000001</v>
      </c>
      <c r="K466" s="11" t="str">
        <f>IF(Table1[[#This Row],[Solar 
Resource]]&lt;3,"Low", IF(Table1[[#This Row],[Solar 
Resource]]&lt;4, "Moderate","High"))</f>
        <v>Moderate</v>
      </c>
      <c r="L466" s="11">
        <v>0.98173730000000003</v>
      </c>
      <c r="M466" s="11">
        <v>79.930958200000006</v>
      </c>
      <c r="N466" s="11">
        <v>2564.9484809999999</v>
      </c>
      <c r="O466" s="11">
        <v>3437.031203</v>
      </c>
      <c r="P466" s="11">
        <f>Table1[[#This Row],[Installed Capacity 
(AC -MW)]]/Table1[[#This Row],[Installed Capacity 
(DC -MW)]]</f>
        <v>0.74626860494056446</v>
      </c>
      <c r="Q466" s="12">
        <v>0.2257778</v>
      </c>
      <c r="R466" s="12">
        <v>0.16849089</v>
      </c>
      <c r="S466" s="13">
        <v>42.316475539999999</v>
      </c>
      <c r="T466" s="11">
        <v>5.6556558389999996</v>
      </c>
      <c r="U466" s="11">
        <v>274.97872059999997</v>
      </c>
      <c r="V466" s="13">
        <v>742358.06850000005</v>
      </c>
      <c r="W466" s="13">
        <v>811476.2</v>
      </c>
      <c r="X466" s="13">
        <v>33.192419999999998</v>
      </c>
      <c r="Y466" s="14">
        <f>+Table1[[#This Row],[Generation Cost 
LCOE (USD/MWh)]]+Table1[[#This Row],[Transmission Cost
LCOT (USD/MWh)]]</f>
        <v>75.508895539999997</v>
      </c>
    </row>
    <row r="467" spans="1:25" x14ac:dyDescent="0.3">
      <c r="A467" s="7">
        <v>466</v>
      </c>
      <c r="B467" s="8">
        <v>6172</v>
      </c>
      <c r="C467" s="9">
        <v>48.820889999999999</v>
      </c>
      <c r="D467" s="9">
        <v>-113.09560999999999</v>
      </c>
      <c r="E467" s="10" t="s">
        <v>42</v>
      </c>
      <c r="F467" s="10" t="s">
        <v>3</v>
      </c>
      <c r="G467" s="10" t="s">
        <v>16</v>
      </c>
      <c r="H467" s="10">
        <v>-7</v>
      </c>
      <c r="I467" s="11">
        <v>1439.9473680000001</v>
      </c>
      <c r="J467" s="11">
        <v>3.6991166999999998</v>
      </c>
      <c r="K467" s="11" t="str">
        <f>IF(Table1[[#This Row],[Solar 
Resource]]&lt;3,"Low", IF(Table1[[#This Row],[Solar 
Resource]]&lt;4, "Moderate","High"))</f>
        <v>Moderate</v>
      </c>
      <c r="L467" s="11">
        <v>0.98181370000000001</v>
      </c>
      <c r="M467" s="11">
        <v>91.446405470000002</v>
      </c>
      <c r="N467" s="11">
        <v>2934.473653</v>
      </c>
      <c r="O467" s="11">
        <v>3932.1954350000001</v>
      </c>
      <c r="P467" s="11">
        <f>Table1[[#This Row],[Installed Capacity 
(AC -MW)]]/Table1[[#This Row],[Installed Capacity 
(DC -MW)]]</f>
        <v>0.74626851627988833</v>
      </c>
      <c r="Q467" s="12">
        <v>0.22616712999999999</v>
      </c>
      <c r="R467" s="12">
        <v>0.16878144</v>
      </c>
      <c r="S467" s="13">
        <v>42.246199939999997</v>
      </c>
      <c r="T467" s="11">
        <v>7.3619090890000001</v>
      </c>
      <c r="U467" s="11">
        <v>271.5523245</v>
      </c>
      <c r="V467" s="13">
        <v>731969.77740000002</v>
      </c>
      <c r="W467" s="13">
        <v>817490.9</v>
      </c>
      <c r="X467" s="13">
        <v>33.380882</v>
      </c>
      <c r="Y467" s="14">
        <f>+Table1[[#This Row],[Generation Cost 
LCOE (USD/MWh)]]+Table1[[#This Row],[Transmission Cost
LCOT (USD/MWh)]]</f>
        <v>75.627081939999997</v>
      </c>
    </row>
    <row r="468" spans="1:25" x14ac:dyDescent="0.3">
      <c r="A468" s="7">
        <v>467</v>
      </c>
      <c r="B468" s="8">
        <v>6173</v>
      </c>
      <c r="C468" s="9">
        <v>48.838363999999999</v>
      </c>
      <c r="D468" s="9">
        <v>-112.932236</v>
      </c>
      <c r="E468" s="10" t="s">
        <v>42</v>
      </c>
      <c r="F468" s="10" t="s">
        <v>3</v>
      </c>
      <c r="G468" s="10" t="s">
        <v>16</v>
      </c>
      <c r="H468" s="10">
        <v>-7</v>
      </c>
      <c r="I468" s="11">
        <v>1364.684211</v>
      </c>
      <c r="J468" s="11">
        <v>3.7139964000000001</v>
      </c>
      <c r="K468" s="11" t="str">
        <f>IF(Table1[[#This Row],[Solar 
Resource]]&lt;3,"Low", IF(Table1[[#This Row],[Solar 
Resource]]&lt;4, "Moderate","High"))</f>
        <v>Moderate</v>
      </c>
      <c r="L468" s="11">
        <v>0.98186949999999995</v>
      </c>
      <c r="M468" s="11">
        <v>108.69001609999999</v>
      </c>
      <c r="N468" s="11">
        <v>3487.813294</v>
      </c>
      <c r="O468" s="11">
        <v>4673.670693</v>
      </c>
      <c r="P468" s="11">
        <f>Table1[[#This Row],[Installed Capacity 
(AC -MW)]]/Table1[[#This Row],[Installed Capacity 
(DC -MW)]]</f>
        <v>0.74626851635565161</v>
      </c>
      <c r="Q468" s="12">
        <v>0.22746511</v>
      </c>
      <c r="R468" s="12">
        <v>0.16975008</v>
      </c>
      <c r="S468" s="13">
        <v>42.007008149999997</v>
      </c>
      <c r="T468" s="11">
        <v>20.78579869</v>
      </c>
      <c r="U468" s="11">
        <v>275.06872060000001</v>
      </c>
      <c r="V468" s="13">
        <v>742573.81050000002</v>
      </c>
      <c r="W468" s="13">
        <v>871716.1</v>
      </c>
      <c r="X468" s="13">
        <v>35.391967999999999</v>
      </c>
      <c r="Y468" s="14">
        <f>+Table1[[#This Row],[Generation Cost 
LCOE (USD/MWh)]]+Table1[[#This Row],[Transmission Cost
LCOT (USD/MWh)]]</f>
        <v>77.398976149999996</v>
      </c>
    </row>
    <row r="469" spans="1:25" x14ac:dyDescent="0.3">
      <c r="A469" s="7">
        <v>468</v>
      </c>
      <c r="B469" s="8">
        <v>6174</v>
      </c>
      <c r="C469" s="9">
        <v>48.855674999999998</v>
      </c>
      <c r="D469" s="9">
        <v>-112.76877</v>
      </c>
      <c r="E469" s="10" t="s">
        <v>42</v>
      </c>
      <c r="F469" s="10" t="s">
        <v>3</v>
      </c>
      <c r="G469" s="10" t="s">
        <v>16</v>
      </c>
      <c r="H469" s="10">
        <v>-7</v>
      </c>
      <c r="I469" s="11">
        <v>1292.315789</v>
      </c>
      <c r="J469" s="11">
        <v>3.7211243999999999</v>
      </c>
      <c r="K469" s="11" t="str">
        <f>IF(Table1[[#This Row],[Solar 
Resource]]&lt;3,"Low", IF(Table1[[#This Row],[Solar 
Resource]]&lt;4, "Moderate","High"))</f>
        <v>Moderate</v>
      </c>
      <c r="L469" s="11">
        <v>0.98194426000000001</v>
      </c>
      <c r="M469" s="11">
        <v>70.169081840000004</v>
      </c>
      <c r="N469" s="11">
        <v>2251.6942610000001</v>
      </c>
      <c r="O469" s="11">
        <v>3017.2705190000001</v>
      </c>
      <c r="P469" s="11">
        <f>Table1[[#This Row],[Installed Capacity 
(AC -MW)]]/Table1[[#This Row],[Installed Capacity 
(DC -MW)]]</f>
        <v>0.74626860495964698</v>
      </c>
      <c r="Q469" s="12">
        <v>0.22822954000000001</v>
      </c>
      <c r="R469" s="12">
        <v>0.17032057</v>
      </c>
      <c r="S469" s="13">
        <v>41.868808199999997</v>
      </c>
      <c r="T469" s="11">
        <v>32.970428560000002</v>
      </c>
      <c r="U469" s="11">
        <v>274.05688300000003</v>
      </c>
      <c r="V469" s="13">
        <v>739481.90260000003</v>
      </c>
      <c r="W469" s="13">
        <v>923851.56</v>
      </c>
      <c r="X469" s="13">
        <v>37.383052999999997</v>
      </c>
      <c r="Y469" s="14">
        <f>+Table1[[#This Row],[Generation Cost 
LCOE (USD/MWh)]]+Table1[[#This Row],[Transmission Cost
LCOT (USD/MWh)]]</f>
        <v>79.251861199999993</v>
      </c>
    </row>
    <row r="470" spans="1:25" x14ac:dyDescent="0.3">
      <c r="A470" s="7">
        <v>469</v>
      </c>
      <c r="B470" s="8">
        <v>6175</v>
      </c>
      <c r="C470" s="9">
        <v>48.872818000000002</v>
      </c>
      <c r="D470" s="9">
        <v>-112.605194</v>
      </c>
      <c r="E470" s="10" t="s">
        <v>42</v>
      </c>
      <c r="F470" s="10" t="s">
        <v>3</v>
      </c>
      <c r="G470" s="10" t="s">
        <v>16</v>
      </c>
      <c r="H470" s="10">
        <v>-7</v>
      </c>
      <c r="I470" s="11">
        <v>1254.5999999999999</v>
      </c>
      <c r="J470" s="11">
        <v>3.7159239999999998</v>
      </c>
      <c r="K470" s="11" t="str">
        <f>IF(Table1[[#This Row],[Solar 
Resource]]&lt;3,"Low", IF(Table1[[#This Row],[Solar 
Resource]]&lt;4, "Moderate","High"))</f>
        <v>Moderate</v>
      </c>
      <c r="L470" s="11">
        <v>0.98199930000000002</v>
      </c>
      <c r="M470" s="11">
        <v>66.381524999999996</v>
      </c>
      <c r="N470" s="11">
        <v>2130.1532670000001</v>
      </c>
      <c r="O470" s="11">
        <v>2854.4055750000002</v>
      </c>
      <c r="P470" s="11">
        <f>Table1[[#This Row],[Installed Capacity 
(AC -MW)]]/Table1[[#This Row],[Installed Capacity 
(DC -MW)]]</f>
        <v>0.74626860515433235</v>
      </c>
      <c r="Q470" s="12">
        <v>0.22770688</v>
      </c>
      <c r="R470" s="12">
        <v>0.16993050000000001</v>
      </c>
      <c r="S470" s="13">
        <v>41.966761220000002</v>
      </c>
      <c r="T470" s="11">
        <v>26.605558420000001</v>
      </c>
      <c r="U470" s="11">
        <v>204.56280509999999</v>
      </c>
      <c r="V470" s="13">
        <v>544004.75120000006</v>
      </c>
      <c r="W470" s="13">
        <v>699818.6</v>
      </c>
      <c r="X470" s="13">
        <v>28.382701999999998</v>
      </c>
      <c r="Y470" s="14">
        <f>+Table1[[#This Row],[Generation Cost 
LCOE (USD/MWh)]]+Table1[[#This Row],[Transmission Cost
LCOT (USD/MWh)]]</f>
        <v>70.349463220000004</v>
      </c>
    </row>
    <row r="471" spans="1:25" x14ac:dyDescent="0.3">
      <c r="A471" s="7">
        <v>470</v>
      </c>
      <c r="B471" s="8">
        <v>6176</v>
      </c>
      <c r="C471" s="9">
        <v>48.889792999999997</v>
      </c>
      <c r="D471" s="9">
        <v>-112.44150999999999</v>
      </c>
      <c r="E471" s="10" t="s">
        <v>42</v>
      </c>
      <c r="F471" s="10" t="s">
        <v>3</v>
      </c>
      <c r="G471" s="10" t="s">
        <v>16</v>
      </c>
      <c r="H471" s="10">
        <v>-7</v>
      </c>
      <c r="I471" s="11">
        <v>1236</v>
      </c>
      <c r="J471" s="11">
        <v>3.7086158</v>
      </c>
      <c r="K471" s="11" t="str">
        <f>IF(Table1[[#This Row],[Solar 
Resource]]&lt;3,"Low", IF(Table1[[#This Row],[Solar 
Resource]]&lt;4, "Moderate","High"))</f>
        <v>Moderate</v>
      </c>
      <c r="L471" s="11">
        <v>0.98205142999999995</v>
      </c>
      <c r="M471" s="11">
        <v>57.482211620000001</v>
      </c>
      <c r="N471" s="11">
        <v>1844.578524</v>
      </c>
      <c r="O471" s="11">
        <v>2471.7350999999999</v>
      </c>
      <c r="P471" s="11">
        <f>Table1[[#This Row],[Installed Capacity 
(AC -MW)]]/Table1[[#This Row],[Installed Capacity 
(DC -MW)]]</f>
        <v>0.74626869359908354</v>
      </c>
      <c r="Q471" s="12">
        <v>0.22711548000000001</v>
      </c>
      <c r="R471" s="12">
        <v>0.16948915000000001</v>
      </c>
      <c r="S471" s="13">
        <v>42.077794279999999</v>
      </c>
      <c r="T471" s="11">
        <v>20.201668810000001</v>
      </c>
      <c r="U471" s="11">
        <v>214.17206479999999</v>
      </c>
      <c r="V471" s="13">
        <v>571916.85609999998</v>
      </c>
      <c r="W471" s="13">
        <v>677336.5</v>
      </c>
      <c r="X471" s="13">
        <v>27.542422999999999</v>
      </c>
      <c r="Y471" s="14">
        <f>+Table1[[#This Row],[Generation Cost 
LCOE (USD/MWh)]]+Table1[[#This Row],[Transmission Cost
LCOT (USD/MWh)]]</f>
        <v>69.620217279999991</v>
      </c>
    </row>
    <row r="472" spans="1:25" x14ac:dyDescent="0.3">
      <c r="A472" s="7">
        <v>471</v>
      </c>
      <c r="B472" s="8">
        <v>6177</v>
      </c>
      <c r="C472" s="9">
        <v>48.906610000000001</v>
      </c>
      <c r="D472" s="9">
        <v>-112.27775</v>
      </c>
      <c r="E472" s="10" t="s">
        <v>42</v>
      </c>
      <c r="F472" s="10" t="s">
        <v>3</v>
      </c>
      <c r="G472" s="10" t="s">
        <v>16</v>
      </c>
      <c r="H472" s="10">
        <v>-7</v>
      </c>
      <c r="I472" s="11">
        <v>1221</v>
      </c>
      <c r="J472" s="11">
        <v>3.7061234000000001</v>
      </c>
      <c r="K472" s="11" t="str">
        <f>IF(Table1[[#This Row],[Solar 
Resource]]&lt;3,"Low", IF(Table1[[#This Row],[Solar 
Resource]]&lt;4, "Moderate","High"))</f>
        <v>Moderate</v>
      </c>
      <c r="L472" s="11">
        <v>0.98209610000000003</v>
      </c>
      <c r="M472" s="11">
        <v>49.208472950000001</v>
      </c>
      <c r="N472" s="11">
        <v>1579.0777539999999</v>
      </c>
      <c r="O472" s="11">
        <v>2115.9643369999999</v>
      </c>
      <c r="P472" s="11">
        <f>Table1[[#This Row],[Installed Capacity 
(AC -MW)]]/Table1[[#This Row],[Installed Capacity 
(DC -MW)]]</f>
        <v>0.74626860499870518</v>
      </c>
      <c r="Q472" s="12">
        <v>0.22661704999999999</v>
      </c>
      <c r="R472" s="12">
        <v>0.16911720999999999</v>
      </c>
      <c r="S472" s="13">
        <v>42.171848420000003</v>
      </c>
      <c r="T472" s="11">
        <v>5.540071427</v>
      </c>
      <c r="U472" s="11">
        <v>227.70404529999999</v>
      </c>
      <c r="V472" s="13">
        <v>608202.13690000004</v>
      </c>
      <c r="W472" s="13">
        <v>680297.4</v>
      </c>
      <c r="X472" s="13">
        <v>27.723662999999998</v>
      </c>
      <c r="Y472" s="14">
        <f>+Table1[[#This Row],[Generation Cost 
LCOE (USD/MWh)]]+Table1[[#This Row],[Transmission Cost
LCOT (USD/MWh)]]</f>
        <v>69.895511420000005</v>
      </c>
    </row>
    <row r="473" spans="1:25" x14ac:dyDescent="0.3">
      <c r="A473" s="7">
        <v>472</v>
      </c>
      <c r="B473" s="8">
        <v>6178</v>
      </c>
      <c r="C473" s="9">
        <v>48.923251999999998</v>
      </c>
      <c r="D473" s="9">
        <v>-112.11387999999999</v>
      </c>
      <c r="E473" s="10" t="s">
        <v>42</v>
      </c>
      <c r="F473" s="10" t="s">
        <v>3</v>
      </c>
      <c r="G473" s="10" t="s">
        <v>39</v>
      </c>
      <c r="H473" s="10">
        <v>-7</v>
      </c>
      <c r="I473" s="11">
        <v>1188.8421049999999</v>
      </c>
      <c r="J473" s="11">
        <v>3.6984564999999998</v>
      </c>
      <c r="K473" s="11" t="str">
        <f>IF(Table1[[#This Row],[Solar 
Resource]]&lt;3,"Low", IF(Table1[[#This Row],[Solar 
Resource]]&lt;4, "Moderate","High"))</f>
        <v>Moderate</v>
      </c>
      <c r="L473" s="11">
        <v>0.98209849999999999</v>
      </c>
      <c r="M473" s="11">
        <v>55.716656839999999</v>
      </c>
      <c r="N473" s="11">
        <v>1787.9226590000001</v>
      </c>
      <c r="O473" s="11">
        <v>2395.8162440000001</v>
      </c>
      <c r="P473" s="11">
        <f>Table1[[#This Row],[Installed Capacity 
(AC -MW)]]/Table1[[#This Row],[Installed Capacity 
(DC -MW)]]</f>
        <v>0.74626869380221128</v>
      </c>
      <c r="Q473" s="12">
        <v>0.22585419000000001</v>
      </c>
      <c r="R473" s="12">
        <v>0.1685479</v>
      </c>
      <c r="S473" s="13">
        <v>42.314369579999997</v>
      </c>
      <c r="T473" s="11">
        <v>6.1572792209999996</v>
      </c>
      <c r="U473" s="11">
        <v>226.4594869</v>
      </c>
      <c r="V473" s="13">
        <v>604865.3639</v>
      </c>
      <c r="W473" s="13">
        <v>684766.25</v>
      </c>
      <c r="X473" s="13">
        <v>28.000038</v>
      </c>
      <c r="Y473" s="14">
        <f>+Table1[[#This Row],[Generation Cost 
LCOE (USD/MWh)]]+Table1[[#This Row],[Transmission Cost
LCOT (USD/MWh)]]</f>
        <v>70.314407579999994</v>
      </c>
    </row>
    <row r="474" spans="1:25" x14ac:dyDescent="0.3">
      <c r="A474" s="7">
        <v>473</v>
      </c>
      <c r="B474" s="8">
        <v>6179</v>
      </c>
      <c r="C474" s="9">
        <v>48.939734999999999</v>
      </c>
      <c r="D474" s="9">
        <v>-111.94991</v>
      </c>
      <c r="E474" s="10" t="s">
        <v>42</v>
      </c>
      <c r="F474" s="10" t="s">
        <v>3</v>
      </c>
      <c r="G474" s="10" t="s">
        <v>39</v>
      </c>
      <c r="H474" s="10">
        <v>-7</v>
      </c>
      <c r="I474" s="11">
        <v>1069.4375</v>
      </c>
      <c r="J474" s="11">
        <v>3.6993992000000002</v>
      </c>
      <c r="K474" s="11" t="str">
        <f>IF(Table1[[#This Row],[Solar 
Resource]]&lt;3,"Low", IF(Table1[[#This Row],[Solar 
Resource]]&lt;4, "Moderate","High"))</f>
        <v>Moderate</v>
      </c>
      <c r="L474" s="11">
        <v>0.98213569999999994</v>
      </c>
      <c r="M474" s="11">
        <v>50.797528419999999</v>
      </c>
      <c r="N474" s="11">
        <v>1630.070023</v>
      </c>
      <c r="O474" s="11">
        <v>2184.2937219999999</v>
      </c>
      <c r="P474" s="11">
        <f>Table1[[#This Row],[Installed Capacity 
(AC -MW)]]/Table1[[#This Row],[Installed Capacity 
(DC -MW)]]</f>
        <v>0.74626869389500539</v>
      </c>
      <c r="Q474" s="12">
        <v>0.22563858000000001</v>
      </c>
      <c r="R474" s="12">
        <v>0.16838700000000001</v>
      </c>
      <c r="S474" s="13">
        <v>42.35606782</v>
      </c>
      <c r="T474" s="11">
        <v>15.533363619999999</v>
      </c>
      <c r="U474" s="11">
        <v>225.32411680000001</v>
      </c>
      <c r="V474" s="13">
        <v>600320.38060000003</v>
      </c>
      <c r="W474" s="13">
        <v>711061.4</v>
      </c>
      <c r="X474" s="13">
        <v>29.103024000000001</v>
      </c>
      <c r="Y474" s="14">
        <f>+Table1[[#This Row],[Generation Cost 
LCOE (USD/MWh)]]+Table1[[#This Row],[Transmission Cost
LCOT (USD/MWh)]]</f>
        <v>71.459091819999998</v>
      </c>
    </row>
    <row r="475" spans="1:25" x14ac:dyDescent="0.3">
      <c r="A475" s="7">
        <v>474</v>
      </c>
      <c r="B475" s="8">
        <v>6180</v>
      </c>
      <c r="C475" s="9">
        <v>48.956046999999998</v>
      </c>
      <c r="D475" s="9">
        <v>-111.78583999999999</v>
      </c>
      <c r="E475" s="10" t="s">
        <v>42</v>
      </c>
      <c r="F475" s="10" t="s">
        <v>3</v>
      </c>
      <c r="G475" s="10" t="s">
        <v>39</v>
      </c>
      <c r="H475" s="10">
        <v>-7</v>
      </c>
      <c r="I475" s="11">
        <v>1052.7857140000001</v>
      </c>
      <c r="J475" s="11">
        <v>3.6641164000000002</v>
      </c>
      <c r="K475" s="11" t="str">
        <f>IF(Table1[[#This Row],[Solar 
Resource]]&lt;3,"Low", IF(Table1[[#This Row],[Solar 
Resource]]&lt;4, "Moderate","High"))</f>
        <v>Moderate</v>
      </c>
      <c r="L475" s="11">
        <v>0.98208004000000004</v>
      </c>
      <c r="M475" s="11">
        <v>35.966183200000003</v>
      </c>
      <c r="N475" s="11">
        <v>1154.138772</v>
      </c>
      <c r="O475" s="11">
        <v>1546.5458779999999</v>
      </c>
      <c r="P475" s="11">
        <f>Table1[[#This Row],[Installed Capacity 
(AC -MW)]]/Table1[[#This Row],[Installed Capacity 
(DC -MW)]]</f>
        <v>0.74626869362099846</v>
      </c>
      <c r="Q475" s="12">
        <v>0.22274350000000001</v>
      </c>
      <c r="R475" s="12">
        <v>0.16622649</v>
      </c>
      <c r="S475" s="13">
        <v>42.904680069999998</v>
      </c>
      <c r="T475" s="11">
        <v>25.893506469999998</v>
      </c>
      <c r="U475" s="11">
        <v>225.32411680000001</v>
      </c>
      <c r="V475" s="13">
        <v>600320.38060000003</v>
      </c>
      <c r="W475" s="13">
        <v>751438.56</v>
      </c>
      <c r="X475" s="13">
        <v>31.155365</v>
      </c>
      <c r="Y475" s="14">
        <f>+Table1[[#This Row],[Generation Cost 
LCOE (USD/MWh)]]+Table1[[#This Row],[Transmission Cost
LCOT (USD/MWh)]]</f>
        <v>74.060045070000001</v>
      </c>
    </row>
    <row r="476" spans="1:25" x14ac:dyDescent="0.3">
      <c r="A476" s="7">
        <v>475</v>
      </c>
      <c r="B476" s="8">
        <v>6181</v>
      </c>
      <c r="C476" s="9">
        <v>48.972189999999998</v>
      </c>
      <c r="D476" s="9">
        <v>-111.62169</v>
      </c>
      <c r="E476" s="10" t="s">
        <v>42</v>
      </c>
      <c r="F476" s="10" t="s">
        <v>3</v>
      </c>
      <c r="G476" s="10" t="s">
        <v>39</v>
      </c>
      <c r="H476" s="10">
        <v>-7</v>
      </c>
      <c r="I476" s="11">
        <v>1336.3</v>
      </c>
      <c r="J476" s="11">
        <v>3.6402798000000001</v>
      </c>
      <c r="K476" s="11" t="str">
        <f>IF(Table1[[#This Row],[Solar 
Resource]]&lt;3,"Low", IF(Table1[[#This Row],[Solar 
Resource]]&lt;4, "Moderate","High"))</f>
        <v>Moderate</v>
      </c>
      <c r="L476" s="11">
        <v>0.98203706999999996</v>
      </c>
      <c r="M476" s="11">
        <v>26.957770969999999</v>
      </c>
      <c r="N476" s="11">
        <v>865.06273999999996</v>
      </c>
      <c r="O476" s="11">
        <v>1159.184152</v>
      </c>
      <c r="P476" s="11">
        <f>Table1[[#This Row],[Installed Capacity 
(AC -MW)]]/Table1[[#This Row],[Installed Capacity 
(DC -MW)]]</f>
        <v>0.74626860495587588</v>
      </c>
      <c r="Q476" s="12">
        <v>0.22127253999999999</v>
      </c>
      <c r="R476" s="12">
        <v>0.16512878</v>
      </c>
      <c r="S476" s="13">
        <v>43.18840557</v>
      </c>
      <c r="T476" s="11">
        <v>37.6371818</v>
      </c>
      <c r="U476" s="11">
        <v>225.32411680000001</v>
      </c>
      <c r="V476" s="13">
        <v>600320.38060000003</v>
      </c>
      <c r="W476" s="13">
        <v>809063.56</v>
      </c>
      <c r="X476" s="13">
        <v>33.767547999999998</v>
      </c>
      <c r="Y476" s="14">
        <f>+Table1[[#This Row],[Generation Cost 
LCOE (USD/MWh)]]+Table1[[#This Row],[Transmission Cost
LCOT (USD/MWh)]]</f>
        <v>76.955953569999991</v>
      </c>
    </row>
    <row r="477" spans="1:25" x14ac:dyDescent="0.3">
      <c r="A477" s="7">
        <v>476</v>
      </c>
      <c r="B477" s="8">
        <v>6182</v>
      </c>
      <c r="C477" s="9">
        <v>48.988174000000001</v>
      </c>
      <c r="D477" s="9">
        <v>-111.45744000000001</v>
      </c>
      <c r="E477" s="10" t="s">
        <v>42</v>
      </c>
      <c r="F477" s="10" t="s">
        <v>3</v>
      </c>
      <c r="G477" s="10" t="s">
        <v>39</v>
      </c>
      <c r="H477" s="10">
        <v>-7</v>
      </c>
      <c r="I477" s="11">
        <v>1286.2</v>
      </c>
      <c r="J477" s="11">
        <v>3.6485894000000001</v>
      </c>
      <c r="K477" s="11" t="str">
        <f>IF(Table1[[#This Row],[Solar 
Resource]]&lt;3,"Low", IF(Table1[[#This Row],[Solar 
Resource]]&lt;4, "Moderate","High"))</f>
        <v>Moderate</v>
      </c>
      <c r="L477" s="11">
        <v>0.98198116000000002</v>
      </c>
      <c r="M477" s="11">
        <v>41.361518850000003</v>
      </c>
      <c r="N477" s="11">
        <v>1327.272528</v>
      </c>
      <c r="O477" s="11">
        <v>1778.54531</v>
      </c>
      <c r="P477" s="11">
        <f>Table1[[#This Row],[Installed Capacity 
(AC -MW)]]/Table1[[#This Row],[Installed Capacity 
(DC -MW)]]</f>
        <v>0.74626860532442663</v>
      </c>
      <c r="Q477" s="12">
        <v>0.22153811000000001</v>
      </c>
      <c r="R477" s="12">
        <v>0.16532695</v>
      </c>
      <c r="S477" s="13">
        <v>43.134698819999997</v>
      </c>
      <c r="T477" s="11">
        <v>53.53584412</v>
      </c>
      <c r="U477" s="11">
        <v>225.32411680000001</v>
      </c>
      <c r="V477" s="13">
        <v>600320.38060000003</v>
      </c>
      <c r="W477" s="13">
        <v>845808.4</v>
      </c>
      <c r="X477" s="13">
        <v>35.258834999999998</v>
      </c>
      <c r="Y477" s="14">
        <f>+Table1[[#This Row],[Generation Cost 
LCOE (USD/MWh)]]+Table1[[#This Row],[Transmission Cost
LCOT (USD/MWh)]]</f>
        <v>78.393533819999988</v>
      </c>
    </row>
    <row r="478" spans="1:25" x14ac:dyDescent="0.3">
      <c r="A478" s="7">
        <v>477</v>
      </c>
      <c r="B478" s="8">
        <v>6438</v>
      </c>
      <c r="C478" s="9">
        <v>47.445059999999998</v>
      </c>
      <c r="D478" s="9">
        <v>-69.139279999999999</v>
      </c>
      <c r="E478" s="10" t="s">
        <v>42</v>
      </c>
      <c r="F478" s="10" t="s">
        <v>2</v>
      </c>
      <c r="G478" s="10" t="s">
        <v>7</v>
      </c>
      <c r="H478" s="10">
        <v>-5</v>
      </c>
      <c r="I478" s="11">
        <v>298.125</v>
      </c>
      <c r="J478" s="11">
        <v>3.5632758</v>
      </c>
      <c r="K478" s="11" t="str">
        <f>IF(Table1[[#This Row],[Solar 
Resource]]&lt;3,"Low", IF(Table1[[#This Row],[Solar 
Resource]]&lt;4, "Moderate","High"))</f>
        <v>Moderate</v>
      </c>
      <c r="L478" s="11">
        <v>1.0306033000000001</v>
      </c>
      <c r="M478" s="11">
        <v>36.285409420000001</v>
      </c>
      <c r="N478" s="11">
        <v>1164.3823219999999</v>
      </c>
      <c r="O478" s="11">
        <v>1560.2726050000001</v>
      </c>
      <c r="P478" s="11">
        <f>Table1[[#This Row],[Installed Capacity 
(AC -MW)]]/Table1[[#This Row],[Installed Capacity 
(DC -MW)]]</f>
        <v>0.74626851632763225</v>
      </c>
      <c r="Q478" s="12">
        <v>0.20844235</v>
      </c>
      <c r="R478" s="12">
        <v>0.15555398000000001</v>
      </c>
      <c r="S478" s="13">
        <v>47.626687969999999</v>
      </c>
      <c r="T478" s="11">
        <v>333.89401279999998</v>
      </c>
      <c r="U478" s="11">
        <v>331.14019459999997</v>
      </c>
      <c r="V478" s="13">
        <v>2707776.8029999998</v>
      </c>
      <c r="W478" s="13">
        <v>5070727</v>
      </c>
      <c r="X478" s="13">
        <v>224.66150999999999</v>
      </c>
      <c r="Y478" s="14">
        <f>+Table1[[#This Row],[Generation Cost 
LCOE (USD/MWh)]]+Table1[[#This Row],[Transmission Cost
LCOT (USD/MWh)]]</f>
        <v>272.28819797</v>
      </c>
    </row>
    <row r="479" spans="1:25" x14ac:dyDescent="0.3">
      <c r="A479" s="7">
        <v>478</v>
      </c>
      <c r="B479" s="8">
        <v>6443</v>
      </c>
      <c r="C479" s="9">
        <v>47.306609999999999</v>
      </c>
      <c r="D479" s="9">
        <v>-68.363370000000003</v>
      </c>
      <c r="E479" s="10" t="s">
        <v>42</v>
      </c>
      <c r="F479" s="10" t="s">
        <v>2</v>
      </c>
      <c r="G479" s="10" t="s">
        <v>7</v>
      </c>
      <c r="H479" s="10">
        <v>-5</v>
      </c>
      <c r="I479" s="11">
        <v>260.41666670000001</v>
      </c>
      <c r="J479" s="11">
        <v>3.5505211000000001</v>
      </c>
      <c r="K479" s="11" t="str">
        <f>IF(Table1[[#This Row],[Solar 
Resource]]&lt;3,"Low", IF(Table1[[#This Row],[Solar 
Resource]]&lt;4, "Moderate","High"))</f>
        <v>Moderate</v>
      </c>
      <c r="L479" s="11">
        <v>1.0314698</v>
      </c>
      <c r="M479" s="11">
        <v>25.723331760000001</v>
      </c>
      <c r="N479" s="11">
        <v>825.45014119999996</v>
      </c>
      <c r="O479" s="11">
        <v>1106.1032660000001</v>
      </c>
      <c r="P479" s="11">
        <f>Table1[[#This Row],[Installed Capacity 
(AC -MW)]]/Table1[[#This Row],[Installed Capacity 
(DC -MW)]]</f>
        <v>0.74626860490618951</v>
      </c>
      <c r="Q479" s="12">
        <v>0.20771848000000001</v>
      </c>
      <c r="R479" s="12">
        <v>0.15501377999999999</v>
      </c>
      <c r="S479" s="13">
        <v>47.824532349999998</v>
      </c>
      <c r="T479" s="11">
        <v>241.82628560000001</v>
      </c>
      <c r="U479" s="11">
        <v>337.17129199999999</v>
      </c>
      <c r="V479" s="13">
        <v>2750671.6120000002</v>
      </c>
      <c r="W479" s="13">
        <v>4593075</v>
      </c>
      <c r="X479" s="13">
        <v>204.20802</v>
      </c>
      <c r="Y479" s="14">
        <f>+Table1[[#This Row],[Generation Cost 
LCOE (USD/MWh)]]+Table1[[#This Row],[Transmission Cost
LCOT (USD/MWh)]]</f>
        <v>252.03255235</v>
      </c>
    </row>
    <row r="480" spans="1:25" x14ac:dyDescent="0.3">
      <c r="A480" s="7">
        <v>479</v>
      </c>
      <c r="B480" s="8">
        <v>6444</v>
      </c>
      <c r="C480" s="9">
        <v>47.278460000000003</v>
      </c>
      <c r="D480" s="9">
        <v>-68.208629999999999</v>
      </c>
      <c r="E480" s="10" t="s">
        <v>42</v>
      </c>
      <c r="F480" s="10" t="s">
        <v>2</v>
      </c>
      <c r="G480" s="10" t="s">
        <v>7</v>
      </c>
      <c r="H480" s="10">
        <v>-5</v>
      </c>
      <c r="I480" s="11">
        <v>230.8666667</v>
      </c>
      <c r="J480" s="11">
        <v>3.5504115000000001</v>
      </c>
      <c r="K480" s="11" t="str">
        <f>IF(Table1[[#This Row],[Solar 
Resource]]&lt;3,"Low", IF(Table1[[#This Row],[Solar 
Resource]]&lt;4, "Moderate","High"))</f>
        <v>Moderate</v>
      </c>
      <c r="L480" s="11">
        <v>1.0317335999999999</v>
      </c>
      <c r="M480" s="11">
        <v>51.895810109999999</v>
      </c>
      <c r="N480" s="11">
        <v>1665.3131940000001</v>
      </c>
      <c r="O480" s="11">
        <v>2231.5198350000001</v>
      </c>
      <c r="P480" s="11">
        <f>Table1[[#This Row],[Installed Capacity 
(AC -MW)]]/Table1[[#This Row],[Installed Capacity 
(DC -MW)]]</f>
        <v>0.74626860486767754</v>
      </c>
      <c r="Q480" s="12">
        <v>0.20810799999999999</v>
      </c>
      <c r="R480" s="12">
        <v>0.15530447999999999</v>
      </c>
      <c r="S480" s="13">
        <v>47.744695839999999</v>
      </c>
      <c r="T480" s="11">
        <v>214.90924659999999</v>
      </c>
      <c r="U480" s="11">
        <v>344.12422700000002</v>
      </c>
      <c r="V480" s="13">
        <v>2806523.0419999999</v>
      </c>
      <c r="W480" s="13">
        <v>4505066</v>
      </c>
      <c r="X480" s="13">
        <v>199.92026999999999</v>
      </c>
      <c r="Y480" s="14">
        <f>+Table1[[#This Row],[Generation Cost 
LCOE (USD/MWh)]]+Table1[[#This Row],[Transmission Cost
LCOT (USD/MWh)]]</f>
        <v>247.66496583999998</v>
      </c>
    </row>
    <row r="481" spans="1:25" x14ac:dyDescent="0.3">
      <c r="A481" s="7">
        <v>480</v>
      </c>
      <c r="B481" s="8">
        <v>6445</v>
      </c>
      <c r="C481" s="9">
        <v>47.250163999999998</v>
      </c>
      <c r="D481" s="9">
        <v>-68.054053999999994</v>
      </c>
      <c r="E481" s="10" t="s">
        <v>42</v>
      </c>
      <c r="F481" s="10" t="s">
        <v>2</v>
      </c>
      <c r="G481" s="10" t="s">
        <v>7</v>
      </c>
      <c r="H481" s="10">
        <v>-5</v>
      </c>
      <c r="I481" s="11">
        <v>203.66666670000001</v>
      </c>
      <c r="J481" s="11">
        <v>3.5571985000000002</v>
      </c>
      <c r="K481" s="11" t="str">
        <f>IF(Table1[[#This Row],[Solar 
Resource]]&lt;3,"Low", IF(Table1[[#This Row],[Solar 
Resource]]&lt;4, "Moderate","High"))</f>
        <v>Moderate</v>
      </c>
      <c r="L481" s="11">
        <v>1.0318456</v>
      </c>
      <c r="M481" s="11">
        <v>29.307581760000001</v>
      </c>
      <c r="N481" s="11">
        <v>940.46722269999998</v>
      </c>
      <c r="O481" s="11">
        <v>1260.2260160000001</v>
      </c>
      <c r="P481" s="11">
        <f>Table1[[#This Row],[Installed Capacity 
(AC -MW)]]/Table1[[#This Row],[Installed Capacity 
(DC -MW)]]</f>
        <v>0.74626869367851545</v>
      </c>
      <c r="Q481" s="12">
        <v>0.20976402</v>
      </c>
      <c r="R481" s="12">
        <v>0.15654029</v>
      </c>
      <c r="S481" s="13">
        <v>47.371851790000001</v>
      </c>
      <c r="T481" s="11">
        <v>199.46698040000001</v>
      </c>
      <c r="U481" s="11">
        <v>344.12422700000002</v>
      </c>
      <c r="V481" s="13">
        <v>2806523.0419999999</v>
      </c>
      <c r="W481" s="13">
        <v>4346756.5</v>
      </c>
      <c r="X481" s="13">
        <v>191.37215</v>
      </c>
      <c r="Y481" s="14">
        <f>+Table1[[#This Row],[Generation Cost 
LCOE (USD/MWh)]]+Table1[[#This Row],[Transmission Cost
LCOT (USD/MWh)]]</f>
        <v>238.74400179</v>
      </c>
    </row>
    <row r="482" spans="1:25" x14ac:dyDescent="0.3">
      <c r="A482" s="7">
        <v>481</v>
      </c>
      <c r="B482" s="8">
        <v>6482</v>
      </c>
      <c r="C482" s="9">
        <v>47.104247999999998</v>
      </c>
      <c r="D482" s="9">
        <v>-124.18321</v>
      </c>
      <c r="E482" s="10" t="s">
        <v>42</v>
      </c>
      <c r="F482" s="10" t="s">
        <v>4</v>
      </c>
      <c r="G482" s="10" t="s">
        <v>18</v>
      </c>
      <c r="H482" s="10">
        <v>-8</v>
      </c>
      <c r="I482" s="11">
        <v>24.25</v>
      </c>
      <c r="J482" s="11">
        <v>3.2089650000000001</v>
      </c>
      <c r="K482" s="11" t="str">
        <f>IF(Table1[[#This Row],[Solar 
Resource]]&lt;3,"Low", IF(Table1[[#This Row],[Solar 
Resource]]&lt;4, "Moderate","High"))</f>
        <v>Moderate</v>
      </c>
      <c r="L482" s="11">
        <v>1.0208455000000001</v>
      </c>
      <c r="M482" s="11">
        <v>30.10381216</v>
      </c>
      <c r="N482" s="11">
        <v>966.017786</v>
      </c>
      <c r="O482" s="11">
        <v>1294.463923</v>
      </c>
      <c r="P482" s="11">
        <f>Table1[[#This Row],[Installed Capacity 
(AC -MW)]]/Table1[[#This Row],[Installed Capacity 
(DC -MW)]]</f>
        <v>0.74626860496907022</v>
      </c>
      <c r="Q482" s="12">
        <v>0.18623108999999999</v>
      </c>
      <c r="R482" s="12">
        <v>0.13897839000000001</v>
      </c>
      <c r="S482" s="13">
        <v>52.906738439999998</v>
      </c>
      <c r="T482" s="11">
        <v>8.1783051919999998</v>
      </c>
      <c r="U482" s="11">
        <v>244.79454530000001</v>
      </c>
      <c r="V482" s="13">
        <v>848902.56389999995</v>
      </c>
      <c r="W482" s="13">
        <v>890601.2</v>
      </c>
      <c r="X482" s="13">
        <v>44.164720000000003</v>
      </c>
      <c r="Y482" s="14">
        <f>+Table1[[#This Row],[Generation Cost 
LCOE (USD/MWh)]]+Table1[[#This Row],[Transmission Cost
LCOT (USD/MWh)]]</f>
        <v>97.071458440000001</v>
      </c>
    </row>
    <row r="483" spans="1:25" x14ac:dyDescent="0.3">
      <c r="A483" s="7">
        <v>482</v>
      </c>
      <c r="B483" s="8">
        <v>6483</v>
      </c>
      <c r="C483" s="9">
        <v>47.132779999999997</v>
      </c>
      <c r="D483" s="9">
        <v>-124.029144</v>
      </c>
      <c r="E483" s="10" t="s">
        <v>42</v>
      </c>
      <c r="F483" s="10" t="s">
        <v>4</v>
      </c>
      <c r="G483" s="10" t="s">
        <v>18</v>
      </c>
      <c r="H483" s="10">
        <v>-8</v>
      </c>
      <c r="I483" s="11">
        <v>49.888888889999997</v>
      </c>
      <c r="J483" s="11">
        <v>3.1492306999999999</v>
      </c>
      <c r="K483" s="11" t="str">
        <f>IF(Table1[[#This Row],[Solar 
Resource]]&lt;3,"Low", IF(Table1[[#This Row],[Solar 
Resource]]&lt;4, "Moderate","High"))</f>
        <v>Moderate</v>
      </c>
      <c r="L483" s="11">
        <v>1.0207352999999999</v>
      </c>
      <c r="M483" s="11">
        <v>59.970133740000001</v>
      </c>
      <c r="N483" s="11">
        <v>1924.414606</v>
      </c>
      <c r="O483" s="11">
        <v>2578.7157510000002</v>
      </c>
      <c r="P483" s="11">
        <f>Table1[[#This Row],[Installed Capacity 
(AC -MW)]]/Table1[[#This Row],[Installed Capacity 
(DC -MW)]]</f>
        <v>0.74626860492620462</v>
      </c>
      <c r="Q483" s="12">
        <v>0.18190698</v>
      </c>
      <c r="R483" s="12">
        <v>0.13575149</v>
      </c>
      <c r="S483" s="13">
        <v>54.159735849999997</v>
      </c>
      <c r="T483" s="11">
        <v>1.0336753240000001</v>
      </c>
      <c r="U483" s="11">
        <v>246.39380510000001</v>
      </c>
      <c r="V483" s="13">
        <v>848462.37399999995</v>
      </c>
      <c r="W483" s="13">
        <v>895499.06</v>
      </c>
      <c r="X483" s="13">
        <v>45.46322</v>
      </c>
      <c r="Y483" s="14">
        <f>+Table1[[#This Row],[Generation Cost 
LCOE (USD/MWh)]]+Table1[[#This Row],[Transmission Cost
LCOT (USD/MWh)]]</f>
        <v>99.622955849999997</v>
      </c>
    </row>
    <row r="484" spans="1:25" x14ac:dyDescent="0.3">
      <c r="A484" s="7">
        <v>483</v>
      </c>
      <c r="B484" s="8">
        <v>6484</v>
      </c>
      <c r="C484" s="9">
        <v>47.161149999999999</v>
      </c>
      <c r="D484" s="9">
        <v>-123.87492</v>
      </c>
      <c r="E484" s="10" t="s">
        <v>42</v>
      </c>
      <c r="F484" s="10" t="s">
        <v>4</v>
      </c>
      <c r="G484" s="10" t="s">
        <v>18</v>
      </c>
      <c r="H484" s="10">
        <v>-8</v>
      </c>
      <c r="I484" s="11">
        <v>89.052631579999996</v>
      </c>
      <c r="J484" s="11">
        <v>3.1083796000000001</v>
      </c>
      <c r="K484" s="11" t="str">
        <f>IF(Table1[[#This Row],[Solar 
Resource]]&lt;3,"Low", IF(Table1[[#This Row],[Solar 
Resource]]&lt;4, "Moderate","High"))</f>
        <v>Moderate</v>
      </c>
      <c r="L484" s="11">
        <v>1.0206299000000001</v>
      </c>
      <c r="M484" s="11">
        <v>62.96057227</v>
      </c>
      <c r="N484" s="11">
        <v>2020.3761930000001</v>
      </c>
      <c r="O484" s="11">
        <v>2707.304607</v>
      </c>
      <c r="P484" s="11">
        <f>Table1[[#This Row],[Installed Capacity 
(AC -MW)]]/Table1[[#This Row],[Installed Capacity 
(DC -MW)]]</f>
        <v>0.74626851658144433</v>
      </c>
      <c r="Q484" s="12">
        <v>0.17856695</v>
      </c>
      <c r="R484" s="12">
        <v>0.13325891000000001</v>
      </c>
      <c r="S484" s="13">
        <v>55.168271480000001</v>
      </c>
      <c r="T484" s="11">
        <v>0.09</v>
      </c>
      <c r="U484" s="11">
        <v>266.91444790000003</v>
      </c>
      <c r="V484" s="13">
        <v>929107.90480000002</v>
      </c>
      <c r="W484" s="13">
        <v>965014.9</v>
      </c>
      <c r="X484" s="13">
        <v>49.908825</v>
      </c>
      <c r="Y484" s="14">
        <f>+Table1[[#This Row],[Generation Cost 
LCOE (USD/MWh)]]+Table1[[#This Row],[Transmission Cost
LCOT (USD/MWh)]]</f>
        <v>105.07709647999999</v>
      </c>
    </row>
    <row r="485" spans="1:25" x14ac:dyDescent="0.3">
      <c r="A485" s="7">
        <v>484</v>
      </c>
      <c r="B485" s="8">
        <v>6485</v>
      </c>
      <c r="C485" s="9">
        <v>47.189377</v>
      </c>
      <c r="D485" s="9">
        <v>-123.72055</v>
      </c>
      <c r="E485" s="10" t="s">
        <v>42</v>
      </c>
      <c r="F485" s="10" t="s">
        <v>4</v>
      </c>
      <c r="G485" s="10" t="s">
        <v>18</v>
      </c>
      <c r="H485" s="10">
        <v>-8</v>
      </c>
      <c r="I485" s="11">
        <v>145.25</v>
      </c>
      <c r="J485" s="11">
        <v>3.1170779999999998</v>
      </c>
      <c r="K485" s="11" t="str">
        <f>IF(Table1[[#This Row],[Solar 
Resource]]&lt;3,"Low", IF(Table1[[#This Row],[Solar 
Resource]]&lt;4, "Moderate","High"))</f>
        <v>Moderate</v>
      </c>
      <c r="L485" s="11">
        <v>1.0205747000000001</v>
      </c>
      <c r="M485" s="11">
        <v>46.865627050000001</v>
      </c>
      <c r="N485" s="11">
        <v>1503.8967050000001</v>
      </c>
      <c r="O485" s="11">
        <v>2015.221963</v>
      </c>
      <c r="P485" s="11">
        <f>Table1[[#This Row],[Installed Capacity 
(AC -MW)]]/Table1[[#This Row],[Installed Capacity 
(DC -MW)]]</f>
        <v>0.74626851662592775</v>
      </c>
      <c r="Q485" s="12">
        <v>0.17855515</v>
      </c>
      <c r="R485" s="12">
        <v>0.13325010000000001</v>
      </c>
      <c r="S485" s="13">
        <v>55.169558049999999</v>
      </c>
      <c r="T485" s="11">
        <v>11.717636349999999</v>
      </c>
      <c r="U485" s="11">
        <v>273.82370759999998</v>
      </c>
      <c r="V485" s="13">
        <v>957072.37930000003</v>
      </c>
      <c r="W485" s="13">
        <v>1080173.2</v>
      </c>
      <c r="X485" s="13">
        <v>55.868299999999998</v>
      </c>
      <c r="Y485" s="14">
        <f>+Table1[[#This Row],[Generation Cost 
LCOE (USD/MWh)]]+Table1[[#This Row],[Transmission Cost
LCOT (USD/MWh)]]</f>
        <v>111.03785805</v>
      </c>
    </row>
    <row r="486" spans="1:25" x14ac:dyDescent="0.3">
      <c r="A486" s="7">
        <v>485</v>
      </c>
      <c r="B486" s="8">
        <v>6486</v>
      </c>
      <c r="C486" s="9">
        <v>47.217452999999999</v>
      </c>
      <c r="D486" s="9">
        <v>-123.566025</v>
      </c>
      <c r="E486" s="10" t="s">
        <v>42</v>
      </c>
      <c r="F486" s="10" t="s">
        <v>4</v>
      </c>
      <c r="G486" s="10" t="s">
        <v>18</v>
      </c>
      <c r="H486" s="10">
        <v>-8</v>
      </c>
      <c r="I486" s="11">
        <v>160.2777778</v>
      </c>
      <c r="J486" s="11">
        <v>3.1605237000000002</v>
      </c>
      <c r="K486" s="11" t="str">
        <f>IF(Table1[[#This Row],[Solar 
Resource]]&lt;3,"Low", IF(Table1[[#This Row],[Solar 
Resource]]&lt;4, "Moderate","High"))</f>
        <v>Moderate</v>
      </c>
      <c r="L486" s="11">
        <v>1.0205580999999999</v>
      </c>
      <c r="M486" s="11">
        <v>57.66463169</v>
      </c>
      <c r="N486" s="11">
        <v>1850.431863</v>
      </c>
      <c r="O486" s="11">
        <v>2479.5791629999999</v>
      </c>
      <c r="P486" s="11">
        <f>Table1[[#This Row],[Installed Capacity 
(AC -MW)]]/Table1[[#This Row],[Installed Capacity 
(DC -MW)]]</f>
        <v>0.74626851629177049</v>
      </c>
      <c r="Q486" s="12">
        <v>0.18066447999999999</v>
      </c>
      <c r="R486" s="12">
        <v>0.13482422999999999</v>
      </c>
      <c r="S486" s="13">
        <v>54.524726450000003</v>
      </c>
      <c r="T486" s="11">
        <v>23.84159739</v>
      </c>
      <c r="U486" s="11">
        <v>273.82370759999998</v>
      </c>
      <c r="V486" s="13">
        <v>957072.37930000003</v>
      </c>
      <c r="W486" s="13">
        <v>1135147.5</v>
      </c>
      <c r="X486" s="13">
        <v>58.026173</v>
      </c>
      <c r="Y486" s="14">
        <f>+Table1[[#This Row],[Generation Cost 
LCOE (USD/MWh)]]+Table1[[#This Row],[Transmission Cost
LCOT (USD/MWh)]]</f>
        <v>112.55089945</v>
      </c>
    </row>
    <row r="487" spans="1:25" x14ac:dyDescent="0.3">
      <c r="A487" s="7">
        <v>486</v>
      </c>
      <c r="B487" s="8">
        <v>6487</v>
      </c>
      <c r="C487" s="9">
        <v>47.245376999999998</v>
      </c>
      <c r="D487" s="9">
        <v>-123.41135</v>
      </c>
      <c r="E487" s="10" t="s">
        <v>42</v>
      </c>
      <c r="F487" s="10" t="s">
        <v>4</v>
      </c>
      <c r="G487" s="10" t="s">
        <v>28</v>
      </c>
      <c r="H487" s="10">
        <v>-8</v>
      </c>
      <c r="I487" s="11">
        <v>169.05555559999999</v>
      </c>
      <c r="J487" s="11">
        <v>3.1965629999999998</v>
      </c>
      <c r="K487" s="11" t="str">
        <f>IF(Table1[[#This Row],[Solar 
Resource]]&lt;3,"Low", IF(Table1[[#This Row],[Solar 
Resource]]&lt;4, "Moderate","High"))</f>
        <v>Moderate</v>
      </c>
      <c r="L487" s="11">
        <v>1.0205723</v>
      </c>
      <c r="M487" s="11">
        <v>69.682433200000006</v>
      </c>
      <c r="N487" s="11">
        <v>2236.0779259999999</v>
      </c>
      <c r="O487" s="11">
        <v>2996.3446279999998</v>
      </c>
      <c r="P487" s="11">
        <f>Table1[[#This Row],[Installed Capacity 
(AC -MW)]]/Table1[[#This Row],[Installed Capacity 
(DC -MW)]]</f>
        <v>0.74626860512121307</v>
      </c>
      <c r="Q487" s="12">
        <v>0.18161374</v>
      </c>
      <c r="R487" s="12">
        <v>0.13553265</v>
      </c>
      <c r="S487" s="13">
        <v>54.240328570000003</v>
      </c>
      <c r="T487" s="11">
        <v>19.31491557</v>
      </c>
      <c r="U487" s="11">
        <v>181.3842856</v>
      </c>
      <c r="V487" s="13">
        <v>574410.10320000001</v>
      </c>
      <c r="W487" s="13">
        <v>700365.2</v>
      </c>
      <c r="X487" s="13">
        <v>35.613959999999999</v>
      </c>
      <c r="Y487" s="14">
        <f>+Table1[[#This Row],[Generation Cost 
LCOE (USD/MWh)]]+Table1[[#This Row],[Transmission Cost
LCOT (USD/MWh)]]</f>
        <v>89.854288569999994</v>
      </c>
    </row>
    <row r="488" spans="1:25" x14ac:dyDescent="0.3">
      <c r="A488" s="7">
        <v>487</v>
      </c>
      <c r="B488" s="8">
        <v>6488</v>
      </c>
      <c r="C488" s="9">
        <v>47.273147999999999</v>
      </c>
      <c r="D488" s="9">
        <v>-123.256516</v>
      </c>
      <c r="E488" s="10" t="s">
        <v>42</v>
      </c>
      <c r="F488" s="10" t="s">
        <v>4</v>
      </c>
      <c r="G488" s="10" t="s">
        <v>28</v>
      </c>
      <c r="H488" s="10">
        <v>-8</v>
      </c>
      <c r="I488" s="11">
        <v>152.4210526</v>
      </c>
      <c r="J488" s="11">
        <v>3.3006039</v>
      </c>
      <c r="K488" s="11" t="str">
        <f>IF(Table1[[#This Row],[Solar 
Resource]]&lt;3,"Low", IF(Table1[[#This Row],[Solar 
Resource]]&lt;4, "Moderate","High"))</f>
        <v>Moderate</v>
      </c>
      <c r="L488" s="11">
        <v>1.0206280999999999</v>
      </c>
      <c r="M488" s="11">
        <v>72.687216800000002</v>
      </c>
      <c r="N488" s="11">
        <v>2332.4998019999998</v>
      </c>
      <c r="O488" s="11">
        <v>3125.5503220000001</v>
      </c>
      <c r="P488" s="11">
        <f>Table1[[#This Row],[Installed Capacity 
(AC -MW)]]/Table1[[#This Row],[Installed Capacity 
(DC -MW)]]</f>
        <v>0.74626851648559056</v>
      </c>
      <c r="Q488" s="12">
        <v>0.18762936</v>
      </c>
      <c r="R488" s="12">
        <v>0.1400219</v>
      </c>
      <c r="S488" s="13">
        <v>52.503587420000002</v>
      </c>
      <c r="T488" s="11">
        <v>6.378305192</v>
      </c>
      <c r="U488" s="11">
        <v>181.3842856</v>
      </c>
      <c r="V488" s="13">
        <v>574410.10320000001</v>
      </c>
      <c r="W488" s="13">
        <v>647122.75</v>
      </c>
      <c r="X488" s="13">
        <v>31.85153</v>
      </c>
      <c r="Y488" s="14">
        <f>+Table1[[#This Row],[Generation Cost 
LCOE (USD/MWh)]]+Table1[[#This Row],[Transmission Cost
LCOT (USD/MWh)]]</f>
        <v>84.355117419999999</v>
      </c>
    </row>
    <row r="489" spans="1:25" x14ac:dyDescent="0.3">
      <c r="A489" s="7">
        <v>488</v>
      </c>
      <c r="B489" s="8">
        <v>6489</v>
      </c>
      <c r="C489" s="9">
        <v>47.300761999999999</v>
      </c>
      <c r="D489" s="9">
        <v>-123.10154</v>
      </c>
      <c r="E489" s="10" t="s">
        <v>42</v>
      </c>
      <c r="F489" s="10" t="s">
        <v>4</v>
      </c>
      <c r="G489" s="10" t="s">
        <v>28</v>
      </c>
      <c r="H489" s="10">
        <v>-8</v>
      </c>
      <c r="I489" s="11">
        <v>81.352941180000002</v>
      </c>
      <c r="J489" s="11">
        <v>3.3346577000000002</v>
      </c>
      <c r="K489" s="11" t="str">
        <f>IF(Table1[[#This Row],[Solar 
Resource]]&lt;3,"Low", IF(Table1[[#This Row],[Solar 
Resource]]&lt;4, "Moderate","High"))</f>
        <v>Moderate</v>
      </c>
      <c r="L489" s="11">
        <v>1.0207286</v>
      </c>
      <c r="M489" s="11">
        <v>51.370199999999997</v>
      </c>
      <c r="N489" s="11">
        <v>1648.446602</v>
      </c>
      <c r="O489" s="11">
        <v>2208.9186</v>
      </c>
      <c r="P489" s="11">
        <f>Table1[[#This Row],[Installed Capacity 
(AC -MW)]]/Table1[[#This Row],[Installed Capacity 
(DC -MW)]]</f>
        <v>0.74626860491826186</v>
      </c>
      <c r="Q489" s="12">
        <v>0.18922861999999999</v>
      </c>
      <c r="R489" s="12">
        <v>0.14121538</v>
      </c>
      <c r="S489" s="13">
        <v>52.063925009999998</v>
      </c>
      <c r="T489" s="11">
        <v>7.5366103830000002</v>
      </c>
      <c r="U489" s="11">
        <v>180.76598039999999</v>
      </c>
      <c r="V489" s="13">
        <v>572511.23829999997</v>
      </c>
      <c r="W489" s="13">
        <v>648965.06000000006</v>
      </c>
      <c r="X489" s="13">
        <v>31.672249000000001</v>
      </c>
      <c r="Y489" s="14">
        <f>+Table1[[#This Row],[Generation Cost 
LCOE (USD/MWh)]]+Table1[[#This Row],[Transmission Cost
LCOT (USD/MWh)]]</f>
        <v>83.736174009999999</v>
      </c>
    </row>
    <row r="490" spans="1:25" x14ac:dyDescent="0.3">
      <c r="A490" s="7">
        <v>489</v>
      </c>
      <c r="B490" s="8">
        <v>6490</v>
      </c>
      <c r="C490" s="9">
        <v>47.328229999999998</v>
      </c>
      <c r="D490" s="9">
        <v>-122.94642</v>
      </c>
      <c r="E490" s="10" t="s">
        <v>42</v>
      </c>
      <c r="F490" s="10" t="s">
        <v>4</v>
      </c>
      <c r="G490" s="10" t="s">
        <v>28</v>
      </c>
      <c r="H490" s="10">
        <v>-8</v>
      </c>
      <c r="I490" s="11">
        <v>72.125</v>
      </c>
      <c r="J490" s="11">
        <v>3.3191757000000002</v>
      </c>
      <c r="K490" s="11" t="str">
        <f>IF(Table1[[#This Row],[Solar 
Resource]]&lt;3,"Low", IF(Table1[[#This Row],[Solar 
Resource]]&lt;4, "Moderate","High"))</f>
        <v>Moderate</v>
      </c>
      <c r="L490" s="11">
        <v>1.0208497999999999</v>
      </c>
      <c r="M490" s="11">
        <v>60.436686620000003</v>
      </c>
      <c r="N490" s="11">
        <v>1939.386309</v>
      </c>
      <c r="O490" s="11">
        <v>2598.777525</v>
      </c>
      <c r="P490" s="11">
        <f>Table1[[#This Row],[Installed Capacity 
(AC -MW)]]/Table1[[#This Row],[Installed Capacity 
(DC -MW)]]</f>
        <v>0.7462686937774714</v>
      </c>
      <c r="Q490" s="12">
        <v>0.18826635</v>
      </c>
      <c r="R490" s="12">
        <v>0.14049728</v>
      </c>
      <c r="S490" s="13">
        <v>52.334947</v>
      </c>
      <c r="T490" s="11">
        <v>0.77911688199999996</v>
      </c>
      <c r="U490" s="11">
        <v>189.3453116</v>
      </c>
      <c r="V490" s="13">
        <v>602371.35690000001</v>
      </c>
      <c r="W490" s="13">
        <v>646653.75</v>
      </c>
      <c r="X490" s="13">
        <v>31.720755</v>
      </c>
      <c r="Y490" s="14">
        <f>+Table1[[#This Row],[Generation Cost 
LCOE (USD/MWh)]]+Table1[[#This Row],[Transmission Cost
LCOT (USD/MWh)]]</f>
        <v>84.055701999999997</v>
      </c>
    </row>
    <row r="491" spans="1:25" x14ac:dyDescent="0.3">
      <c r="A491" s="7">
        <v>490</v>
      </c>
      <c r="B491" s="8">
        <v>6491</v>
      </c>
      <c r="C491" s="9">
        <v>47.355539999999998</v>
      </c>
      <c r="D491" s="9">
        <v>-122.79114</v>
      </c>
      <c r="E491" s="10" t="s">
        <v>42</v>
      </c>
      <c r="F491" s="10" t="s">
        <v>4</v>
      </c>
      <c r="G491" s="10" t="s">
        <v>32</v>
      </c>
      <c r="H491" s="10">
        <v>-8</v>
      </c>
      <c r="I491" s="11">
        <v>60.92307692</v>
      </c>
      <c r="J491" s="11">
        <v>3.3019466</v>
      </c>
      <c r="K491" s="11" t="str">
        <f>IF(Table1[[#This Row],[Solar 
Resource]]&lt;3,"Low", IF(Table1[[#This Row],[Solar 
Resource]]&lt;4, "Moderate","High"))</f>
        <v>Moderate</v>
      </c>
      <c r="L491" s="11">
        <v>1.0209701</v>
      </c>
      <c r="M491" s="11">
        <v>30.338387839999999</v>
      </c>
      <c r="N491" s="11">
        <v>973.54521409999995</v>
      </c>
      <c r="O491" s="11">
        <v>1304.550677</v>
      </c>
      <c r="P491" s="11">
        <f>Table1[[#This Row],[Installed Capacity 
(AC -MW)]]/Table1[[#This Row],[Installed Capacity 
(DC -MW)]]</f>
        <v>0.74626860517125004</v>
      </c>
      <c r="Q491" s="12">
        <v>0.18802293</v>
      </c>
      <c r="R491" s="12">
        <v>0.14031560000000001</v>
      </c>
      <c r="S491" s="13">
        <v>52.407593060000004</v>
      </c>
      <c r="T491" s="11">
        <v>4.1682337650000001</v>
      </c>
      <c r="U491" s="11">
        <v>214.55874660000001</v>
      </c>
      <c r="V491" s="13">
        <v>712385.70570000005</v>
      </c>
      <c r="W491" s="13">
        <v>764105</v>
      </c>
      <c r="X491" s="13">
        <v>37.530697000000004</v>
      </c>
      <c r="Y491" s="14">
        <f>+Table1[[#This Row],[Generation Cost 
LCOE (USD/MWh)]]+Table1[[#This Row],[Transmission Cost
LCOT (USD/MWh)]]</f>
        <v>89.938290060000014</v>
      </c>
    </row>
    <row r="492" spans="1:25" x14ac:dyDescent="0.3">
      <c r="A492" s="7">
        <v>491</v>
      </c>
      <c r="B492" s="8">
        <v>6492</v>
      </c>
      <c r="C492" s="9">
        <v>47.3827</v>
      </c>
      <c r="D492" s="9">
        <v>-122.63572000000001</v>
      </c>
      <c r="E492" s="10" t="s">
        <v>42</v>
      </c>
      <c r="F492" s="10" t="s">
        <v>4</v>
      </c>
      <c r="G492" s="10" t="s">
        <v>23</v>
      </c>
      <c r="H492" s="10">
        <v>-8</v>
      </c>
      <c r="I492" s="11">
        <v>78</v>
      </c>
      <c r="J492" s="11">
        <v>3.3091279999999998</v>
      </c>
      <c r="K492" s="11" t="str">
        <f>IF(Table1[[#This Row],[Solar 
Resource]]&lt;3,"Low", IF(Table1[[#This Row],[Solar 
Resource]]&lt;4, "Moderate","High"))</f>
        <v>Moderate</v>
      </c>
      <c r="L492" s="11">
        <v>1.0210745000000001</v>
      </c>
      <c r="M492" s="11">
        <v>20.040614210000001</v>
      </c>
      <c r="N492" s="11">
        <v>643.09429209999996</v>
      </c>
      <c r="O492" s="11">
        <v>861.74641099999997</v>
      </c>
      <c r="P492" s="11">
        <f>Table1[[#This Row],[Installed Capacity 
(AC -MW)]]/Table1[[#This Row],[Installed Capacity 
(DC -MW)]]</f>
        <v>0.74626860511520021</v>
      </c>
      <c r="Q492" s="12">
        <v>0.18901636999999999</v>
      </c>
      <c r="R492" s="12">
        <v>0.14105699999999999</v>
      </c>
      <c r="S492" s="13">
        <v>52.136369369999997</v>
      </c>
      <c r="T492" s="11">
        <v>0.21727922099999999</v>
      </c>
      <c r="U492" s="11">
        <v>216.12602580000001</v>
      </c>
      <c r="V492" s="13">
        <v>723768.34030000004</v>
      </c>
      <c r="W492" s="13">
        <v>760162.8</v>
      </c>
      <c r="X492" s="13">
        <v>37.140830000000001</v>
      </c>
      <c r="Y492" s="14">
        <f>+Table1[[#This Row],[Generation Cost 
LCOE (USD/MWh)]]+Table1[[#This Row],[Transmission Cost
LCOT (USD/MWh)]]</f>
        <v>89.277199370000005</v>
      </c>
    </row>
    <row r="493" spans="1:25" x14ac:dyDescent="0.3">
      <c r="A493" s="7">
        <v>492</v>
      </c>
      <c r="B493" s="8">
        <v>6493</v>
      </c>
      <c r="C493" s="9">
        <v>47.409709999999997</v>
      </c>
      <c r="D493" s="9">
        <v>-122.48014999999999</v>
      </c>
      <c r="E493" s="10" t="s">
        <v>42</v>
      </c>
      <c r="F493" s="10" t="s">
        <v>4</v>
      </c>
      <c r="G493" s="10" t="s">
        <v>23</v>
      </c>
      <c r="H493" s="10">
        <v>-8</v>
      </c>
      <c r="I493" s="11">
        <v>80.333333330000002</v>
      </c>
      <c r="J493" s="11">
        <v>3.3025758000000001</v>
      </c>
      <c r="K493" s="11" t="str">
        <f>IF(Table1[[#This Row],[Solar 
Resource]]&lt;3,"Low", IF(Table1[[#This Row],[Solar 
Resource]]&lt;4, "Moderate","High"))</f>
        <v>Moderate</v>
      </c>
      <c r="L493" s="11">
        <v>1.021196</v>
      </c>
      <c r="M493" s="11">
        <v>1.198152109</v>
      </c>
      <c r="N493" s="11">
        <v>38.448162019999998</v>
      </c>
      <c r="O493" s="11">
        <v>51.520540680000003</v>
      </c>
      <c r="P493" s="11">
        <f>Table1[[#This Row],[Installed Capacity 
(AC -MW)]]/Table1[[#This Row],[Installed Capacity 
(DC -MW)]]</f>
        <v>0.746268604959058</v>
      </c>
      <c r="Q493" s="12">
        <v>0.18889885000000001</v>
      </c>
      <c r="R493" s="12">
        <v>0.14096928</v>
      </c>
      <c r="S493" s="13">
        <v>55.618357230000001</v>
      </c>
      <c r="T493" s="11">
        <v>2.8773506470000001</v>
      </c>
      <c r="U493" s="11">
        <v>236.67380510000001</v>
      </c>
      <c r="V493" s="13">
        <v>828349.76569999999</v>
      </c>
      <c r="W493" s="13">
        <v>873080</v>
      </c>
      <c r="X493" s="13">
        <v>42.684395000000002</v>
      </c>
      <c r="Y493" s="14">
        <f>+Table1[[#This Row],[Generation Cost 
LCOE (USD/MWh)]]+Table1[[#This Row],[Transmission Cost
LCOT (USD/MWh)]]</f>
        <v>98.30275223000001</v>
      </c>
    </row>
    <row r="494" spans="1:25" x14ac:dyDescent="0.3">
      <c r="A494" s="7">
        <v>493</v>
      </c>
      <c r="B494" s="8">
        <v>6494</v>
      </c>
      <c r="C494" s="9">
        <v>47.43656</v>
      </c>
      <c r="D494" s="9">
        <v>-122.32443000000001</v>
      </c>
      <c r="E494" s="10" t="s">
        <v>42</v>
      </c>
      <c r="F494" s="10" t="s">
        <v>4</v>
      </c>
      <c r="G494" s="10" t="s">
        <v>22</v>
      </c>
      <c r="H494" s="10">
        <v>-8</v>
      </c>
      <c r="I494" s="11">
        <v>80.090909089999997</v>
      </c>
      <c r="J494" s="11">
        <v>3.3421059999999998</v>
      </c>
      <c r="K494" s="11" t="str">
        <f>IF(Table1[[#This Row],[Solar 
Resource]]&lt;3,"Low", IF(Table1[[#This Row],[Solar 
Resource]]&lt;4, "Moderate","High"))</f>
        <v>Moderate</v>
      </c>
      <c r="L494" s="11">
        <v>1.0212251999999999</v>
      </c>
      <c r="M494" s="11">
        <v>10.584107449999999</v>
      </c>
      <c r="N494" s="11">
        <v>339.63928570000002</v>
      </c>
      <c r="O494" s="11">
        <v>455.1166202</v>
      </c>
      <c r="P494" s="11">
        <f>Table1[[#This Row],[Installed Capacity 
(AC -MW)]]/Table1[[#This Row],[Installed Capacity 
(DC -MW)]]</f>
        <v>0.74626869383663963</v>
      </c>
      <c r="Q494" s="12">
        <v>0.18977298000000001</v>
      </c>
      <c r="R494" s="12">
        <v>0.14162159999999999</v>
      </c>
      <c r="S494" s="13">
        <v>51.934574009999999</v>
      </c>
      <c r="T494" s="11">
        <v>0.68911688199999999</v>
      </c>
      <c r="U494" s="11">
        <v>35.349902579999998</v>
      </c>
      <c r="V494" s="13">
        <v>126319.8815</v>
      </c>
      <c r="W494" s="13">
        <v>147996.1</v>
      </c>
      <c r="X494" s="13">
        <v>7.2021189999999997</v>
      </c>
      <c r="Y494" s="14">
        <f>+Table1[[#This Row],[Generation Cost 
LCOE (USD/MWh)]]+Table1[[#This Row],[Transmission Cost
LCOT (USD/MWh)]]</f>
        <v>59.136693010000002</v>
      </c>
    </row>
    <row r="495" spans="1:25" x14ac:dyDescent="0.3">
      <c r="A495" s="7">
        <v>494</v>
      </c>
      <c r="B495" s="8">
        <v>6495</v>
      </c>
      <c r="C495" s="9">
        <v>47.463264000000002</v>
      </c>
      <c r="D495" s="9">
        <v>-122.16858000000001</v>
      </c>
      <c r="E495" s="10" t="s">
        <v>42</v>
      </c>
      <c r="F495" s="10" t="s">
        <v>4</v>
      </c>
      <c r="G495" s="10" t="s">
        <v>22</v>
      </c>
      <c r="H495" s="10">
        <v>-8</v>
      </c>
      <c r="I495" s="11">
        <v>140.1052632</v>
      </c>
      <c r="J495" s="11">
        <v>3.2211666000000001</v>
      </c>
      <c r="K495" s="11" t="str">
        <f>IF(Table1[[#This Row],[Solar 
Resource]]&lt;3,"Low", IF(Table1[[#This Row],[Solar 
Resource]]&lt;4, "Moderate","High"))</f>
        <v>Moderate</v>
      </c>
      <c r="L495" s="11">
        <v>1.0211984999999999</v>
      </c>
      <c r="M495" s="11">
        <v>10.135934799999999</v>
      </c>
      <c r="N495" s="11">
        <v>325.25758680000001</v>
      </c>
      <c r="O495" s="11">
        <v>435.84519649999999</v>
      </c>
      <c r="P495" s="11">
        <f>Table1[[#This Row],[Installed Capacity 
(AC -MW)]]/Table1[[#This Row],[Installed Capacity 
(DC -MW)]]</f>
        <v>0.74626860502751924</v>
      </c>
      <c r="Q495" s="12">
        <v>0.18215275</v>
      </c>
      <c r="R495" s="12">
        <v>0.13593489</v>
      </c>
      <c r="S495" s="13">
        <v>54.10608311</v>
      </c>
      <c r="T495" s="11">
        <v>1.430954544</v>
      </c>
      <c r="U495" s="11">
        <v>22.466012970000001</v>
      </c>
      <c r="V495" s="13">
        <v>85571.054120000001</v>
      </c>
      <c r="W495" s="13">
        <v>116261.56</v>
      </c>
      <c r="X495" s="13">
        <v>5.8944710000000002</v>
      </c>
      <c r="Y495" s="14">
        <f>+Table1[[#This Row],[Generation Cost 
LCOE (USD/MWh)]]+Table1[[#This Row],[Transmission Cost
LCOT (USD/MWh)]]</f>
        <v>60.000554110000003</v>
      </c>
    </row>
    <row r="496" spans="1:25" x14ac:dyDescent="0.3">
      <c r="A496" s="7">
        <v>495</v>
      </c>
      <c r="B496" s="8">
        <v>6496</v>
      </c>
      <c r="C496" s="9">
        <v>47.489815</v>
      </c>
      <c r="D496" s="9">
        <v>-122.01256600000001</v>
      </c>
      <c r="E496" s="10" t="s">
        <v>42</v>
      </c>
      <c r="F496" s="10" t="s">
        <v>4</v>
      </c>
      <c r="G496" s="10" t="s">
        <v>22</v>
      </c>
      <c r="H496" s="10">
        <v>-8</v>
      </c>
      <c r="I496" s="11">
        <v>283</v>
      </c>
      <c r="J496" s="11">
        <v>3.1056360000000001</v>
      </c>
      <c r="K496" s="11" t="str">
        <f>IF(Table1[[#This Row],[Solar 
Resource]]&lt;3,"Low", IF(Table1[[#This Row],[Solar 
Resource]]&lt;4, "Moderate","High"))</f>
        <v>Moderate</v>
      </c>
      <c r="L496" s="11">
        <v>1.0211006</v>
      </c>
      <c r="M496" s="11">
        <v>10.396916559999999</v>
      </c>
      <c r="N496" s="11">
        <v>333.63241379999999</v>
      </c>
      <c r="O496" s="11">
        <v>447.0674123</v>
      </c>
      <c r="P496" s="11">
        <f>Table1[[#This Row],[Installed Capacity 
(AC -MW)]]/Table1[[#This Row],[Installed Capacity 
(DC -MW)]]</f>
        <v>0.74626869376048233</v>
      </c>
      <c r="Q496" s="12">
        <v>0.17487657000000001</v>
      </c>
      <c r="R496" s="12">
        <v>0.13050487999999999</v>
      </c>
      <c r="S496" s="13">
        <v>56.353050519999996</v>
      </c>
      <c r="T496" s="11">
        <v>2.0827922060000001</v>
      </c>
      <c r="U496" s="11">
        <v>38.525486989999997</v>
      </c>
      <c r="V496" s="13">
        <v>149578.07149999999</v>
      </c>
      <c r="W496" s="13">
        <v>195860.03</v>
      </c>
      <c r="X496" s="13">
        <v>10.343287</v>
      </c>
      <c r="Y496" s="14">
        <f>+Table1[[#This Row],[Generation Cost 
LCOE (USD/MWh)]]+Table1[[#This Row],[Transmission Cost
LCOT (USD/MWh)]]</f>
        <v>66.69633752</v>
      </c>
    </row>
    <row r="497" spans="1:25" x14ac:dyDescent="0.3">
      <c r="A497" s="7">
        <v>496</v>
      </c>
      <c r="B497" s="8">
        <v>6497</v>
      </c>
      <c r="C497" s="9">
        <v>47.516204999999999</v>
      </c>
      <c r="D497" s="9">
        <v>-121.856415</v>
      </c>
      <c r="E497" s="10" t="s">
        <v>42</v>
      </c>
      <c r="F497" s="10" t="s">
        <v>4</v>
      </c>
      <c r="G497" s="10" t="s">
        <v>22</v>
      </c>
      <c r="H497" s="10">
        <v>-8</v>
      </c>
      <c r="I497" s="11">
        <v>302.44444440000001</v>
      </c>
      <c r="J497" s="11">
        <v>3.0547654999999998</v>
      </c>
      <c r="K497" s="11" t="str">
        <f>IF(Table1[[#This Row],[Solar 
Resource]]&lt;3,"Low", IF(Table1[[#This Row],[Solar 
Resource]]&lt;4, "Moderate","High"))</f>
        <v>Moderate</v>
      </c>
      <c r="L497" s="11">
        <v>1.0208793</v>
      </c>
      <c r="M497" s="11">
        <v>18.464031080000002</v>
      </c>
      <c r="N497" s="11">
        <v>592.50244889999999</v>
      </c>
      <c r="O497" s="11">
        <v>793.95333640000001</v>
      </c>
      <c r="P497" s="11">
        <f>Table1[[#This Row],[Installed Capacity 
(AC -MW)]]/Table1[[#This Row],[Installed Capacity 
(DC -MW)]]</f>
        <v>0.74626860513813942</v>
      </c>
      <c r="Q497" s="12">
        <v>0.17124611000000001</v>
      </c>
      <c r="R497" s="12">
        <v>0.12779558999999999</v>
      </c>
      <c r="S497" s="13">
        <v>57.537861220000003</v>
      </c>
      <c r="T497" s="11">
        <v>0.36</v>
      </c>
      <c r="U497" s="11">
        <v>49.02305192</v>
      </c>
      <c r="V497" s="13">
        <v>194976.0784</v>
      </c>
      <c r="W497" s="13">
        <v>236604.17</v>
      </c>
      <c r="X497" s="13">
        <v>12.759865</v>
      </c>
      <c r="Y497" s="14">
        <f>+Table1[[#This Row],[Generation Cost 
LCOE (USD/MWh)]]+Table1[[#This Row],[Transmission Cost
LCOT (USD/MWh)]]</f>
        <v>70.297726220000001</v>
      </c>
    </row>
    <row r="498" spans="1:25" x14ac:dyDescent="0.3">
      <c r="A498" s="7">
        <v>497</v>
      </c>
      <c r="B498" s="8">
        <v>6498</v>
      </c>
      <c r="C498" s="9">
        <v>47.542445999999998</v>
      </c>
      <c r="D498" s="9">
        <v>-121.70012</v>
      </c>
      <c r="E498" s="10" t="s">
        <v>42</v>
      </c>
      <c r="F498" s="10" t="s">
        <v>4</v>
      </c>
      <c r="G498" s="10" t="s">
        <v>22</v>
      </c>
      <c r="H498" s="10">
        <v>-8</v>
      </c>
      <c r="I498" s="11">
        <v>497.2</v>
      </c>
      <c r="J498" s="11">
        <v>2.9886723000000002</v>
      </c>
      <c r="K498" s="11" t="str">
        <f>IF(Table1[[#This Row],[Solar 
Resource]]&lt;3,"Low", IF(Table1[[#This Row],[Solar 
Resource]]&lt;4, "Moderate","High"))</f>
        <v>Low</v>
      </c>
      <c r="L498" s="11">
        <v>1.0201159</v>
      </c>
      <c r="M498" s="11">
        <v>3.3159780400000001</v>
      </c>
      <c r="N498" s="11">
        <v>106.4082305</v>
      </c>
      <c r="O498" s="11">
        <v>142.58705570000001</v>
      </c>
      <c r="P498" s="11">
        <f>Table1[[#This Row],[Installed Capacity 
(AC -MW)]]/Table1[[#This Row],[Installed Capacity 
(DC -MW)]]</f>
        <v>0.74626851629421787</v>
      </c>
      <c r="Q498" s="12">
        <v>0.16851047</v>
      </c>
      <c r="R498" s="12">
        <v>0.12575410000000001</v>
      </c>
      <c r="S498" s="13">
        <v>58.437328579999999</v>
      </c>
      <c r="T498" s="11">
        <v>10.10933116</v>
      </c>
      <c r="U498" s="11">
        <v>53.592311649999999</v>
      </c>
      <c r="V498" s="13">
        <v>215409.48149999999</v>
      </c>
      <c r="W498" s="13">
        <v>319493.71999999997</v>
      </c>
      <c r="X498" s="13">
        <v>17.509744999999999</v>
      </c>
      <c r="Y498" s="14">
        <f>+Table1[[#This Row],[Generation Cost 
LCOE (USD/MWh)]]+Table1[[#This Row],[Transmission Cost
LCOT (USD/MWh)]]</f>
        <v>75.947073579999994</v>
      </c>
    </row>
    <row r="499" spans="1:25" x14ac:dyDescent="0.3">
      <c r="A499" s="7">
        <v>498</v>
      </c>
      <c r="B499" s="8">
        <v>6499</v>
      </c>
      <c r="C499" s="9">
        <v>47.568527000000003</v>
      </c>
      <c r="D499" s="9">
        <v>-121.54368599999999</v>
      </c>
      <c r="E499" s="10" t="s">
        <v>42</v>
      </c>
      <c r="F499" s="10" t="s">
        <v>4</v>
      </c>
      <c r="G499" s="10" t="s">
        <v>22</v>
      </c>
      <c r="H499" s="10">
        <v>-8</v>
      </c>
      <c r="I499" s="11">
        <v>1081</v>
      </c>
      <c r="J499" s="11">
        <v>2.997903</v>
      </c>
      <c r="K499" s="11" t="str">
        <f>IF(Table1[[#This Row],[Solar 
Resource]]&lt;3,"Low", IF(Table1[[#This Row],[Solar 
Resource]]&lt;4, "Moderate","High"))</f>
        <v>Low</v>
      </c>
      <c r="L499" s="11">
        <v>1.0194162</v>
      </c>
      <c r="M499" s="11">
        <v>9.3636002999999995E-2</v>
      </c>
      <c r="N499" s="11">
        <v>3.0047368570000001</v>
      </c>
      <c r="O499" s="11">
        <v>4.0263481460000001</v>
      </c>
      <c r="P499" s="11">
        <f>Table1[[#This Row],[Installed Capacity 
(AC -MW)]]/Table1[[#This Row],[Installed Capacity 
(DC -MW)]]</f>
        <v>0.74626851629436819</v>
      </c>
      <c r="Q499" s="12">
        <v>0.17302598</v>
      </c>
      <c r="R499" s="12">
        <v>0.12912385000000001</v>
      </c>
      <c r="S499" s="13">
        <v>80.577656910000002</v>
      </c>
      <c r="T499" s="11">
        <v>24.055129860000001</v>
      </c>
      <c r="U499" s="11">
        <v>54.628636329999999</v>
      </c>
      <c r="V499" s="13">
        <v>215538.10200000001</v>
      </c>
      <c r="W499" s="13">
        <v>424725.4</v>
      </c>
      <c r="X499" s="13">
        <v>22.669467999999998</v>
      </c>
      <c r="Y499" s="14">
        <f>+Table1[[#This Row],[Generation Cost 
LCOE (USD/MWh)]]+Table1[[#This Row],[Transmission Cost
LCOT (USD/MWh)]]</f>
        <v>103.24712491</v>
      </c>
    </row>
    <row r="500" spans="1:25" x14ac:dyDescent="0.3">
      <c r="A500" s="7">
        <v>499</v>
      </c>
      <c r="B500" s="8">
        <v>6504</v>
      </c>
      <c r="C500" s="9">
        <v>47.696632000000001</v>
      </c>
      <c r="D500" s="9">
        <v>-120.75936</v>
      </c>
      <c r="E500" s="10" t="s">
        <v>42</v>
      </c>
      <c r="F500" s="10" t="s">
        <v>4</v>
      </c>
      <c r="G500" s="10" t="s">
        <v>11</v>
      </c>
      <c r="H500" s="10">
        <v>-8</v>
      </c>
      <c r="I500" s="11">
        <v>875.14285710000001</v>
      </c>
      <c r="J500" s="11">
        <v>3.8608706000000002</v>
      </c>
      <c r="K500" s="11" t="str">
        <f>IF(Table1[[#This Row],[Solar 
Resource]]&lt;3,"Low", IF(Table1[[#This Row],[Solar 
Resource]]&lt;4, "Moderate","High"))</f>
        <v>Moderate</v>
      </c>
      <c r="L500" s="11">
        <v>1.0133296000000001</v>
      </c>
      <c r="M500" s="11">
        <v>0.72349199799999997</v>
      </c>
      <c r="N500" s="11">
        <v>23.21653264</v>
      </c>
      <c r="O500" s="11">
        <v>31.110155890000001</v>
      </c>
      <c r="P500" s="11">
        <f>Table1[[#This Row],[Installed Capacity 
(AC -MW)]]/Table1[[#This Row],[Installed Capacity 
(DC -MW)]]</f>
        <v>0.74626860508476867</v>
      </c>
      <c r="Q500" s="12">
        <v>0.22840907999999999</v>
      </c>
      <c r="R500" s="12">
        <v>0.17045455000000001</v>
      </c>
      <c r="S500" s="13">
        <v>48.290153599999996</v>
      </c>
      <c r="T500" s="11">
        <v>4.5847012950000003</v>
      </c>
      <c r="U500" s="11">
        <v>161.95862980000001</v>
      </c>
      <c r="V500" s="13">
        <v>557024.54480000003</v>
      </c>
      <c r="W500" s="13">
        <v>647279.80000000005</v>
      </c>
      <c r="X500" s="13">
        <v>26.17117</v>
      </c>
      <c r="Y500" s="14">
        <f>+Table1[[#This Row],[Generation Cost 
LCOE (USD/MWh)]]+Table1[[#This Row],[Transmission Cost
LCOT (USD/MWh)]]</f>
        <v>74.4613236</v>
      </c>
    </row>
    <row r="501" spans="1:25" x14ac:dyDescent="0.3">
      <c r="A501" s="7">
        <v>500</v>
      </c>
      <c r="B501" s="8">
        <v>6505</v>
      </c>
      <c r="C501" s="9">
        <v>47.721786000000002</v>
      </c>
      <c r="D501" s="9">
        <v>-120.60207</v>
      </c>
      <c r="E501" s="10" t="s">
        <v>42</v>
      </c>
      <c r="F501" s="10" t="s">
        <v>4</v>
      </c>
      <c r="G501" s="10" t="s">
        <v>11</v>
      </c>
      <c r="H501" s="10">
        <v>-8</v>
      </c>
      <c r="I501" s="11">
        <v>809.33333330000005</v>
      </c>
      <c r="J501" s="11">
        <v>3.9308814999999999</v>
      </c>
      <c r="K501" s="11" t="str">
        <f>IF(Table1[[#This Row],[Solar 
Resource]]&lt;3,"Low", IF(Table1[[#This Row],[Solar 
Resource]]&lt;4, "Moderate","High"))</f>
        <v>Moderate</v>
      </c>
      <c r="L501" s="11">
        <v>1.0116058999999999</v>
      </c>
      <c r="M501" s="11">
        <v>1.4907240690000001</v>
      </c>
      <c r="N501" s="11">
        <v>47.836664579999997</v>
      </c>
      <c r="O501" s="11">
        <v>64.101134979999998</v>
      </c>
      <c r="P501" s="11">
        <f>Table1[[#This Row],[Installed Capacity 
(AC -MW)]]/Table1[[#This Row],[Installed Capacity 
(DC -MW)]]</f>
        <v>0.74626860499311554</v>
      </c>
      <c r="Q501" s="12">
        <v>0.23368480999999999</v>
      </c>
      <c r="R501" s="12">
        <v>0.17439162999999999</v>
      </c>
      <c r="S501" s="13">
        <v>43.581859819999998</v>
      </c>
      <c r="T501" s="11">
        <v>0.21727922099999999</v>
      </c>
      <c r="U501" s="11">
        <v>170.62576609999999</v>
      </c>
      <c r="V501" s="13">
        <v>583624.23430000001</v>
      </c>
      <c r="W501" s="13">
        <v>624047.56000000006</v>
      </c>
      <c r="X501" s="13">
        <v>24.662189999999999</v>
      </c>
      <c r="Y501" s="14">
        <f>+Table1[[#This Row],[Generation Cost 
LCOE (USD/MWh)]]+Table1[[#This Row],[Transmission Cost
LCOT (USD/MWh)]]</f>
        <v>68.244049820000001</v>
      </c>
    </row>
    <row r="502" spans="1:25" x14ac:dyDescent="0.3">
      <c r="A502" s="7">
        <v>501</v>
      </c>
      <c r="B502" s="8">
        <v>6506</v>
      </c>
      <c r="C502" s="9">
        <v>47.746783999999998</v>
      </c>
      <c r="D502" s="9">
        <v>-120.44465</v>
      </c>
      <c r="E502" s="10" t="s">
        <v>42</v>
      </c>
      <c r="F502" s="10" t="s">
        <v>4</v>
      </c>
      <c r="G502" s="10" t="s">
        <v>11</v>
      </c>
      <c r="H502" s="10">
        <v>-8</v>
      </c>
      <c r="I502" s="11">
        <v>1014</v>
      </c>
      <c r="J502" s="11">
        <v>4.0252131999999996</v>
      </c>
      <c r="K502" s="11" t="str">
        <f>IF(Table1[[#This Row],[Solar 
Resource]]&lt;3,"Low", IF(Table1[[#This Row],[Solar 
Resource]]&lt;4, "Moderate","High"))</f>
        <v>High</v>
      </c>
      <c r="L502" s="11">
        <v>1.0094091999999999</v>
      </c>
      <c r="M502" s="11">
        <v>1.063043921</v>
      </c>
      <c r="N502" s="11">
        <v>34.112605129999999</v>
      </c>
      <c r="O502" s="11">
        <v>45.710888599999997</v>
      </c>
      <c r="P502" s="11">
        <f>Table1[[#This Row],[Installed Capacity 
(AC -MW)]]/Table1[[#This Row],[Installed Capacity 
(DC -MW)]]</f>
        <v>0.74626869384464345</v>
      </c>
      <c r="Q502" s="12">
        <v>0.24276417</v>
      </c>
      <c r="R502" s="12">
        <v>0.18116726999999999</v>
      </c>
      <c r="S502" s="13">
        <v>43.433988210000003</v>
      </c>
      <c r="T502" s="11">
        <v>6.2702142800000003</v>
      </c>
      <c r="U502" s="11">
        <v>160.3545259</v>
      </c>
      <c r="V502" s="13">
        <v>533718.11239999998</v>
      </c>
      <c r="W502" s="13">
        <v>631600.56000000006</v>
      </c>
      <c r="X502" s="13">
        <v>24.027152999999998</v>
      </c>
      <c r="Y502" s="14">
        <f>+Table1[[#This Row],[Generation Cost 
LCOE (USD/MWh)]]+Table1[[#This Row],[Transmission Cost
LCOT (USD/MWh)]]</f>
        <v>67.461141209999994</v>
      </c>
    </row>
    <row r="503" spans="1:25" x14ac:dyDescent="0.3">
      <c r="A503" s="7">
        <v>502</v>
      </c>
      <c r="B503" s="8">
        <v>6507</v>
      </c>
      <c r="C503" s="9">
        <v>47.771625999999998</v>
      </c>
      <c r="D503" s="9">
        <v>-120.28709000000001</v>
      </c>
      <c r="E503" s="10" t="s">
        <v>42</v>
      </c>
      <c r="F503" s="10" t="s">
        <v>4</v>
      </c>
      <c r="G503" s="10" t="s">
        <v>11</v>
      </c>
      <c r="H503" s="10">
        <v>-8</v>
      </c>
      <c r="I503" s="11">
        <v>681.46153849999996</v>
      </c>
      <c r="J503" s="11">
        <v>4.0341944999999999</v>
      </c>
      <c r="K503" s="11" t="str">
        <f>IF(Table1[[#This Row],[Solar 
Resource]]&lt;3,"Low", IF(Table1[[#This Row],[Solar 
Resource]]&lt;4, "Moderate","High"))</f>
        <v>High</v>
      </c>
      <c r="L503" s="11">
        <v>1.0076176999999999</v>
      </c>
      <c r="M503" s="11">
        <v>3.3495932370000001</v>
      </c>
      <c r="N503" s="11">
        <v>107.48693969999999</v>
      </c>
      <c r="O503" s="11">
        <v>144.03250919999999</v>
      </c>
      <c r="P503" s="11">
        <f>Table1[[#This Row],[Installed Capacity 
(AC -MW)]]/Table1[[#This Row],[Installed Capacity 
(DC -MW)]]</f>
        <v>0.74626860489354019</v>
      </c>
      <c r="Q503" s="12">
        <v>0.24379407</v>
      </c>
      <c r="R503" s="12">
        <v>0.18193588999999999</v>
      </c>
      <c r="S503" s="13">
        <v>40.000248489999997</v>
      </c>
      <c r="T503" s="11">
        <v>5.7738896039999998</v>
      </c>
      <c r="U503" s="11">
        <v>145.4251233</v>
      </c>
      <c r="V503" s="13">
        <v>469642.67009999999</v>
      </c>
      <c r="W503" s="13">
        <v>559764.5</v>
      </c>
      <c r="X503" s="13">
        <v>21.204432000000001</v>
      </c>
      <c r="Y503" s="14">
        <f>+Table1[[#This Row],[Generation Cost 
LCOE (USD/MWh)]]+Table1[[#This Row],[Transmission Cost
LCOT (USD/MWh)]]</f>
        <v>61.204680490000001</v>
      </c>
    </row>
    <row r="504" spans="1:25" x14ac:dyDescent="0.3">
      <c r="A504" s="7">
        <v>503</v>
      </c>
      <c r="B504" s="8">
        <v>6508</v>
      </c>
      <c r="C504" s="9">
        <v>47.796309999999998</v>
      </c>
      <c r="D504" s="9">
        <v>-120.12939</v>
      </c>
      <c r="E504" s="10" t="s">
        <v>42</v>
      </c>
      <c r="F504" s="10" t="s">
        <v>4</v>
      </c>
      <c r="G504" s="10" t="s">
        <v>11</v>
      </c>
      <c r="H504" s="10">
        <v>-8</v>
      </c>
      <c r="I504" s="11">
        <v>560.6875</v>
      </c>
      <c r="J504" s="11">
        <v>4.0104839999999999</v>
      </c>
      <c r="K504" s="11" t="str">
        <f>IF(Table1[[#This Row],[Solar 
Resource]]&lt;3,"Low", IF(Table1[[#This Row],[Solar 
Resource]]&lt;4, "Moderate","High"))</f>
        <v>High</v>
      </c>
      <c r="L504" s="11">
        <v>1.0057327</v>
      </c>
      <c r="M504" s="11">
        <v>3.4128542180000001</v>
      </c>
      <c r="N504" s="11">
        <v>109.5169561</v>
      </c>
      <c r="O504" s="11">
        <v>146.75273139999999</v>
      </c>
      <c r="P504" s="11">
        <f>Table1[[#This Row],[Installed Capacity 
(AC -MW)]]/Table1[[#This Row],[Installed Capacity 
(DC -MW)]]</f>
        <v>0.74626860471504664</v>
      </c>
      <c r="Q504" s="12">
        <v>0.24178205</v>
      </c>
      <c r="R504" s="12">
        <v>0.18043439</v>
      </c>
      <c r="S504" s="13">
        <v>40.273557590000003</v>
      </c>
      <c r="T504" s="11">
        <v>0.34455844099999999</v>
      </c>
      <c r="U504" s="11">
        <v>154.71805839999999</v>
      </c>
      <c r="V504" s="13">
        <v>504804.55469999998</v>
      </c>
      <c r="W504" s="13">
        <v>543383.56000000006</v>
      </c>
      <c r="X504" s="13">
        <v>20.755198</v>
      </c>
      <c r="Y504" s="14">
        <f>+Table1[[#This Row],[Generation Cost 
LCOE (USD/MWh)]]+Table1[[#This Row],[Transmission Cost
LCOT (USD/MWh)]]</f>
        <v>61.028755590000003</v>
      </c>
    </row>
    <row r="505" spans="1:25" x14ac:dyDescent="0.3">
      <c r="A505" s="7">
        <v>504</v>
      </c>
      <c r="B505" s="8">
        <v>6509</v>
      </c>
      <c r="C505" s="9">
        <v>47.820843000000004</v>
      </c>
      <c r="D505" s="9">
        <v>-119.97154999999999</v>
      </c>
      <c r="E505" s="10" t="s">
        <v>42</v>
      </c>
      <c r="F505" s="10" t="s">
        <v>4</v>
      </c>
      <c r="G505" s="10" t="s">
        <v>13</v>
      </c>
      <c r="H505" s="10">
        <v>-8</v>
      </c>
      <c r="I505" s="11">
        <v>614.66666669999995</v>
      </c>
      <c r="J505" s="11">
        <v>4.0123680000000004</v>
      </c>
      <c r="K505" s="11" t="str">
        <f>IF(Table1[[#This Row],[Solar 
Resource]]&lt;3,"Low", IF(Table1[[#This Row],[Solar 
Resource]]&lt;4, "Moderate","High"))</f>
        <v>High</v>
      </c>
      <c r="L505" s="11">
        <v>1.0032293000000001</v>
      </c>
      <c r="M505" s="11">
        <v>7.6726439209999997</v>
      </c>
      <c r="N505" s="11">
        <v>246.21172010000001</v>
      </c>
      <c r="O505" s="11">
        <v>329.92368859999999</v>
      </c>
      <c r="P505" s="11">
        <f>Table1[[#This Row],[Installed Capacity 
(AC -MW)]]/Table1[[#This Row],[Installed Capacity 
(DC -MW)]]</f>
        <v>0.74626869366299886</v>
      </c>
      <c r="Q505" s="12">
        <v>0.24226041000000001</v>
      </c>
      <c r="R505" s="12">
        <v>0.18079136000000001</v>
      </c>
      <c r="S505" s="13">
        <v>40.115095590000003</v>
      </c>
      <c r="T505" s="11">
        <v>0.57727922099999995</v>
      </c>
      <c r="U505" s="11">
        <v>164.06371419999999</v>
      </c>
      <c r="V505" s="13">
        <v>525800.27209999994</v>
      </c>
      <c r="W505" s="13">
        <v>568774.9</v>
      </c>
      <c r="X505" s="13">
        <v>21.682151999999999</v>
      </c>
      <c r="Y505" s="14">
        <f>+Table1[[#This Row],[Generation Cost 
LCOE (USD/MWh)]]+Table1[[#This Row],[Transmission Cost
LCOT (USD/MWh)]]</f>
        <v>61.797247589999998</v>
      </c>
    </row>
    <row r="506" spans="1:25" x14ac:dyDescent="0.3">
      <c r="A506" s="7">
        <v>505</v>
      </c>
      <c r="B506" s="8">
        <v>6510</v>
      </c>
      <c r="C506" s="9">
        <v>47.845215000000003</v>
      </c>
      <c r="D506" s="9">
        <v>-119.81358</v>
      </c>
      <c r="E506" s="10" t="s">
        <v>42</v>
      </c>
      <c r="F506" s="10" t="s">
        <v>4</v>
      </c>
      <c r="G506" s="10" t="s">
        <v>13</v>
      </c>
      <c r="H506" s="10">
        <v>-8</v>
      </c>
      <c r="I506" s="11">
        <v>774.94117649999998</v>
      </c>
      <c r="J506" s="11">
        <v>4.0138454000000001</v>
      </c>
      <c r="K506" s="11" t="str">
        <f>IF(Table1[[#This Row],[Solar 
Resource]]&lt;3,"Low", IF(Table1[[#This Row],[Solar 
Resource]]&lt;4, "Moderate","High"))</f>
        <v>High</v>
      </c>
      <c r="L506" s="11">
        <v>1.0010557</v>
      </c>
      <c r="M506" s="11">
        <v>49.529474999999998</v>
      </c>
      <c r="N506" s="11">
        <v>1589.378565</v>
      </c>
      <c r="O506" s="11">
        <v>2129.767425</v>
      </c>
      <c r="P506" s="11">
        <f>Table1[[#This Row],[Installed Capacity 
(AC -MW)]]/Table1[[#This Row],[Installed Capacity 
(DC -MW)]]</f>
        <v>0.74626860489238633</v>
      </c>
      <c r="Q506" s="12">
        <v>0.24385796000000001</v>
      </c>
      <c r="R506" s="12">
        <v>0.18198355999999999</v>
      </c>
      <c r="S506" s="13">
        <v>39.784211480000003</v>
      </c>
      <c r="T506" s="11">
        <v>0.27</v>
      </c>
      <c r="U506" s="11">
        <v>181.80669470000001</v>
      </c>
      <c r="V506" s="13">
        <v>494766.99400000001</v>
      </c>
      <c r="W506" s="13">
        <v>531951.5</v>
      </c>
      <c r="X506" s="13">
        <v>20.145567</v>
      </c>
      <c r="Y506" s="14">
        <f>+Table1[[#This Row],[Generation Cost 
LCOE (USD/MWh)]]+Table1[[#This Row],[Transmission Cost
LCOT (USD/MWh)]]</f>
        <v>59.929778480000003</v>
      </c>
    </row>
    <row r="507" spans="1:25" x14ac:dyDescent="0.3">
      <c r="A507" s="7">
        <v>506</v>
      </c>
      <c r="B507" s="8">
        <v>6511</v>
      </c>
      <c r="C507" s="9">
        <v>47.869427000000002</v>
      </c>
      <c r="D507" s="9">
        <v>-119.65546999999999</v>
      </c>
      <c r="E507" s="10" t="s">
        <v>42</v>
      </c>
      <c r="F507" s="10" t="s">
        <v>4</v>
      </c>
      <c r="G507" s="10" t="s">
        <v>13</v>
      </c>
      <c r="H507" s="10">
        <v>-8</v>
      </c>
      <c r="I507" s="11">
        <v>671.65</v>
      </c>
      <c r="J507" s="11">
        <v>3.9806675999999999</v>
      </c>
      <c r="K507" s="11" t="str">
        <f>IF(Table1[[#This Row],[Solar 
Resource]]&lt;3,"Low", IF(Table1[[#This Row],[Solar 
Resource]]&lt;4, "Moderate","High"))</f>
        <v>Moderate</v>
      </c>
      <c r="L507" s="11">
        <v>0.99884676999999999</v>
      </c>
      <c r="M507" s="11">
        <v>45.009188530000003</v>
      </c>
      <c r="N507" s="11">
        <v>1444.3246059999999</v>
      </c>
      <c r="O507" s="11">
        <v>1935.3951070000001</v>
      </c>
      <c r="P507" s="11">
        <f>Table1[[#This Row],[Installed Capacity 
(AC -MW)]]/Table1[[#This Row],[Installed Capacity 
(DC -MW)]]</f>
        <v>0.74626860467721534</v>
      </c>
      <c r="Q507" s="12">
        <v>0.24242596</v>
      </c>
      <c r="R507" s="12">
        <v>0.18091491000000001</v>
      </c>
      <c r="S507" s="13">
        <v>39.949607520000001</v>
      </c>
      <c r="T507" s="11">
        <v>6.9348441479999998</v>
      </c>
      <c r="U507" s="11">
        <v>172.37633750000001</v>
      </c>
      <c r="V507" s="13">
        <v>469546.66940000001</v>
      </c>
      <c r="W507" s="13">
        <v>553014.43999999994</v>
      </c>
      <c r="X507" s="13">
        <v>21.066956000000001</v>
      </c>
      <c r="Y507" s="14">
        <f>+Table1[[#This Row],[Generation Cost 
LCOE (USD/MWh)]]+Table1[[#This Row],[Transmission Cost
LCOT (USD/MWh)]]</f>
        <v>61.016563520000005</v>
      </c>
    </row>
    <row r="508" spans="1:25" x14ac:dyDescent="0.3">
      <c r="A508" s="7">
        <v>507</v>
      </c>
      <c r="B508" s="8">
        <v>6512</v>
      </c>
      <c r="C508" s="9">
        <v>47.893486000000003</v>
      </c>
      <c r="D508" s="9">
        <v>-119.49723</v>
      </c>
      <c r="E508" s="10" t="s">
        <v>42</v>
      </c>
      <c r="F508" s="10" t="s">
        <v>4</v>
      </c>
      <c r="G508" s="10" t="s">
        <v>13</v>
      </c>
      <c r="H508" s="10">
        <v>-8</v>
      </c>
      <c r="I508" s="11">
        <v>653.77777779999997</v>
      </c>
      <c r="J508" s="11">
        <v>3.9442390999999999</v>
      </c>
      <c r="K508" s="11" t="str">
        <f>IF(Table1[[#This Row],[Solar 
Resource]]&lt;3,"Low", IF(Table1[[#This Row],[Solar 
Resource]]&lt;4, "Moderate","High"))</f>
        <v>Moderate</v>
      </c>
      <c r="L508" s="11">
        <v>0.99635960000000001</v>
      </c>
      <c r="M508" s="11">
        <v>79.915818160000001</v>
      </c>
      <c r="N508" s="11">
        <v>2564.4626440000002</v>
      </c>
      <c r="O508" s="11">
        <v>3436.380181</v>
      </c>
      <c r="P508" s="11">
        <f>Table1[[#This Row],[Installed Capacity 
(AC -MW)]]/Table1[[#This Row],[Installed Capacity 
(DC -MW)]]</f>
        <v>0.74626860502196579</v>
      </c>
      <c r="Q508" s="12">
        <v>0.24042902999999999</v>
      </c>
      <c r="R508" s="12">
        <v>0.17942466000000001</v>
      </c>
      <c r="S508" s="13">
        <v>40.202384039999998</v>
      </c>
      <c r="T508" s="11">
        <v>16.184103879999999</v>
      </c>
      <c r="U508" s="11">
        <v>160.95958429999999</v>
      </c>
      <c r="V508" s="13">
        <v>432337.76740000001</v>
      </c>
      <c r="W508" s="13">
        <v>530493.06000000006</v>
      </c>
      <c r="X508" s="13">
        <v>20.376857999999999</v>
      </c>
      <c r="Y508" s="14">
        <f>+Table1[[#This Row],[Generation Cost 
LCOE (USD/MWh)]]+Table1[[#This Row],[Transmission Cost
LCOT (USD/MWh)]]</f>
        <v>60.579242039999997</v>
      </c>
    </row>
    <row r="509" spans="1:25" x14ac:dyDescent="0.3">
      <c r="A509" s="7">
        <v>508</v>
      </c>
      <c r="B509" s="8">
        <v>6513</v>
      </c>
      <c r="C509" s="9">
        <v>47.917389999999997</v>
      </c>
      <c r="D509" s="9">
        <v>-119.33884999999999</v>
      </c>
      <c r="E509" s="10" t="s">
        <v>42</v>
      </c>
      <c r="F509" s="10" t="s">
        <v>4</v>
      </c>
      <c r="G509" s="10" t="s">
        <v>13</v>
      </c>
      <c r="H509" s="10">
        <v>-8</v>
      </c>
      <c r="I509" s="11">
        <v>680.83333330000005</v>
      </c>
      <c r="J509" s="11">
        <v>3.9306808000000002</v>
      </c>
      <c r="K509" s="11" t="str">
        <f>IF(Table1[[#This Row],[Solar 
Resource]]&lt;3,"Low", IF(Table1[[#This Row],[Solar 
Resource]]&lt;4, "Moderate","High"))</f>
        <v>Moderate</v>
      </c>
      <c r="L509" s="11">
        <v>0.99421309999999996</v>
      </c>
      <c r="M509" s="11">
        <v>98.936318850000006</v>
      </c>
      <c r="N509" s="11">
        <v>3174.8219519999998</v>
      </c>
      <c r="O509" s="11">
        <v>4254.2617099999998</v>
      </c>
      <c r="P509" s="11">
        <f>Table1[[#This Row],[Installed Capacity 
(AC -MW)]]/Table1[[#This Row],[Installed Capacity 
(DC -MW)]]</f>
        <v>0.74626860508776738</v>
      </c>
      <c r="Q509" s="12">
        <v>0.23937792999999999</v>
      </c>
      <c r="R509" s="12">
        <v>0.17864026</v>
      </c>
      <c r="S509" s="13">
        <v>40.31041115</v>
      </c>
      <c r="T509" s="11">
        <v>10.13756493</v>
      </c>
      <c r="U509" s="11">
        <v>128.7453376</v>
      </c>
      <c r="V509" s="13">
        <v>351771.21879999997</v>
      </c>
      <c r="W509" s="13">
        <v>444480.75</v>
      </c>
      <c r="X509" s="13">
        <v>17.147991000000001</v>
      </c>
      <c r="Y509" s="14">
        <f>+Table1[[#This Row],[Generation Cost 
LCOE (USD/MWh)]]+Table1[[#This Row],[Transmission Cost
LCOT (USD/MWh)]]</f>
        <v>57.458402149999998</v>
      </c>
    </row>
    <row r="510" spans="1:25" x14ac:dyDescent="0.3">
      <c r="A510" s="7">
        <v>509</v>
      </c>
      <c r="B510" s="8">
        <v>6514</v>
      </c>
      <c r="C510" s="9">
        <v>47.941130000000001</v>
      </c>
      <c r="D510" s="9">
        <v>-119.18034</v>
      </c>
      <c r="E510" s="10" t="s">
        <v>42</v>
      </c>
      <c r="F510" s="10" t="s">
        <v>4</v>
      </c>
      <c r="G510" s="10" t="s">
        <v>13</v>
      </c>
      <c r="H510" s="10">
        <v>-8</v>
      </c>
      <c r="I510" s="11">
        <v>685.35294120000003</v>
      </c>
      <c r="J510" s="11">
        <v>3.9103621999999998</v>
      </c>
      <c r="K510" s="11" t="str">
        <f>IF(Table1[[#This Row],[Solar 
Resource]]&lt;3,"Low", IF(Table1[[#This Row],[Solar 
Resource]]&lt;4, "Moderate","High"))</f>
        <v>Moderate</v>
      </c>
      <c r="L510" s="11">
        <v>0.99213176999999997</v>
      </c>
      <c r="M510" s="11">
        <v>79.214764750000001</v>
      </c>
      <c r="N510" s="11">
        <v>2541.9658530000002</v>
      </c>
      <c r="O510" s="11">
        <v>3406.234884</v>
      </c>
      <c r="P510" s="11">
        <f>Table1[[#This Row],[Installed Capacity 
(AC -MW)]]/Table1[[#This Row],[Installed Capacity 
(DC -MW)]]</f>
        <v>0.746268516284739</v>
      </c>
      <c r="Q510" s="12">
        <v>0.23740907</v>
      </c>
      <c r="R510" s="12">
        <v>0.17717093</v>
      </c>
      <c r="S510" s="13">
        <v>40.577739209999997</v>
      </c>
      <c r="T510" s="11">
        <v>1.5427922060000001</v>
      </c>
      <c r="U510" s="11">
        <v>123.5396817</v>
      </c>
      <c r="V510" s="13">
        <v>336466.20179999998</v>
      </c>
      <c r="W510" s="13">
        <v>386184.16</v>
      </c>
      <c r="X510" s="13">
        <v>15.022477</v>
      </c>
      <c r="Y510" s="14">
        <f>+Table1[[#This Row],[Generation Cost 
LCOE (USD/MWh)]]+Table1[[#This Row],[Transmission Cost
LCOT (USD/MWh)]]</f>
        <v>55.600216209999999</v>
      </c>
    </row>
    <row r="511" spans="1:25" x14ac:dyDescent="0.3">
      <c r="A511" s="7">
        <v>510</v>
      </c>
      <c r="B511" s="8">
        <v>6515</v>
      </c>
      <c r="C511" s="9">
        <v>47.964714000000001</v>
      </c>
      <c r="D511" s="9">
        <v>-119.0217</v>
      </c>
      <c r="E511" s="10" t="s">
        <v>42</v>
      </c>
      <c r="F511" s="10" t="s">
        <v>4</v>
      </c>
      <c r="G511" s="10" t="s">
        <v>13</v>
      </c>
      <c r="H511" s="10">
        <v>-8</v>
      </c>
      <c r="I511" s="11">
        <v>608.46153849999996</v>
      </c>
      <c r="J511" s="11">
        <v>3.9067614000000002</v>
      </c>
      <c r="K511" s="11" t="str">
        <f>IF(Table1[[#This Row],[Solar 
Resource]]&lt;3,"Low", IF(Table1[[#This Row],[Solar 
Resource]]&lt;4, "Moderate","High"))</f>
        <v>Moderate</v>
      </c>
      <c r="L511" s="11">
        <v>0.98996024999999999</v>
      </c>
      <c r="M511" s="11">
        <v>33.614351370000001</v>
      </c>
      <c r="N511" s="11">
        <v>1078.66941</v>
      </c>
      <c r="O511" s="11">
        <v>1445.417109</v>
      </c>
      <c r="P511" s="11">
        <f>Table1[[#This Row],[Installed Capacity 
(AC -MW)]]/Table1[[#This Row],[Installed Capacity 
(DC -MW)]]</f>
        <v>0.74626860529295147</v>
      </c>
      <c r="Q511" s="12">
        <v>0.23675223000000001</v>
      </c>
      <c r="R511" s="12">
        <v>0.17668076999999999</v>
      </c>
      <c r="S511" s="13">
        <v>40.620255440000001</v>
      </c>
      <c r="T511" s="11">
        <v>0.21727922099999999</v>
      </c>
      <c r="U511" s="11">
        <v>112.24490900000001</v>
      </c>
      <c r="V511" s="13">
        <v>307141.34049999999</v>
      </c>
      <c r="W511" s="13">
        <v>324631.78000000003</v>
      </c>
      <c r="X511" s="13">
        <v>12.663138999999999</v>
      </c>
      <c r="Y511" s="14">
        <f>+Table1[[#This Row],[Generation Cost 
LCOE (USD/MWh)]]+Table1[[#This Row],[Transmission Cost
LCOT (USD/MWh)]]</f>
        <v>53.283394440000002</v>
      </c>
    </row>
    <row r="512" spans="1:25" x14ac:dyDescent="0.3">
      <c r="A512" s="7">
        <v>511</v>
      </c>
      <c r="B512" s="8">
        <v>6516</v>
      </c>
      <c r="C512" s="9">
        <v>47.988140000000001</v>
      </c>
      <c r="D512" s="9">
        <v>-118.86293000000001</v>
      </c>
      <c r="E512" s="10" t="s">
        <v>42</v>
      </c>
      <c r="F512" s="10" t="s">
        <v>4</v>
      </c>
      <c r="G512" s="10" t="s">
        <v>29</v>
      </c>
      <c r="H512" s="10">
        <v>-8</v>
      </c>
      <c r="I512" s="11">
        <v>652.11111110000002</v>
      </c>
      <c r="J512" s="11">
        <v>3.8692806000000002</v>
      </c>
      <c r="K512" s="11" t="str">
        <f>IF(Table1[[#This Row],[Solar 
Resource]]&lt;3,"Low", IF(Table1[[#This Row],[Solar 
Resource]]&lt;4, "Moderate","High"))</f>
        <v>Moderate</v>
      </c>
      <c r="L512" s="11">
        <v>0.98788039999999999</v>
      </c>
      <c r="M512" s="11">
        <v>14.81506216</v>
      </c>
      <c r="N512" s="11">
        <v>475.4086782</v>
      </c>
      <c r="O512" s="11">
        <v>637.04767279999999</v>
      </c>
      <c r="P512" s="11">
        <f>Table1[[#This Row],[Installed Capacity 
(AC -MW)]]/Table1[[#This Row],[Installed Capacity 
(DC -MW)]]</f>
        <v>0.74626860515861848</v>
      </c>
      <c r="Q512" s="12">
        <v>0.23361794999999999</v>
      </c>
      <c r="R512" s="12">
        <v>0.17434177000000001</v>
      </c>
      <c r="S512" s="13">
        <v>41.09721064</v>
      </c>
      <c r="T512" s="11">
        <v>0.09</v>
      </c>
      <c r="U512" s="11">
        <v>125.0451947</v>
      </c>
      <c r="V512" s="13">
        <v>356430.8026</v>
      </c>
      <c r="W512" s="13">
        <v>393060.88</v>
      </c>
      <c r="X512" s="13">
        <v>15.538105</v>
      </c>
      <c r="Y512" s="14">
        <f>+Table1[[#This Row],[Generation Cost 
LCOE (USD/MWh)]]+Table1[[#This Row],[Transmission Cost
LCOT (USD/MWh)]]</f>
        <v>56.635315640000002</v>
      </c>
    </row>
    <row r="513" spans="1:25" x14ac:dyDescent="0.3">
      <c r="A513" s="7">
        <v>512</v>
      </c>
      <c r="B513" s="8">
        <v>6517</v>
      </c>
      <c r="C513" s="9">
        <v>48.011414000000002</v>
      </c>
      <c r="D513" s="9">
        <v>-118.704025</v>
      </c>
      <c r="E513" s="10" t="s">
        <v>42</v>
      </c>
      <c r="F513" s="10" t="s">
        <v>4</v>
      </c>
      <c r="G513" s="10" t="s">
        <v>14</v>
      </c>
      <c r="H513" s="10">
        <v>-8</v>
      </c>
      <c r="I513" s="11">
        <v>713</v>
      </c>
      <c r="J513" s="11">
        <v>3.8139886999999999</v>
      </c>
      <c r="K513" s="11" t="str">
        <f>IF(Table1[[#This Row],[Solar 
Resource]]&lt;3,"Low", IF(Table1[[#This Row],[Solar 
Resource]]&lt;4, "Moderate","High"))</f>
        <v>Moderate</v>
      </c>
      <c r="L513" s="11">
        <v>0.98601609999999995</v>
      </c>
      <c r="M513" s="11">
        <v>6.6039299009999999</v>
      </c>
      <c r="N513" s="11">
        <v>211.91716410000001</v>
      </c>
      <c r="O513" s="11">
        <v>283.96898570000002</v>
      </c>
      <c r="P513" s="11">
        <f>Table1[[#This Row],[Installed Capacity 
(AC -MW)]]/Table1[[#This Row],[Installed Capacity 
(DC -MW)]]</f>
        <v>0.74626869401815799</v>
      </c>
      <c r="Q513" s="12">
        <v>0.22993727</v>
      </c>
      <c r="R513" s="12">
        <v>0.17159498000000001</v>
      </c>
      <c r="S513" s="13">
        <v>41.693131190000003</v>
      </c>
      <c r="T513" s="11">
        <v>8.0084480449999997</v>
      </c>
      <c r="U513" s="11">
        <v>145.19304539999999</v>
      </c>
      <c r="V513" s="13">
        <v>450701.7818</v>
      </c>
      <c r="W513" s="13">
        <v>541255</v>
      </c>
      <c r="X513" s="13">
        <v>21.738869000000001</v>
      </c>
      <c r="Y513" s="14">
        <f>+Table1[[#This Row],[Generation Cost 
LCOE (USD/MWh)]]+Table1[[#This Row],[Transmission Cost
LCOT (USD/MWh)]]</f>
        <v>63.432000190000004</v>
      </c>
    </row>
    <row r="514" spans="1:25" x14ac:dyDescent="0.3">
      <c r="A514" s="7">
        <v>513</v>
      </c>
      <c r="B514" s="8">
        <v>6518</v>
      </c>
      <c r="C514" s="9">
        <v>48.034523</v>
      </c>
      <c r="D514" s="9">
        <v>-118.545</v>
      </c>
      <c r="E514" s="10" t="s">
        <v>42</v>
      </c>
      <c r="F514" s="10" t="s">
        <v>4</v>
      </c>
      <c r="G514" s="10" t="s">
        <v>14</v>
      </c>
      <c r="H514" s="10">
        <v>-8</v>
      </c>
      <c r="I514" s="11">
        <v>881.58823529999995</v>
      </c>
      <c r="J514" s="11">
        <v>3.7861185000000002</v>
      </c>
      <c r="K514" s="11" t="str">
        <f>IF(Table1[[#This Row],[Solar 
Resource]]&lt;3,"Low", IF(Table1[[#This Row],[Solar 
Resource]]&lt;4, "Moderate","High"))</f>
        <v>Moderate</v>
      </c>
      <c r="L514" s="11">
        <v>0.98457026000000003</v>
      </c>
      <c r="M514" s="11">
        <v>13.91239764</v>
      </c>
      <c r="N514" s="11">
        <v>446.44258009999999</v>
      </c>
      <c r="O514" s="11">
        <v>598.23309870000003</v>
      </c>
      <c r="P514" s="11">
        <f>Table1[[#This Row],[Installed Capacity 
(AC -MW)]]/Table1[[#This Row],[Installed Capacity 
(DC -MW)]]</f>
        <v>0.74626860511420912</v>
      </c>
      <c r="Q514" s="12">
        <v>0.22945940000000001</v>
      </c>
      <c r="R514" s="12">
        <v>0.17123836000000001</v>
      </c>
      <c r="S514" s="13">
        <v>41.731835070000002</v>
      </c>
      <c r="T514" s="11">
        <v>11.53763635</v>
      </c>
      <c r="U514" s="11">
        <v>145.19304539999999</v>
      </c>
      <c r="V514" s="13">
        <v>450701.7818</v>
      </c>
      <c r="W514" s="13">
        <v>586878.9</v>
      </c>
      <c r="X514" s="13">
        <v>23.620387999999998</v>
      </c>
      <c r="Y514" s="14">
        <f>+Table1[[#This Row],[Generation Cost 
LCOE (USD/MWh)]]+Table1[[#This Row],[Transmission Cost
LCOT (USD/MWh)]]</f>
        <v>65.352223070000008</v>
      </c>
    </row>
    <row r="515" spans="1:25" x14ac:dyDescent="0.3">
      <c r="A515" s="7">
        <v>514</v>
      </c>
      <c r="B515" s="8">
        <v>6519</v>
      </c>
      <c r="C515" s="9">
        <v>48.057476000000001</v>
      </c>
      <c r="D515" s="9">
        <v>-118.38583</v>
      </c>
      <c r="E515" s="10" t="s">
        <v>42</v>
      </c>
      <c r="F515" s="10" t="s">
        <v>4</v>
      </c>
      <c r="G515" s="10" t="s">
        <v>14</v>
      </c>
      <c r="H515" s="10">
        <v>-8</v>
      </c>
      <c r="I515" s="11">
        <v>721.41176470000005</v>
      </c>
      <c r="J515" s="11">
        <v>3.7457034999999999</v>
      </c>
      <c r="K515" s="11" t="str">
        <f>IF(Table1[[#This Row],[Solar 
Resource]]&lt;3,"Low", IF(Table1[[#This Row],[Solar 
Resource]]&lt;4, "Moderate","High"))</f>
        <v>Moderate</v>
      </c>
      <c r="L515" s="11">
        <v>0.98314679999999999</v>
      </c>
      <c r="M515" s="11">
        <v>19.567818240000001</v>
      </c>
      <c r="N515" s="11">
        <v>627.92248210000002</v>
      </c>
      <c r="O515" s="11">
        <v>841.41618419999998</v>
      </c>
      <c r="P515" s="11">
        <f>Table1[[#This Row],[Installed Capacity 
(AC -MW)]]/Table1[[#This Row],[Installed Capacity 
(DC -MW)]]</f>
        <v>0.74626860511010362</v>
      </c>
      <c r="Q515" s="12">
        <v>0.222136</v>
      </c>
      <c r="R515" s="12">
        <v>0.16577314000000001</v>
      </c>
      <c r="S515" s="13">
        <v>43.0586889</v>
      </c>
      <c r="T515" s="11">
        <v>24.26336362</v>
      </c>
      <c r="U515" s="11">
        <v>145.19304539999999</v>
      </c>
      <c r="V515" s="13">
        <v>450701.7818</v>
      </c>
      <c r="W515" s="13">
        <v>667711.75</v>
      </c>
      <c r="X515" s="13">
        <v>27.759682000000002</v>
      </c>
      <c r="Y515" s="14">
        <f>+Table1[[#This Row],[Generation Cost 
LCOE (USD/MWh)]]+Table1[[#This Row],[Transmission Cost
LCOT (USD/MWh)]]</f>
        <v>70.818370900000005</v>
      </c>
    </row>
    <row r="516" spans="1:25" x14ac:dyDescent="0.3">
      <c r="A516" s="7">
        <v>515</v>
      </c>
      <c r="B516" s="8">
        <v>6520</v>
      </c>
      <c r="C516" s="9">
        <v>48.080269999999999</v>
      </c>
      <c r="D516" s="9">
        <v>-118.22654</v>
      </c>
      <c r="E516" s="10" t="s">
        <v>42</v>
      </c>
      <c r="F516" s="10" t="s">
        <v>4</v>
      </c>
      <c r="G516" s="10" t="s">
        <v>37</v>
      </c>
      <c r="H516" s="10">
        <v>-8</v>
      </c>
      <c r="I516" s="11">
        <v>609.29411760000005</v>
      </c>
      <c r="J516" s="11">
        <v>3.7567751</v>
      </c>
      <c r="K516" s="11" t="str">
        <f>IF(Table1[[#This Row],[Solar 
Resource]]&lt;3,"Low", IF(Table1[[#This Row],[Solar 
Resource]]&lt;4, "Moderate","High"))</f>
        <v>Moderate</v>
      </c>
      <c r="L516" s="11">
        <v>0.98202650000000002</v>
      </c>
      <c r="M516" s="11">
        <v>16.57924156</v>
      </c>
      <c r="N516" s="11">
        <v>532.02040150000005</v>
      </c>
      <c r="O516" s="11">
        <v>712.90738729999998</v>
      </c>
      <c r="P516" s="11">
        <f>Table1[[#This Row],[Installed Capacity 
(AC -MW)]]/Table1[[#This Row],[Installed Capacity 
(DC -MW)]]</f>
        <v>0.74626860511983928</v>
      </c>
      <c r="Q516" s="12">
        <v>0.22057193999999999</v>
      </c>
      <c r="R516" s="12">
        <v>0.16460593000000001</v>
      </c>
      <c r="S516" s="13">
        <v>43.325215589999999</v>
      </c>
      <c r="T516" s="11">
        <v>42.706512959999998</v>
      </c>
      <c r="U516" s="11">
        <v>84.961285680000003</v>
      </c>
      <c r="V516" s="13">
        <v>288880.79979999998</v>
      </c>
      <c r="W516" s="13">
        <v>608584.43999999994</v>
      </c>
      <c r="X516" s="13">
        <v>25.480913000000001</v>
      </c>
      <c r="Y516" s="14">
        <f>+Table1[[#This Row],[Generation Cost 
LCOE (USD/MWh)]]+Table1[[#This Row],[Transmission Cost
LCOT (USD/MWh)]]</f>
        <v>68.80612859</v>
      </c>
    </row>
    <row r="517" spans="1:25" x14ac:dyDescent="0.3">
      <c r="A517" s="7">
        <v>516</v>
      </c>
      <c r="B517" s="8">
        <v>6521</v>
      </c>
      <c r="C517" s="9">
        <v>48.102899999999998</v>
      </c>
      <c r="D517" s="9">
        <v>-118.067116</v>
      </c>
      <c r="E517" s="10" t="s">
        <v>42</v>
      </c>
      <c r="F517" s="10" t="s">
        <v>4</v>
      </c>
      <c r="G517" s="10" t="s">
        <v>37</v>
      </c>
      <c r="H517" s="10">
        <v>-8</v>
      </c>
      <c r="I517" s="11">
        <v>944.41176470000005</v>
      </c>
      <c r="J517" s="11">
        <v>3.7422005999999999</v>
      </c>
      <c r="K517" s="11" t="str">
        <f>IF(Table1[[#This Row],[Solar 
Resource]]&lt;3,"Low", IF(Table1[[#This Row],[Solar 
Resource]]&lt;4, "Moderate","High"))</f>
        <v>Moderate</v>
      </c>
      <c r="L517" s="11">
        <v>0.98126579999999997</v>
      </c>
      <c r="M517" s="11">
        <v>10.636919600000001</v>
      </c>
      <c r="N517" s="11">
        <v>341.33392309999999</v>
      </c>
      <c r="O517" s="11">
        <v>457.38754299999999</v>
      </c>
      <c r="P517" s="11">
        <f>Table1[[#This Row],[Installed Capacity 
(AC -MW)]]/Table1[[#This Row],[Installed Capacity 
(DC -MW)]]</f>
        <v>0.74626851632467828</v>
      </c>
      <c r="Q517" s="12">
        <v>0.22108143999999999</v>
      </c>
      <c r="R517" s="12">
        <v>0.16498612000000001</v>
      </c>
      <c r="S517" s="13">
        <v>43.199092499999999</v>
      </c>
      <c r="T517" s="11">
        <v>25.064318159999999</v>
      </c>
      <c r="U517" s="11">
        <v>77.678324630000006</v>
      </c>
      <c r="V517" s="13">
        <v>285946.31209999998</v>
      </c>
      <c r="W517" s="13">
        <v>504340.8</v>
      </c>
      <c r="X517" s="13">
        <v>21.067657000000001</v>
      </c>
      <c r="Y517" s="14">
        <f>+Table1[[#This Row],[Generation Cost 
LCOE (USD/MWh)]]+Table1[[#This Row],[Transmission Cost
LCOT (USD/MWh)]]</f>
        <v>64.266749500000003</v>
      </c>
    </row>
    <row r="518" spans="1:25" x14ac:dyDescent="0.3">
      <c r="A518" s="7">
        <v>517</v>
      </c>
      <c r="B518" s="8">
        <v>6522</v>
      </c>
      <c r="C518" s="9">
        <v>48.125377999999998</v>
      </c>
      <c r="D518" s="9">
        <v>-117.90758</v>
      </c>
      <c r="E518" s="10" t="s">
        <v>42</v>
      </c>
      <c r="F518" s="10" t="s">
        <v>4</v>
      </c>
      <c r="G518" s="10" t="s">
        <v>37</v>
      </c>
      <c r="H518" s="10">
        <v>-8</v>
      </c>
      <c r="I518" s="11">
        <v>933.41176470000005</v>
      </c>
      <c r="J518" s="11">
        <v>3.6575096</v>
      </c>
      <c r="K518" s="11" t="str">
        <f>IF(Table1[[#This Row],[Solar 
Resource]]&lt;3,"Low", IF(Table1[[#This Row],[Solar 
Resource]]&lt;4, "Moderate","High"))</f>
        <v>Moderate</v>
      </c>
      <c r="L518" s="11">
        <v>0.98054169999999996</v>
      </c>
      <c r="M518" s="11">
        <v>14.860745290000001</v>
      </c>
      <c r="N518" s="11">
        <v>476.87462920000002</v>
      </c>
      <c r="O518" s="11">
        <v>639.01204740000003</v>
      </c>
      <c r="P518" s="11">
        <f>Table1[[#This Row],[Installed Capacity 
(AC -MW)]]/Table1[[#This Row],[Installed Capacity 
(DC -MW)]]</f>
        <v>0.74626860501347103</v>
      </c>
      <c r="Q518" s="12">
        <v>0.21607857999999999</v>
      </c>
      <c r="R518" s="12">
        <v>0.16125268000000001</v>
      </c>
      <c r="S518" s="13">
        <v>44.173671509999998</v>
      </c>
      <c r="T518" s="11">
        <v>12.84131168</v>
      </c>
      <c r="U518" s="11">
        <v>83.553909039999994</v>
      </c>
      <c r="V518" s="13">
        <v>308469.08559999999</v>
      </c>
      <c r="W518" s="13">
        <v>447298.5</v>
      </c>
      <c r="X518" s="13">
        <v>19.117457999999999</v>
      </c>
      <c r="Y518" s="14">
        <f>+Table1[[#This Row],[Generation Cost 
LCOE (USD/MWh)]]+Table1[[#This Row],[Transmission Cost
LCOT (USD/MWh)]]</f>
        <v>63.291129509999998</v>
      </c>
    </row>
    <row r="519" spans="1:25" x14ac:dyDescent="0.3">
      <c r="A519" s="7">
        <v>518</v>
      </c>
      <c r="B519" s="8">
        <v>6523</v>
      </c>
      <c r="C519" s="9">
        <v>48.147694000000001</v>
      </c>
      <c r="D519" s="9">
        <v>-117.7479</v>
      </c>
      <c r="E519" s="10" t="s">
        <v>42</v>
      </c>
      <c r="F519" s="10" t="s">
        <v>4</v>
      </c>
      <c r="G519" s="10" t="s">
        <v>37</v>
      </c>
      <c r="H519" s="10">
        <v>-8</v>
      </c>
      <c r="I519" s="11">
        <v>675.88888889999998</v>
      </c>
      <c r="J519" s="11">
        <v>3.6356522999999998</v>
      </c>
      <c r="K519" s="11" t="str">
        <f>IF(Table1[[#This Row],[Solar 
Resource]]&lt;3,"Low", IF(Table1[[#This Row],[Solar 
Resource]]&lt;4, "Moderate","High"))</f>
        <v>Moderate</v>
      </c>
      <c r="L519" s="11">
        <v>0.98013249999999996</v>
      </c>
      <c r="M519" s="11">
        <v>24.47698381</v>
      </c>
      <c r="N519" s="11">
        <v>785.45548980000001</v>
      </c>
      <c r="O519" s="11">
        <v>1052.5103039999999</v>
      </c>
      <c r="P519" s="11">
        <f>Table1[[#This Row],[Installed Capacity 
(AC -MW)]]/Table1[[#This Row],[Installed Capacity 
(DC -MW)]]</f>
        <v>0.74626869382173766</v>
      </c>
      <c r="Q519" s="12">
        <v>0.21204649</v>
      </c>
      <c r="R519" s="12">
        <v>0.15824366000000001</v>
      </c>
      <c r="S519" s="13">
        <v>44.998894360000001</v>
      </c>
      <c r="T519" s="11">
        <v>1.71</v>
      </c>
      <c r="U519" s="11">
        <v>87.688610330000003</v>
      </c>
      <c r="V519" s="13">
        <v>327869.89889999997</v>
      </c>
      <c r="W519" s="13">
        <v>374246.28</v>
      </c>
      <c r="X519" s="13">
        <v>16.29937</v>
      </c>
      <c r="Y519" s="14">
        <f>+Table1[[#This Row],[Generation Cost 
LCOE (USD/MWh)]]+Table1[[#This Row],[Transmission Cost
LCOT (USD/MWh)]]</f>
        <v>61.298264360000005</v>
      </c>
    </row>
    <row r="520" spans="1:25" x14ac:dyDescent="0.3">
      <c r="A520" s="7">
        <v>519</v>
      </c>
      <c r="B520" s="8">
        <v>6524</v>
      </c>
      <c r="C520" s="9">
        <v>48.169849999999997</v>
      </c>
      <c r="D520" s="9">
        <v>-117.588104</v>
      </c>
      <c r="E520" s="10" t="s">
        <v>42</v>
      </c>
      <c r="F520" s="10" t="s">
        <v>4</v>
      </c>
      <c r="G520" s="10" t="s">
        <v>37</v>
      </c>
      <c r="H520" s="10">
        <v>-8</v>
      </c>
      <c r="I520" s="11">
        <v>859.8666667</v>
      </c>
      <c r="J520" s="11">
        <v>3.6315813000000001</v>
      </c>
      <c r="K520" s="11" t="str">
        <f>IF(Table1[[#This Row],[Solar 
Resource]]&lt;3,"Low", IF(Table1[[#This Row],[Solar 
Resource]]&lt;4, "Moderate","High"))</f>
        <v>Moderate</v>
      </c>
      <c r="L520" s="11">
        <v>0.98000609999999999</v>
      </c>
      <c r="M520" s="11">
        <v>13.11033647</v>
      </c>
      <c r="N520" s="11">
        <v>420.704748</v>
      </c>
      <c r="O520" s="11">
        <v>563.74446839999996</v>
      </c>
      <c r="P520" s="11">
        <f>Table1[[#This Row],[Installed Capacity 
(AC -MW)]]/Table1[[#This Row],[Installed Capacity 
(DC -MW)]]</f>
        <v>0.74626851629077562</v>
      </c>
      <c r="Q520" s="12">
        <v>0.21297868</v>
      </c>
      <c r="R520" s="12">
        <v>0.15893932</v>
      </c>
      <c r="S520" s="13">
        <v>44.797409979999998</v>
      </c>
      <c r="T520" s="11">
        <v>6.797422074</v>
      </c>
      <c r="U520" s="11">
        <v>83.807824640000007</v>
      </c>
      <c r="V520" s="13">
        <v>330649.326</v>
      </c>
      <c r="W520" s="13">
        <v>440154.62</v>
      </c>
      <c r="X520" s="13">
        <v>19.085940000000001</v>
      </c>
      <c r="Y520" s="14">
        <f>+Table1[[#This Row],[Generation Cost 
LCOE (USD/MWh)]]+Table1[[#This Row],[Transmission Cost
LCOT (USD/MWh)]]</f>
        <v>63.883349979999998</v>
      </c>
    </row>
    <row r="521" spans="1:25" x14ac:dyDescent="0.3">
      <c r="A521" s="7">
        <v>520</v>
      </c>
      <c r="B521" s="8">
        <v>6525</v>
      </c>
      <c r="C521" s="9">
        <v>48.191839999999999</v>
      </c>
      <c r="D521" s="9">
        <v>-117.42818</v>
      </c>
      <c r="E521" s="10" t="s">
        <v>42</v>
      </c>
      <c r="F521" s="10" t="s">
        <v>4</v>
      </c>
      <c r="G521" s="10" t="s">
        <v>30</v>
      </c>
      <c r="H521" s="10">
        <v>-8</v>
      </c>
      <c r="I521" s="11">
        <v>949.1176471</v>
      </c>
      <c r="J521" s="11">
        <v>3.5958176000000002</v>
      </c>
      <c r="K521" s="11" t="str">
        <f>IF(Table1[[#This Row],[Solar 
Resource]]&lt;3,"Low", IF(Table1[[#This Row],[Solar 
Resource]]&lt;4, "Moderate","High"))</f>
        <v>Moderate</v>
      </c>
      <c r="L521" s="11">
        <v>0.98002529999999999</v>
      </c>
      <c r="M521" s="11">
        <v>6.8809500000000003</v>
      </c>
      <c r="N521" s="11">
        <v>220.80658919999999</v>
      </c>
      <c r="O521" s="11">
        <v>295.88085000000001</v>
      </c>
      <c r="P521" s="11">
        <f>Table1[[#This Row],[Installed Capacity 
(AC -MW)]]/Table1[[#This Row],[Installed Capacity 
(DC -MW)]]</f>
        <v>0.74626860508207948</v>
      </c>
      <c r="Q521" s="12">
        <v>0.21095167000000001</v>
      </c>
      <c r="R521" s="12">
        <v>0.15742663000000001</v>
      </c>
      <c r="S521" s="13">
        <v>45.228551070000002</v>
      </c>
      <c r="T521" s="11">
        <v>9.7120519420000004</v>
      </c>
      <c r="U521" s="11">
        <v>91.413694759999998</v>
      </c>
      <c r="V521" s="13">
        <v>337511.96340000001</v>
      </c>
      <c r="W521" s="13">
        <v>458124.84</v>
      </c>
      <c r="X521" s="13">
        <v>20.056045999999998</v>
      </c>
      <c r="Y521" s="14">
        <f>+Table1[[#This Row],[Generation Cost 
LCOE (USD/MWh)]]+Table1[[#This Row],[Transmission Cost
LCOT (USD/MWh)]]</f>
        <v>65.284597070000004</v>
      </c>
    </row>
    <row r="522" spans="1:25" x14ac:dyDescent="0.3">
      <c r="A522" s="7">
        <v>521</v>
      </c>
      <c r="B522" s="8">
        <v>6526</v>
      </c>
      <c r="C522" s="9">
        <v>48.213679999999997</v>
      </c>
      <c r="D522" s="9">
        <v>-117.26813</v>
      </c>
      <c r="E522" s="10" t="s">
        <v>42</v>
      </c>
      <c r="F522" s="10" t="s">
        <v>4</v>
      </c>
      <c r="G522" s="10" t="s">
        <v>30</v>
      </c>
      <c r="H522" s="10">
        <v>-8</v>
      </c>
      <c r="I522" s="11">
        <v>737</v>
      </c>
      <c r="J522" s="11">
        <v>3.5760931999999999</v>
      </c>
      <c r="K522" s="11" t="str">
        <f>IF(Table1[[#This Row],[Solar 
Resource]]&lt;3,"Low", IF(Table1[[#This Row],[Solar 
Resource]]&lt;4, "Moderate","High"))</f>
        <v>Moderate</v>
      </c>
      <c r="L522" s="11">
        <v>0.98013640000000002</v>
      </c>
      <c r="M522" s="11">
        <v>34.697809419999999</v>
      </c>
      <c r="N522" s="11">
        <v>1113.437091</v>
      </c>
      <c r="O522" s="11">
        <v>1492.005805</v>
      </c>
      <c r="P522" s="11">
        <f>Table1[[#This Row],[Installed Capacity 
(AC -MW)]]/Table1[[#This Row],[Installed Capacity 
(DC -MW)]]</f>
        <v>0.74626860516806104</v>
      </c>
      <c r="Q522" s="12">
        <v>0.20719306000000001</v>
      </c>
      <c r="R522" s="12">
        <v>0.1546217</v>
      </c>
      <c r="S522" s="13">
        <v>46.05311322</v>
      </c>
      <c r="T522" s="11">
        <v>2.8991883089999999</v>
      </c>
      <c r="U522" s="11">
        <v>87.120831120000005</v>
      </c>
      <c r="V522" s="13">
        <v>318333.77490000002</v>
      </c>
      <c r="W522" s="13">
        <v>387659.03</v>
      </c>
      <c r="X522" s="13">
        <v>17.279019999999999</v>
      </c>
      <c r="Y522" s="14">
        <f>+Table1[[#This Row],[Generation Cost 
LCOE (USD/MWh)]]+Table1[[#This Row],[Transmission Cost
LCOT (USD/MWh)]]</f>
        <v>63.332133220000003</v>
      </c>
    </row>
    <row r="523" spans="1:25" x14ac:dyDescent="0.3">
      <c r="A523" s="7">
        <v>522</v>
      </c>
      <c r="B523" s="8">
        <v>6527</v>
      </c>
      <c r="C523" s="9">
        <v>48.235354999999998</v>
      </c>
      <c r="D523" s="9">
        <v>-117.107956</v>
      </c>
      <c r="E523" s="10" t="s">
        <v>42</v>
      </c>
      <c r="F523" s="10" t="s">
        <v>4</v>
      </c>
      <c r="G523" s="10" t="s">
        <v>30</v>
      </c>
      <c r="H523" s="10">
        <v>-8</v>
      </c>
      <c r="I523" s="11">
        <v>803.15</v>
      </c>
      <c r="J523" s="11">
        <v>3.5579740000000002</v>
      </c>
      <c r="K523" s="11" t="str">
        <f>IF(Table1[[#This Row],[Solar 
Resource]]&lt;3,"Low", IF(Table1[[#This Row],[Solar 
Resource]]&lt;4, "Moderate","High"))</f>
        <v>Moderate</v>
      </c>
      <c r="L523" s="11">
        <v>0.98043864999999997</v>
      </c>
      <c r="M523" s="11">
        <v>32.035094600000001</v>
      </c>
      <c r="N523" s="11">
        <v>1027.9918929999999</v>
      </c>
      <c r="O523" s="11">
        <v>1377.5090680000001</v>
      </c>
      <c r="P523" s="11">
        <f>Table1[[#This Row],[Installed Capacity 
(AC -MW)]]/Table1[[#This Row],[Installed Capacity 
(DC -MW)]]</f>
        <v>0.74626869389145822</v>
      </c>
      <c r="Q523" s="12">
        <v>0.20577075</v>
      </c>
      <c r="R523" s="12">
        <v>0.15356023999999999</v>
      </c>
      <c r="S523" s="13">
        <v>46.38267759</v>
      </c>
      <c r="T523" s="11">
        <v>1.1763961030000001</v>
      </c>
      <c r="U523" s="11">
        <v>130.5718311</v>
      </c>
      <c r="V523" s="13">
        <v>529364.88</v>
      </c>
      <c r="W523" s="13">
        <v>585941.43999999994</v>
      </c>
      <c r="X523" s="13">
        <v>26.297530999999999</v>
      </c>
      <c r="Y523" s="14">
        <f>+Table1[[#This Row],[Generation Cost 
LCOE (USD/MWh)]]+Table1[[#This Row],[Transmission Cost
LCOT (USD/MWh)]]</f>
        <v>72.680208590000007</v>
      </c>
    </row>
    <row r="524" spans="1:25" x14ac:dyDescent="0.3">
      <c r="A524" s="7">
        <v>523</v>
      </c>
      <c r="B524" s="8">
        <v>6528</v>
      </c>
      <c r="C524" s="9">
        <v>48.256869999999999</v>
      </c>
      <c r="D524" s="9">
        <v>-116.94766</v>
      </c>
      <c r="E524" s="10" t="s">
        <v>42</v>
      </c>
      <c r="F524" s="10" t="s">
        <v>1</v>
      </c>
      <c r="G524" s="10" t="s">
        <v>9</v>
      </c>
      <c r="H524" s="10">
        <v>-8</v>
      </c>
      <c r="I524" s="11">
        <v>818.5</v>
      </c>
      <c r="J524" s="11">
        <v>3.517347</v>
      </c>
      <c r="K524" s="11" t="str">
        <f>IF(Table1[[#This Row],[Solar 
Resource]]&lt;3,"Low", IF(Table1[[#This Row],[Solar 
Resource]]&lt;4, "Moderate","High"))</f>
        <v>Moderate</v>
      </c>
      <c r="L524" s="11">
        <v>0.98083955</v>
      </c>
      <c r="M524" s="11">
        <v>22.002839210000001</v>
      </c>
      <c r="N524" s="11">
        <v>706.06120929999997</v>
      </c>
      <c r="O524" s="11">
        <v>946.12208599999997</v>
      </c>
      <c r="P524" s="11">
        <f>Table1[[#This Row],[Installed Capacity 
(AC -MW)]]/Table1[[#This Row],[Installed Capacity 
(DC -MW)]]</f>
        <v>0.74626860502229098</v>
      </c>
      <c r="Q524" s="12">
        <v>0.20218168</v>
      </c>
      <c r="R524" s="12">
        <v>0.15088183999999999</v>
      </c>
      <c r="S524" s="13">
        <v>47.221193800000002</v>
      </c>
      <c r="T524" s="11">
        <v>10.6338896</v>
      </c>
      <c r="U524" s="11">
        <v>315.34175310000001</v>
      </c>
      <c r="V524" s="13">
        <v>1168665.02</v>
      </c>
      <c r="W524" s="13">
        <v>1269282.3999999999</v>
      </c>
      <c r="X524" s="13">
        <v>57.977684000000004</v>
      </c>
      <c r="Y524" s="14">
        <f>+Table1[[#This Row],[Generation Cost 
LCOE (USD/MWh)]]+Table1[[#This Row],[Transmission Cost
LCOT (USD/MWh)]]</f>
        <v>105.19887780000001</v>
      </c>
    </row>
    <row r="525" spans="1:25" x14ac:dyDescent="0.3">
      <c r="A525" s="7">
        <v>524</v>
      </c>
      <c r="B525" s="8">
        <v>6529</v>
      </c>
      <c r="C525" s="9">
        <v>48.278224999999999</v>
      </c>
      <c r="D525" s="9">
        <v>-116.78725</v>
      </c>
      <c r="E525" s="10" t="s">
        <v>42</v>
      </c>
      <c r="F525" s="10" t="s">
        <v>1</v>
      </c>
      <c r="G525" s="10" t="s">
        <v>9</v>
      </c>
      <c r="H525" s="10">
        <v>-8</v>
      </c>
      <c r="I525" s="11">
        <v>856.05263160000004</v>
      </c>
      <c r="J525" s="11">
        <v>3.4805503</v>
      </c>
      <c r="K525" s="11" t="str">
        <f>IF(Table1[[#This Row],[Solar 
Resource]]&lt;3,"Low", IF(Table1[[#This Row],[Solar 
Resource]]&lt;4, "Moderate","High"))</f>
        <v>Moderate</v>
      </c>
      <c r="L525" s="11">
        <v>0.98114645</v>
      </c>
      <c r="M525" s="11">
        <v>17.137816260000001</v>
      </c>
      <c r="N525" s="11">
        <v>549.9448774</v>
      </c>
      <c r="O525" s="11">
        <v>736.92609919999995</v>
      </c>
      <c r="P525" s="11">
        <f>Table1[[#This Row],[Installed Capacity 
(AC -MW)]]/Table1[[#This Row],[Installed Capacity 
(DC -MW)]]</f>
        <v>0.74626869369535831</v>
      </c>
      <c r="Q525" s="12">
        <v>0.2003008</v>
      </c>
      <c r="R525" s="12">
        <v>0.14947822999999999</v>
      </c>
      <c r="S525" s="13">
        <v>47.676316610000001</v>
      </c>
      <c r="T525" s="11">
        <v>14.557707779999999</v>
      </c>
      <c r="U525" s="11">
        <v>315.34175310000001</v>
      </c>
      <c r="V525" s="13">
        <v>1168665.02</v>
      </c>
      <c r="W525" s="13">
        <v>1284461.8</v>
      </c>
      <c r="X525" s="13">
        <v>59.221977000000003</v>
      </c>
      <c r="Y525" s="14">
        <f>+Table1[[#This Row],[Generation Cost 
LCOE (USD/MWh)]]+Table1[[#This Row],[Transmission Cost
LCOT (USD/MWh)]]</f>
        <v>106.89829361</v>
      </c>
    </row>
    <row r="526" spans="1:25" x14ac:dyDescent="0.3">
      <c r="A526" s="7">
        <v>525</v>
      </c>
      <c r="B526" s="8">
        <v>6530</v>
      </c>
      <c r="C526" s="9">
        <v>48.299419999999998</v>
      </c>
      <c r="D526" s="9">
        <v>-116.62671</v>
      </c>
      <c r="E526" s="10" t="s">
        <v>42</v>
      </c>
      <c r="F526" s="10" t="s">
        <v>1</v>
      </c>
      <c r="G526" s="10" t="s">
        <v>9</v>
      </c>
      <c r="H526" s="10">
        <v>-8</v>
      </c>
      <c r="I526" s="11">
        <v>856.93333329999996</v>
      </c>
      <c r="J526" s="11">
        <v>3.4430619999999998</v>
      </c>
      <c r="K526" s="11" t="str">
        <f>IF(Table1[[#This Row],[Solar 
Resource]]&lt;3,"Low", IF(Table1[[#This Row],[Solar 
Resource]]&lt;4, "Moderate","High"))</f>
        <v>Moderate</v>
      </c>
      <c r="L526" s="11">
        <v>0.98082559999999996</v>
      </c>
      <c r="M526" s="11">
        <v>9.1093398929999996</v>
      </c>
      <c r="N526" s="11">
        <v>292.31461810000002</v>
      </c>
      <c r="O526" s="11">
        <v>391.70161539999998</v>
      </c>
      <c r="P526" s="11">
        <f>Table1[[#This Row],[Installed Capacity 
(AC -MW)]]/Table1[[#This Row],[Installed Capacity 
(DC -MW)]]</f>
        <v>0.74626860499794623</v>
      </c>
      <c r="Q526" s="12">
        <v>0.19826382000000001</v>
      </c>
      <c r="R526" s="12">
        <v>0.14795807999999999</v>
      </c>
      <c r="S526" s="13">
        <v>48.153788349999999</v>
      </c>
      <c r="T526" s="11">
        <v>4.3764675300000002</v>
      </c>
      <c r="U526" s="11">
        <v>345.46370760000002</v>
      </c>
      <c r="V526" s="13">
        <v>1313264.872</v>
      </c>
      <c r="W526" s="13">
        <v>1378635.6</v>
      </c>
      <c r="X526" s="13">
        <v>64.217060000000004</v>
      </c>
      <c r="Y526" s="14">
        <f>+Table1[[#This Row],[Generation Cost 
LCOE (USD/MWh)]]+Table1[[#This Row],[Transmission Cost
LCOT (USD/MWh)]]</f>
        <v>112.37084835</v>
      </c>
    </row>
    <row r="527" spans="1:25" x14ac:dyDescent="0.3">
      <c r="A527" s="7">
        <v>526</v>
      </c>
      <c r="B527" s="8">
        <v>6531</v>
      </c>
      <c r="C527" s="9">
        <v>48.320450000000001</v>
      </c>
      <c r="D527" s="9">
        <v>-116.46605</v>
      </c>
      <c r="E527" s="10" t="s">
        <v>42</v>
      </c>
      <c r="F527" s="10" t="s">
        <v>1</v>
      </c>
      <c r="G527" s="10" t="s">
        <v>9</v>
      </c>
      <c r="H527" s="10">
        <v>-8</v>
      </c>
      <c r="I527" s="11">
        <v>680.6</v>
      </c>
      <c r="J527" s="11">
        <v>3.4930425000000001</v>
      </c>
      <c r="K527" s="11" t="str">
        <f>IF(Table1[[#This Row],[Solar 
Resource]]&lt;3,"Low", IF(Table1[[#This Row],[Solar 
Resource]]&lt;4, "Moderate","High"))</f>
        <v>Moderate</v>
      </c>
      <c r="L527" s="11">
        <v>0.98122555</v>
      </c>
      <c r="M527" s="11">
        <v>24.885873629999999</v>
      </c>
      <c r="N527" s="11">
        <v>798.57648670000003</v>
      </c>
      <c r="O527" s="11">
        <v>1070.092566</v>
      </c>
      <c r="P527" s="11">
        <f>Table1[[#This Row],[Installed Capacity 
(AC -MW)]]/Table1[[#This Row],[Installed Capacity 
(DC -MW)]]</f>
        <v>0.74626860523391392</v>
      </c>
      <c r="Q527" s="12">
        <v>0.20047880000000001</v>
      </c>
      <c r="R527" s="12">
        <v>0.14961105999999999</v>
      </c>
      <c r="S527" s="13">
        <v>47.637000759999999</v>
      </c>
      <c r="T527" s="11">
        <v>1.229116882</v>
      </c>
      <c r="U527" s="11">
        <v>358.50201279999999</v>
      </c>
      <c r="V527" s="13">
        <v>1365751.17</v>
      </c>
      <c r="W527" s="13">
        <v>1412847.4</v>
      </c>
      <c r="X527" s="13">
        <v>65.083539999999999</v>
      </c>
      <c r="Y527" s="14">
        <f>+Table1[[#This Row],[Generation Cost 
LCOE (USD/MWh)]]+Table1[[#This Row],[Transmission Cost
LCOT (USD/MWh)]]</f>
        <v>112.72054076000001</v>
      </c>
    </row>
    <row r="528" spans="1:25" x14ac:dyDescent="0.3">
      <c r="A528" s="7">
        <v>527</v>
      </c>
      <c r="B528" s="8">
        <v>6532</v>
      </c>
      <c r="C528" s="9">
        <v>48.341324</v>
      </c>
      <c r="D528" s="9">
        <v>-116.30526999999999</v>
      </c>
      <c r="E528" s="10" t="s">
        <v>42</v>
      </c>
      <c r="F528" s="10" t="s">
        <v>1</v>
      </c>
      <c r="G528" s="10" t="s">
        <v>9</v>
      </c>
      <c r="H528" s="10">
        <v>-8</v>
      </c>
      <c r="I528" s="11">
        <v>976.35714289999999</v>
      </c>
      <c r="J528" s="11">
        <v>3.514135</v>
      </c>
      <c r="K528" s="11" t="str">
        <f>IF(Table1[[#This Row],[Solar 
Resource]]&lt;3,"Low", IF(Table1[[#This Row],[Solar 
Resource]]&lt;4, "Moderate","High"))</f>
        <v>Moderate</v>
      </c>
      <c r="L528" s="11">
        <v>0.98158800000000002</v>
      </c>
      <c r="M528" s="11">
        <v>10.48852903</v>
      </c>
      <c r="N528" s="11">
        <v>336.57213689999998</v>
      </c>
      <c r="O528" s="11">
        <v>451.0067482</v>
      </c>
      <c r="P528" s="11">
        <f>Table1[[#This Row],[Installed Capacity 
(AC -MW)]]/Table1[[#This Row],[Installed Capacity 
(DC -MW)]]</f>
        <v>0.74626851647626846</v>
      </c>
      <c r="Q528" s="12">
        <v>0.20361498</v>
      </c>
      <c r="R528" s="12">
        <v>0.15195148</v>
      </c>
      <c r="S528" s="13">
        <v>46.916862389999999</v>
      </c>
      <c r="T528" s="11">
        <v>9.0602142800000003</v>
      </c>
      <c r="U528" s="11">
        <v>364.75303880000001</v>
      </c>
      <c r="V528" s="13">
        <v>1391179.6680000001</v>
      </c>
      <c r="W528" s="13">
        <v>1511049.2</v>
      </c>
      <c r="X528" s="13">
        <v>68.535139999999998</v>
      </c>
      <c r="Y528" s="14">
        <f>+Table1[[#This Row],[Generation Cost 
LCOE (USD/MWh)]]+Table1[[#This Row],[Transmission Cost
LCOT (USD/MWh)]]</f>
        <v>115.45200238999999</v>
      </c>
    </row>
    <row r="529" spans="1:25" x14ac:dyDescent="0.3">
      <c r="A529" s="7">
        <v>528</v>
      </c>
      <c r="B529" s="8">
        <v>6533</v>
      </c>
      <c r="C529" s="9">
        <v>48.362029999999997</v>
      </c>
      <c r="D529" s="9">
        <v>-116.14438</v>
      </c>
      <c r="E529" s="10" t="s">
        <v>42</v>
      </c>
      <c r="F529" s="10" t="s">
        <v>1</v>
      </c>
      <c r="G529" s="10" t="s">
        <v>9</v>
      </c>
      <c r="H529" s="10">
        <v>-8</v>
      </c>
      <c r="I529" s="11">
        <v>1611</v>
      </c>
      <c r="J529" s="11">
        <v>3.4314624999999999</v>
      </c>
      <c r="K529" s="11" t="str">
        <f>IF(Table1[[#This Row],[Solar 
Resource]]&lt;3,"Low", IF(Table1[[#This Row],[Solar 
Resource]]&lt;4, "Moderate","High"))</f>
        <v>Moderate</v>
      </c>
      <c r="L529" s="11">
        <v>0.98195109999999997</v>
      </c>
      <c r="M529" s="11">
        <v>0.19958401100000001</v>
      </c>
      <c r="N529" s="11">
        <v>6.4045603270000004</v>
      </c>
      <c r="O529" s="11">
        <v>8.5821124520000005</v>
      </c>
      <c r="P529" s="11">
        <f>Table1[[#This Row],[Installed Capacity 
(AC -MW)]]/Table1[[#This Row],[Installed Capacity 
(DC -MW)]]</f>
        <v>0.74626851638461844</v>
      </c>
      <c r="Q529" s="12">
        <v>0.20041466999999999</v>
      </c>
      <c r="R529" s="12">
        <v>0.14956317999999999</v>
      </c>
      <c r="S529" s="13">
        <v>61.856249040000002</v>
      </c>
      <c r="T529" s="11">
        <v>20.891240249999999</v>
      </c>
      <c r="U529" s="11">
        <v>364.75303880000001</v>
      </c>
      <c r="V529" s="13">
        <v>1391179.6680000001</v>
      </c>
      <c r="W529" s="13">
        <v>1636065</v>
      </c>
      <c r="X529" s="13">
        <v>75.390299999999996</v>
      </c>
      <c r="Y529" s="14">
        <f>+Table1[[#This Row],[Generation Cost 
LCOE (USD/MWh)]]+Table1[[#This Row],[Transmission Cost
LCOT (USD/MWh)]]</f>
        <v>137.24654903999999</v>
      </c>
    </row>
    <row r="530" spans="1:25" x14ac:dyDescent="0.3">
      <c r="A530" s="7">
        <v>529</v>
      </c>
      <c r="B530" s="8">
        <v>6534</v>
      </c>
      <c r="C530" s="9">
        <v>48.382579999999997</v>
      </c>
      <c r="D530" s="9">
        <v>-115.98336999999999</v>
      </c>
      <c r="E530" s="10" t="s">
        <v>42</v>
      </c>
      <c r="F530" s="10" t="s">
        <v>3</v>
      </c>
      <c r="G530" s="10" t="s">
        <v>27</v>
      </c>
      <c r="H530" s="10">
        <v>-7</v>
      </c>
      <c r="I530" s="11">
        <v>1052.9000000000001</v>
      </c>
      <c r="J530" s="11">
        <v>3.4884002000000001</v>
      </c>
      <c r="K530" s="11" t="str">
        <f>IF(Table1[[#This Row],[Solar 
Resource]]&lt;3,"Low", IF(Table1[[#This Row],[Solar 
Resource]]&lt;4, "Moderate","High"))</f>
        <v>Moderate</v>
      </c>
      <c r="L530" s="11">
        <v>0.98237580000000002</v>
      </c>
      <c r="M530" s="11">
        <v>2.9347920589999998</v>
      </c>
      <c r="N530" s="11">
        <v>94.176156579999997</v>
      </c>
      <c r="O530" s="11">
        <v>126.1960586</v>
      </c>
      <c r="P530" s="11">
        <f>Table1[[#This Row],[Installed Capacity 
(AC -MW)]]/Table1[[#This Row],[Installed Capacity 
(DC -MW)]]</f>
        <v>0.7462686047787549</v>
      </c>
      <c r="Q530" s="12">
        <v>0.20089135999999999</v>
      </c>
      <c r="R530" s="12">
        <v>0.14991893000000001</v>
      </c>
      <c r="S530" s="13">
        <v>47.582906600000001</v>
      </c>
      <c r="T530" s="11">
        <v>11.763961030000001</v>
      </c>
      <c r="U530" s="11">
        <v>333.76480500000002</v>
      </c>
      <c r="V530" s="13">
        <v>1447217.798</v>
      </c>
      <c r="W530" s="13">
        <v>1603660.4</v>
      </c>
      <c r="X530" s="13">
        <v>73.721729999999994</v>
      </c>
      <c r="Y530" s="14">
        <f>+Table1[[#This Row],[Generation Cost 
LCOE (USD/MWh)]]+Table1[[#This Row],[Transmission Cost
LCOT (USD/MWh)]]</f>
        <v>121.30463659999999</v>
      </c>
    </row>
    <row r="531" spans="1:25" x14ac:dyDescent="0.3">
      <c r="A531" s="7">
        <v>530</v>
      </c>
      <c r="B531" s="8">
        <v>6535</v>
      </c>
      <c r="C531" s="9">
        <v>48.402965999999999</v>
      </c>
      <c r="D531" s="9">
        <v>-115.82223500000001</v>
      </c>
      <c r="E531" s="10" t="s">
        <v>42</v>
      </c>
      <c r="F531" s="10" t="s">
        <v>3</v>
      </c>
      <c r="G531" s="10" t="s">
        <v>27</v>
      </c>
      <c r="H531" s="10">
        <v>-7</v>
      </c>
      <c r="I531" s="11">
        <v>910.90909090000002</v>
      </c>
      <c r="J531" s="11">
        <v>3.4780897999999998</v>
      </c>
      <c r="K531" s="11" t="str">
        <f>IF(Table1[[#This Row],[Solar 
Resource]]&lt;3,"Low", IF(Table1[[#This Row],[Solar 
Resource]]&lt;4, "Moderate","High"))</f>
        <v>Moderate</v>
      </c>
      <c r="L531" s="11">
        <v>0.98267170000000004</v>
      </c>
      <c r="M531" s="11">
        <v>18.822778419999999</v>
      </c>
      <c r="N531" s="11">
        <v>604.01456129999997</v>
      </c>
      <c r="O531" s="11">
        <v>809.37947199999996</v>
      </c>
      <c r="P531" s="11">
        <f>Table1[[#This Row],[Installed Capacity 
(AC -MW)]]/Table1[[#This Row],[Installed Capacity 
(DC -MW)]]</f>
        <v>0.74626869372837268</v>
      </c>
      <c r="Q531" s="12">
        <v>0.19830205000000001</v>
      </c>
      <c r="R531" s="12">
        <v>0.14798659</v>
      </c>
      <c r="S531" s="13">
        <v>48.215621050000003</v>
      </c>
      <c r="T531" s="11">
        <v>4.0100714269999997</v>
      </c>
      <c r="U531" s="11">
        <v>330.32561670000001</v>
      </c>
      <c r="V531" s="13">
        <v>1432896.3030000001</v>
      </c>
      <c r="W531" s="13">
        <v>1507700.2</v>
      </c>
      <c r="X531" s="13">
        <v>70.215369999999993</v>
      </c>
      <c r="Y531" s="14">
        <f>+Table1[[#This Row],[Generation Cost 
LCOE (USD/MWh)]]+Table1[[#This Row],[Transmission Cost
LCOT (USD/MWh)]]</f>
        <v>118.43099104999999</v>
      </c>
    </row>
    <row r="532" spans="1:25" x14ac:dyDescent="0.3">
      <c r="A532" s="7">
        <v>531</v>
      </c>
      <c r="B532" s="8">
        <v>6536</v>
      </c>
      <c r="C532" s="9">
        <v>48.423186999999999</v>
      </c>
      <c r="D532" s="9">
        <v>-115.66098</v>
      </c>
      <c r="E532" s="10" t="s">
        <v>42</v>
      </c>
      <c r="F532" s="10" t="s">
        <v>3</v>
      </c>
      <c r="G532" s="10" t="s">
        <v>27</v>
      </c>
      <c r="H532" s="10">
        <v>-7</v>
      </c>
      <c r="I532" s="11">
        <v>940</v>
      </c>
      <c r="J532" s="11">
        <v>3.5091749999999999</v>
      </c>
      <c r="K532" s="11" t="str">
        <f>IF(Table1[[#This Row],[Solar 
Resource]]&lt;3,"Low", IF(Table1[[#This Row],[Solar 
Resource]]&lt;4, "Moderate","High"))</f>
        <v>Moderate</v>
      </c>
      <c r="L532" s="11">
        <v>0.98304117000000002</v>
      </c>
      <c r="M532" s="11">
        <v>4.5108091190000001</v>
      </c>
      <c r="N532" s="11">
        <v>144.7498348</v>
      </c>
      <c r="O532" s="11">
        <v>193.96479210000001</v>
      </c>
      <c r="P532" s="11">
        <f>Table1[[#This Row],[Installed Capacity 
(AC -MW)]]/Table1[[#This Row],[Installed Capacity 
(DC -MW)]]</f>
        <v>0.74626860489904334</v>
      </c>
      <c r="Q532" s="12">
        <v>0.19961159000000001</v>
      </c>
      <c r="R532" s="12">
        <v>0.14896387999999999</v>
      </c>
      <c r="S532" s="13">
        <v>47.913443479999998</v>
      </c>
      <c r="T532" s="11">
        <v>2.6291883089999999</v>
      </c>
      <c r="U532" s="11">
        <v>315.51709720000002</v>
      </c>
      <c r="V532" s="13">
        <v>1342448.7239999999</v>
      </c>
      <c r="W532" s="13">
        <v>1424695.4</v>
      </c>
      <c r="X532" s="13">
        <v>65.914450000000002</v>
      </c>
      <c r="Y532" s="14">
        <f>+Table1[[#This Row],[Generation Cost 
LCOE (USD/MWh)]]+Table1[[#This Row],[Transmission Cost
LCOT (USD/MWh)]]</f>
        <v>113.82789348</v>
      </c>
    </row>
    <row r="533" spans="1:25" x14ac:dyDescent="0.3">
      <c r="A533" s="7">
        <v>532</v>
      </c>
      <c r="B533" s="8">
        <v>6537</v>
      </c>
      <c r="C533" s="9">
        <v>48.443252999999999</v>
      </c>
      <c r="D533" s="9">
        <v>-115.49961999999999</v>
      </c>
      <c r="E533" s="10" t="s">
        <v>42</v>
      </c>
      <c r="F533" s="10" t="s">
        <v>3</v>
      </c>
      <c r="G533" s="10" t="s">
        <v>27</v>
      </c>
      <c r="H533" s="10">
        <v>-7</v>
      </c>
      <c r="I533" s="11">
        <v>1019</v>
      </c>
      <c r="J533" s="11">
        <v>3.5301008</v>
      </c>
      <c r="K533" s="11" t="str">
        <f>IF(Table1[[#This Row],[Solar 
Resource]]&lt;3,"Low", IF(Table1[[#This Row],[Solar 
Resource]]&lt;4, "Moderate","High"))</f>
        <v>Moderate</v>
      </c>
      <c r="L533" s="11">
        <v>0.98325300000000004</v>
      </c>
      <c r="M533" s="11">
        <v>19.93337227</v>
      </c>
      <c r="N533" s="11">
        <v>639.65294640000002</v>
      </c>
      <c r="O533" s="11">
        <v>857.13500739999995</v>
      </c>
      <c r="P533" s="11">
        <f>Table1[[#This Row],[Installed Capacity 
(AC -MW)]]/Table1[[#This Row],[Installed Capacity 
(DC -MW)]]</f>
        <v>0.74626860515276172</v>
      </c>
      <c r="Q533" s="12">
        <v>0.20180682999999999</v>
      </c>
      <c r="R533" s="12">
        <v>0.15060212000000001</v>
      </c>
      <c r="S533" s="13">
        <v>47.40026435</v>
      </c>
      <c r="T533" s="11">
        <v>2.9455129860000002</v>
      </c>
      <c r="U533" s="11">
        <v>300.860344</v>
      </c>
      <c r="V533" s="13">
        <v>1273006.361</v>
      </c>
      <c r="W533" s="13">
        <v>1350790</v>
      </c>
      <c r="X533" s="13">
        <v>61.815356999999999</v>
      </c>
      <c r="Y533" s="14">
        <f>+Table1[[#This Row],[Generation Cost 
LCOE (USD/MWh)]]+Table1[[#This Row],[Transmission Cost
LCOT (USD/MWh)]]</f>
        <v>109.21562134999999</v>
      </c>
    </row>
    <row r="534" spans="1:25" x14ac:dyDescent="0.3">
      <c r="A534" s="7">
        <v>533</v>
      </c>
      <c r="B534" s="8">
        <v>6538</v>
      </c>
      <c r="C534" s="9">
        <v>48.463149999999999</v>
      </c>
      <c r="D534" s="9">
        <v>-115.33814</v>
      </c>
      <c r="E534" s="10" t="s">
        <v>42</v>
      </c>
      <c r="F534" s="10" t="s">
        <v>3</v>
      </c>
      <c r="G534" s="10" t="s">
        <v>27</v>
      </c>
      <c r="H534" s="10">
        <v>-7</v>
      </c>
      <c r="I534" s="11">
        <v>1051.625</v>
      </c>
      <c r="J534" s="11">
        <v>3.5363072999999998</v>
      </c>
      <c r="K534" s="11" t="str">
        <f>IF(Table1[[#This Row],[Solar 
Resource]]&lt;3,"Low", IF(Table1[[#This Row],[Solar 
Resource]]&lt;4, "Moderate","High"))</f>
        <v>Moderate</v>
      </c>
      <c r="L534" s="11">
        <v>0.98348760000000002</v>
      </c>
      <c r="M534" s="11">
        <v>6.6381121580000002</v>
      </c>
      <c r="N534" s="11">
        <v>213.01403210000001</v>
      </c>
      <c r="O534" s="11">
        <v>285.43882280000003</v>
      </c>
      <c r="P534" s="11">
        <f>Table1[[#This Row],[Installed Capacity 
(AC -MW)]]/Table1[[#This Row],[Installed Capacity 
(DC -MW)]]</f>
        <v>0.74626860498669345</v>
      </c>
      <c r="Q534" s="12">
        <v>0.20346718</v>
      </c>
      <c r="R534" s="12">
        <v>0.15184117999999999</v>
      </c>
      <c r="S534" s="13">
        <v>47.022276769999998</v>
      </c>
      <c r="T534" s="11">
        <v>7.4710973980000004</v>
      </c>
      <c r="U534" s="11">
        <v>288.27998689999998</v>
      </c>
      <c r="V534" s="13">
        <v>1192399.6459999999</v>
      </c>
      <c r="W534" s="13">
        <v>1301662</v>
      </c>
      <c r="X534" s="13">
        <v>59.081060000000001</v>
      </c>
      <c r="Y534" s="14">
        <f>+Table1[[#This Row],[Generation Cost 
LCOE (USD/MWh)]]+Table1[[#This Row],[Transmission Cost
LCOT (USD/MWh)]]</f>
        <v>106.10333677</v>
      </c>
    </row>
    <row r="535" spans="1:25" x14ac:dyDescent="0.3">
      <c r="A535" s="7">
        <v>534</v>
      </c>
      <c r="B535" s="8">
        <v>6539</v>
      </c>
      <c r="C535" s="9">
        <v>48.482886999999998</v>
      </c>
      <c r="D535" s="9">
        <v>-115.17655000000001</v>
      </c>
      <c r="E535" s="10" t="s">
        <v>42</v>
      </c>
      <c r="F535" s="10" t="s">
        <v>3</v>
      </c>
      <c r="G535" s="10" t="s">
        <v>27</v>
      </c>
      <c r="H535" s="10">
        <v>-7</v>
      </c>
      <c r="I535" s="11">
        <v>1087.727273</v>
      </c>
      <c r="J535" s="11">
        <v>3.5447546999999999</v>
      </c>
      <c r="K535" s="11" t="str">
        <f>IF(Table1[[#This Row],[Solar 
Resource]]&lt;3,"Low", IF(Table1[[#This Row],[Solar 
Resource]]&lt;4, "Moderate","High"))</f>
        <v>Moderate</v>
      </c>
      <c r="L535" s="11">
        <v>0.98367417000000001</v>
      </c>
      <c r="M535" s="11">
        <v>4.0752719600000002</v>
      </c>
      <c r="N535" s="11">
        <v>130.77365900000001</v>
      </c>
      <c r="O535" s="11">
        <v>175.23669430000001</v>
      </c>
      <c r="P535" s="11">
        <f>Table1[[#This Row],[Installed Capacity 
(AC -MW)]]/Table1[[#This Row],[Installed Capacity 
(DC -MW)]]</f>
        <v>0.74626869402203733</v>
      </c>
      <c r="Q535" s="12">
        <v>0.20455029999999999</v>
      </c>
      <c r="R535" s="12">
        <v>0.15264949</v>
      </c>
      <c r="S535" s="13">
        <v>46.780246720000001</v>
      </c>
      <c r="T535" s="11">
        <v>15.14403246</v>
      </c>
      <c r="U535" s="11">
        <v>288.27998689999998</v>
      </c>
      <c r="V535" s="13">
        <v>1192399.6459999999</v>
      </c>
      <c r="W535" s="13">
        <v>1372118.5</v>
      </c>
      <c r="X535" s="13">
        <v>61.94923</v>
      </c>
      <c r="Y535" s="14">
        <f>+Table1[[#This Row],[Generation Cost 
LCOE (USD/MWh)]]+Table1[[#This Row],[Transmission Cost
LCOT (USD/MWh)]]</f>
        <v>108.72947672000001</v>
      </c>
    </row>
    <row r="536" spans="1:25" x14ac:dyDescent="0.3">
      <c r="A536" s="7">
        <v>535</v>
      </c>
      <c r="B536" s="8">
        <v>6540</v>
      </c>
      <c r="C536" s="9">
        <v>48.502464000000003</v>
      </c>
      <c r="D536" s="9">
        <v>-115.01485</v>
      </c>
      <c r="E536" s="10" t="s">
        <v>42</v>
      </c>
      <c r="F536" s="10" t="s">
        <v>3</v>
      </c>
      <c r="G536" s="10" t="s">
        <v>27</v>
      </c>
      <c r="H536" s="10">
        <v>-7</v>
      </c>
      <c r="I536" s="11">
        <v>1284</v>
      </c>
      <c r="J536" s="11">
        <v>3.5022829999999998</v>
      </c>
      <c r="K536" s="11" t="str">
        <f>IF(Table1[[#This Row],[Solar 
Resource]]&lt;3,"Low", IF(Table1[[#This Row],[Solar 
Resource]]&lt;4, "Moderate","High"))</f>
        <v>Moderate</v>
      </c>
      <c r="L536" s="11">
        <v>0.98394214999999996</v>
      </c>
      <c r="M536" s="11">
        <v>1.974780025</v>
      </c>
      <c r="N536" s="11">
        <v>63.369802380000003</v>
      </c>
      <c r="O536" s="11">
        <v>84.915541059999995</v>
      </c>
      <c r="P536" s="11">
        <f>Table1[[#This Row],[Installed Capacity 
(AC -MW)]]/Table1[[#This Row],[Installed Capacity 
(DC -MW)]]</f>
        <v>0.74626860512169246</v>
      </c>
      <c r="Q536" s="12">
        <v>0.20326747000000001</v>
      </c>
      <c r="R536" s="12">
        <v>0.15169214</v>
      </c>
      <c r="S536" s="13">
        <v>47.565898310000001</v>
      </c>
      <c r="T536" s="11">
        <v>8.2874935010000002</v>
      </c>
      <c r="U536" s="11">
        <v>300.06642840000001</v>
      </c>
      <c r="V536" s="13">
        <v>1252291.0120000001</v>
      </c>
      <c r="W536" s="13">
        <v>1391100.9</v>
      </c>
      <c r="X536" s="13">
        <v>63.202632999999999</v>
      </c>
      <c r="Y536" s="14">
        <f>+Table1[[#This Row],[Generation Cost 
LCOE (USD/MWh)]]+Table1[[#This Row],[Transmission Cost
LCOT (USD/MWh)]]</f>
        <v>110.76853131</v>
      </c>
    </row>
    <row r="537" spans="1:25" x14ac:dyDescent="0.3">
      <c r="A537" s="7">
        <v>536</v>
      </c>
      <c r="B537" s="8">
        <v>6541</v>
      </c>
      <c r="C537" s="9">
        <v>48.521872999999999</v>
      </c>
      <c r="D537" s="9">
        <v>-114.85303</v>
      </c>
      <c r="E537" s="10" t="s">
        <v>42</v>
      </c>
      <c r="F537" s="10" t="s">
        <v>3</v>
      </c>
      <c r="G537" s="10" t="s">
        <v>27</v>
      </c>
      <c r="H537" s="10">
        <v>-7</v>
      </c>
      <c r="I537" s="11">
        <v>1289.666667</v>
      </c>
      <c r="J537" s="11">
        <v>3.497995</v>
      </c>
      <c r="K537" s="11" t="str">
        <f>IF(Table1[[#This Row],[Solar 
Resource]]&lt;3,"Low", IF(Table1[[#This Row],[Solar 
Resource]]&lt;4, "Moderate","High"))</f>
        <v>Moderate</v>
      </c>
      <c r="L537" s="11">
        <v>0.98412853</v>
      </c>
      <c r="M537" s="11">
        <v>0.26503200999999998</v>
      </c>
      <c r="N537" s="11">
        <v>8.5047579379999991</v>
      </c>
      <c r="O537" s="11">
        <v>11.39637643</v>
      </c>
      <c r="P537" s="11">
        <f>Table1[[#This Row],[Installed Capacity 
(AC -MW)]]/Table1[[#This Row],[Installed Capacity 
(DC -MW)]]</f>
        <v>0.74626860478317836</v>
      </c>
      <c r="Q537" s="12">
        <v>0.20318505000000001</v>
      </c>
      <c r="R537" s="12">
        <v>0.15163061</v>
      </c>
      <c r="S537" s="13">
        <v>59.216353259999998</v>
      </c>
      <c r="T537" s="11">
        <v>9.2657986930000007</v>
      </c>
      <c r="U537" s="11">
        <v>299.52642839999999</v>
      </c>
      <c r="V537" s="13">
        <v>1248633.5109999999</v>
      </c>
      <c r="W537" s="13">
        <v>1397010.8</v>
      </c>
      <c r="X537" s="13">
        <v>63.496882999999997</v>
      </c>
      <c r="Y537" s="14">
        <f>+Table1[[#This Row],[Generation Cost 
LCOE (USD/MWh)]]+Table1[[#This Row],[Transmission Cost
LCOT (USD/MWh)]]</f>
        <v>122.71323626</v>
      </c>
    </row>
    <row r="538" spans="1:25" x14ac:dyDescent="0.3">
      <c r="A538" s="7">
        <v>537</v>
      </c>
      <c r="B538" s="8">
        <v>6542</v>
      </c>
      <c r="C538" s="9">
        <v>48.541122000000001</v>
      </c>
      <c r="D538" s="9">
        <v>-114.69110000000001</v>
      </c>
      <c r="E538" s="10" t="s">
        <v>42</v>
      </c>
      <c r="F538" s="10" t="s">
        <v>3</v>
      </c>
      <c r="G538" s="10" t="s">
        <v>15</v>
      </c>
      <c r="H538" s="10">
        <v>-7</v>
      </c>
      <c r="I538" s="11">
        <v>1084.555556</v>
      </c>
      <c r="J538" s="11">
        <v>3.3924310000000002</v>
      </c>
      <c r="K538" s="11" t="str">
        <f>IF(Table1[[#This Row],[Solar 
Resource]]&lt;3,"Low", IF(Table1[[#This Row],[Solar 
Resource]]&lt;4, "Moderate","High"))</f>
        <v>Moderate</v>
      </c>
      <c r="L538" s="11">
        <v>0.98123280000000002</v>
      </c>
      <c r="M538" s="11">
        <v>7.7542915649999999</v>
      </c>
      <c r="N538" s="11">
        <v>248.83175660000001</v>
      </c>
      <c r="O538" s="11">
        <v>333.43453729999999</v>
      </c>
      <c r="P538" s="11">
        <f>Table1[[#This Row],[Installed Capacity 
(AC -MW)]]/Table1[[#This Row],[Installed Capacity 
(DC -MW)]]</f>
        <v>0.74626869374398197</v>
      </c>
      <c r="Q538" s="12">
        <v>0.19568869999999999</v>
      </c>
      <c r="R538" s="12">
        <v>0.14603636</v>
      </c>
      <c r="S538" s="13">
        <v>48.803349470000001</v>
      </c>
      <c r="T538" s="11">
        <v>9.7738181770000008</v>
      </c>
      <c r="U538" s="11">
        <v>246.13485700000001</v>
      </c>
      <c r="V538" s="13">
        <v>937054.66070000001</v>
      </c>
      <c r="W538" s="13">
        <v>1078575.8</v>
      </c>
      <c r="X538" s="13">
        <v>50.901352000000003</v>
      </c>
      <c r="Y538" s="14">
        <f>+Table1[[#This Row],[Generation Cost 
LCOE (USD/MWh)]]+Table1[[#This Row],[Transmission Cost
LCOT (USD/MWh)]]</f>
        <v>99.704701470000003</v>
      </c>
    </row>
    <row r="539" spans="1:25" x14ac:dyDescent="0.3">
      <c r="A539" s="7">
        <v>538</v>
      </c>
      <c r="B539" s="8">
        <v>6543</v>
      </c>
      <c r="C539" s="9">
        <v>48.560203999999999</v>
      </c>
      <c r="D539" s="9">
        <v>-114.52907</v>
      </c>
      <c r="E539" s="10" t="s">
        <v>42</v>
      </c>
      <c r="F539" s="10" t="s">
        <v>3</v>
      </c>
      <c r="G539" s="10" t="s">
        <v>15</v>
      </c>
      <c r="H539" s="10">
        <v>-7</v>
      </c>
      <c r="I539" s="11">
        <v>1121.125</v>
      </c>
      <c r="J539" s="11">
        <v>3.3756911999999999</v>
      </c>
      <c r="K539" s="11" t="str">
        <f>IF(Table1[[#This Row],[Solar 
Resource]]&lt;3,"Low", IF(Table1[[#This Row],[Solar 
Resource]]&lt;4, "Moderate","High"))</f>
        <v>Moderate</v>
      </c>
      <c r="L539" s="11">
        <v>0.98128115999999999</v>
      </c>
      <c r="M539" s="11">
        <v>49.886927049999997</v>
      </c>
      <c r="N539" s="11">
        <v>1600.8490409999999</v>
      </c>
      <c r="O539" s="11">
        <v>2145.1378629999999</v>
      </c>
      <c r="P539" s="11">
        <f>Table1[[#This Row],[Installed Capacity 
(AC -MW)]]/Table1[[#This Row],[Installed Capacity 
(DC -MW)]]</f>
        <v>0.74626860520805605</v>
      </c>
      <c r="Q539" s="12">
        <v>0.19393131</v>
      </c>
      <c r="R539" s="12">
        <v>0.14472488</v>
      </c>
      <c r="S539" s="13">
        <v>49.247504739999997</v>
      </c>
      <c r="T539" s="11">
        <v>3.5664675300000002</v>
      </c>
      <c r="U539" s="11">
        <v>246.13485700000001</v>
      </c>
      <c r="V539" s="13">
        <v>937054.66070000001</v>
      </c>
      <c r="W539" s="13">
        <v>990735.75</v>
      </c>
      <c r="X539" s="13">
        <v>47.179606999999997</v>
      </c>
      <c r="Y539" s="14">
        <f>+Table1[[#This Row],[Generation Cost 
LCOE (USD/MWh)]]+Table1[[#This Row],[Transmission Cost
LCOT (USD/MWh)]]</f>
        <v>96.427111739999987</v>
      </c>
    </row>
    <row r="540" spans="1:25" x14ac:dyDescent="0.3">
      <c r="A540" s="7">
        <v>539</v>
      </c>
      <c r="B540" s="8">
        <v>6545</v>
      </c>
      <c r="C540" s="9">
        <v>48.597884999999998</v>
      </c>
      <c r="D540" s="9">
        <v>-114.204666</v>
      </c>
      <c r="E540" s="10" t="s">
        <v>42</v>
      </c>
      <c r="F540" s="10" t="s">
        <v>3</v>
      </c>
      <c r="G540" s="10" t="s">
        <v>15</v>
      </c>
      <c r="H540" s="10">
        <v>-7</v>
      </c>
      <c r="I540" s="11">
        <v>1228</v>
      </c>
      <c r="J540" s="11">
        <v>3.3632512000000001</v>
      </c>
      <c r="K540" s="11" t="str">
        <f>IF(Table1[[#This Row],[Solar 
Resource]]&lt;3,"Low", IF(Table1[[#This Row],[Solar 
Resource]]&lt;4, "Moderate","High"))</f>
        <v>Moderate</v>
      </c>
      <c r="L540" s="11">
        <v>0.98138800000000004</v>
      </c>
      <c r="M540" s="11">
        <v>1.725623946</v>
      </c>
      <c r="N540" s="11">
        <v>55.374495920000001</v>
      </c>
      <c r="O540" s="11">
        <v>74.201829660000001</v>
      </c>
      <c r="P540" s="11">
        <f>Table1[[#This Row],[Installed Capacity 
(AC -MW)]]/Table1[[#This Row],[Installed Capacity 
(DC -MW)]]</f>
        <v>0.74626860515072646</v>
      </c>
      <c r="Q540" s="12">
        <v>0.19244121</v>
      </c>
      <c r="R540" s="12">
        <v>0.14361286000000001</v>
      </c>
      <c r="S540" s="13">
        <v>50.86152731</v>
      </c>
      <c r="T540" s="11">
        <v>30.03990258</v>
      </c>
      <c r="U540" s="11">
        <v>204.14304540000001</v>
      </c>
      <c r="V540" s="13">
        <v>740732.24109999998</v>
      </c>
      <c r="W540" s="13">
        <v>996120.44</v>
      </c>
      <c r="X540" s="13">
        <v>47.803333000000002</v>
      </c>
      <c r="Y540" s="14">
        <f>+Table1[[#This Row],[Generation Cost 
LCOE (USD/MWh)]]+Table1[[#This Row],[Transmission Cost
LCOT (USD/MWh)]]</f>
        <v>98.664860309999995</v>
      </c>
    </row>
    <row r="541" spans="1:25" x14ac:dyDescent="0.3">
      <c r="A541" s="7">
        <v>540</v>
      </c>
      <c r="B541" s="8">
        <v>6550</v>
      </c>
      <c r="C541" s="9">
        <v>48.689213000000002</v>
      </c>
      <c r="D541" s="9">
        <v>-113.39176999999999</v>
      </c>
      <c r="E541" s="10" t="s">
        <v>42</v>
      </c>
      <c r="F541" s="10" t="s">
        <v>3</v>
      </c>
      <c r="G541" s="10" t="s">
        <v>16</v>
      </c>
      <c r="H541" s="10">
        <v>-7</v>
      </c>
      <c r="I541" s="11">
        <v>1737.090909</v>
      </c>
      <c r="J541" s="11">
        <v>3.6991345999999998</v>
      </c>
      <c r="K541" s="11" t="str">
        <f>IF(Table1[[#This Row],[Solar 
Resource]]&lt;3,"Low", IF(Table1[[#This Row],[Solar 
Resource]]&lt;4, "Moderate","High"))</f>
        <v>Moderate</v>
      </c>
      <c r="L541" s="11">
        <v>0.98176925999999998</v>
      </c>
      <c r="M541" s="11">
        <v>32.835778419999997</v>
      </c>
      <c r="N541" s="11">
        <v>1053.685479</v>
      </c>
      <c r="O541" s="11">
        <v>1411.938472</v>
      </c>
      <c r="P541" s="11">
        <f>Table1[[#This Row],[Installed Capacity 
(AC -MW)]]/Table1[[#This Row],[Installed Capacity 
(DC -MW)]]</f>
        <v>0.74626869364035575</v>
      </c>
      <c r="Q541" s="12">
        <v>0.22319185999999999</v>
      </c>
      <c r="R541" s="12">
        <v>0.16656108</v>
      </c>
      <c r="S541" s="13">
        <v>42.80785418</v>
      </c>
      <c r="T541" s="11">
        <v>20.144103879999999</v>
      </c>
      <c r="U541" s="11">
        <v>264.80497389999999</v>
      </c>
      <c r="V541" s="13">
        <v>713346.37890000001</v>
      </c>
      <c r="W541" s="13">
        <v>851531.75</v>
      </c>
      <c r="X541" s="13">
        <v>35.234400000000001</v>
      </c>
      <c r="Y541" s="14">
        <f>+Table1[[#This Row],[Generation Cost 
LCOE (USD/MWh)]]+Table1[[#This Row],[Transmission Cost
LCOT (USD/MWh)]]</f>
        <v>78.04225418</v>
      </c>
    </row>
    <row r="542" spans="1:25" x14ac:dyDescent="0.3">
      <c r="A542" s="7">
        <v>541</v>
      </c>
      <c r="B542" s="8">
        <v>6551</v>
      </c>
      <c r="C542" s="9">
        <v>48.706985000000003</v>
      </c>
      <c r="D542" s="9">
        <v>-113.228874</v>
      </c>
      <c r="E542" s="10" t="s">
        <v>42</v>
      </c>
      <c r="F542" s="10" t="s">
        <v>3</v>
      </c>
      <c r="G542" s="10" t="s">
        <v>16</v>
      </c>
      <c r="H542" s="10">
        <v>-7</v>
      </c>
      <c r="I542" s="11">
        <v>1553.666667</v>
      </c>
      <c r="J542" s="11">
        <v>3.7146256000000002</v>
      </c>
      <c r="K542" s="11" t="str">
        <f>IF(Table1[[#This Row],[Solar 
Resource]]&lt;3,"Low", IF(Table1[[#This Row],[Solar 
Resource]]&lt;4, "Moderate","High"))</f>
        <v>Moderate</v>
      </c>
      <c r="L542" s="11">
        <v>0.9818405</v>
      </c>
      <c r="M542" s="11">
        <v>79.794966799999997</v>
      </c>
      <c r="N542" s="11">
        <v>2560.5842739999998</v>
      </c>
      <c r="O542" s="11">
        <v>3431.1835719999999</v>
      </c>
      <c r="P542" s="11">
        <f>Table1[[#This Row],[Installed Capacity 
(AC -MW)]]/Table1[[#This Row],[Installed Capacity 
(DC -MW)]]</f>
        <v>0.74626851646630576</v>
      </c>
      <c r="Q542" s="12">
        <v>0.22497908999999999</v>
      </c>
      <c r="R542" s="12">
        <v>0.16789486000000001</v>
      </c>
      <c r="S542" s="13">
        <v>42.470196540000003</v>
      </c>
      <c r="T542" s="11">
        <v>7.707564928</v>
      </c>
      <c r="U542" s="11">
        <v>264.80497389999999</v>
      </c>
      <c r="V542" s="13">
        <v>713346.37890000001</v>
      </c>
      <c r="W542" s="13">
        <v>793493.44</v>
      </c>
      <c r="X542" s="13">
        <v>32.572085999999999</v>
      </c>
      <c r="Y542" s="14">
        <f>+Table1[[#This Row],[Generation Cost 
LCOE (USD/MWh)]]+Table1[[#This Row],[Transmission Cost
LCOT (USD/MWh)]]</f>
        <v>75.042282540000002</v>
      </c>
    </row>
    <row r="543" spans="1:25" x14ac:dyDescent="0.3">
      <c r="A543" s="7">
        <v>542</v>
      </c>
      <c r="B543" s="8">
        <v>6552</v>
      </c>
      <c r="C543" s="9">
        <v>48.724589999999999</v>
      </c>
      <c r="D543" s="9">
        <v>-113.06589</v>
      </c>
      <c r="E543" s="10" t="s">
        <v>42</v>
      </c>
      <c r="F543" s="10" t="s">
        <v>3</v>
      </c>
      <c r="G543" s="10" t="s">
        <v>16</v>
      </c>
      <c r="H543" s="10">
        <v>-7</v>
      </c>
      <c r="I543" s="11">
        <v>1422.705882</v>
      </c>
      <c r="J543" s="11">
        <v>3.7216182</v>
      </c>
      <c r="K543" s="11" t="str">
        <f>IF(Table1[[#This Row],[Solar 
Resource]]&lt;3,"Low", IF(Table1[[#This Row],[Solar 
Resource]]&lt;4, "Moderate","High"))</f>
        <v>Moderate</v>
      </c>
      <c r="L543" s="11">
        <v>0.98192405999999999</v>
      </c>
      <c r="M543" s="11">
        <v>97.048852729999993</v>
      </c>
      <c r="N543" s="11">
        <v>3114.2536439999999</v>
      </c>
      <c r="O543" s="11">
        <v>4173.100668</v>
      </c>
      <c r="P543" s="11">
        <f>Table1[[#This Row],[Installed Capacity 
(AC -MW)]]/Table1[[#This Row],[Installed Capacity 
(DC -MW)]]</f>
        <v>0.74626851632901947</v>
      </c>
      <c r="Q543" s="12">
        <v>0.22638161000000001</v>
      </c>
      <c r="R543" s="12">
        <v>0.16894150999999999</v>
      </c>
      <c r="S543" s="13">
        <v>42.20989471</v>
      </c>
      <c r="T543" s="11">
        <v>3.733675324</v>
      </c>
      <c r="U543" s="11">
        <v>258.90755180000002</v>
      </c>
      <c r="V543" s="13">
        <v>696410.63489999995</v>
      </c>
      <c r="W543" s="13">
        <v>756986.44</v>
      </c>
      <c r="X543" s="13">
        <v>30.881</v>
      </c>
      <c r="Y543" s="14">
        <f>+Table1[[#This Row],[Generation Cost 
LCOE (USD/MWh)]]+Table1[[#This Row],[Transmission Cost
LCOT (USD/MWh)]]</f>
        <v>73.090894710000001</v>
      </c>
    </row>
    <row r="544" spans="1:25" x14ac:dyDescent="0.3">
      <c r="A544" s="7">
        <v>543</v>
      </c>
      <c r="B544" s="8">
        <v>6553</v>
      </c>
      <c r="C544" s="9">
        <v>48.74203</v>
      </c>
      <c r="D544" s="9">
        <v>-112.90279</v>
      </c>
      <c r="E544" s="10" t="s">
        <v>42</v>
      </c>
      <c r="F544" s="10" t="s">
        <v>3</v>
      </c>
      <c r="G544" s="10" t="s">
        <v>16</v>
      </c>
      <c r="H544" s="10">
        <v>-7</v>
      </c>
      <c r="I544" s="11">
        <v>1319.7777779999999</v>
      </c>
      <c r="J544" s="11">
        <v>3.7296903000000001</v>
      </c>
      <c r="K544" s="11" t="str">
        <f>IF(Table1[[#This Row],[Solar 
Resource]]&lt;3,"Low", IF(Table1[[#This Row],[Solar 
Resource]]&lt;4, "Moderate","High"))</f>
        <v>Moderate</v>
      </c>
      <c r="L544" s="11">
        <v>0.98202394999999998</v>
      </c>
      <c r="M544" s="11">
        <v>92.487429489999997</v>
      </c>
      <c r="N544" s="11">
        <v>2967.8796419999999</v>
      </c>
      <c r="O544" s="11">
        <v>3976.959468</v>
      </c>
      <c r="P544" s="11">
        <f>Table1[[#This Row],[Installed Capacity 
(AC -MW)]]/Table1[[#This Row],[Installed Capacity 
(DC -MW)]]</f>
        <v>0.746268516408224</v>
      </c>
      <c r="Q544" s="12">
        <v>0.22752652000000001</v>
      </c>
      <c r="R544" s="12">
        <v>0.16979591999999999</v>
      </c>
      <c r="S544" s="13">
        <v>42.00085163</v>
      </c>
      <c r="T544" s="11">
        <v>14.73880518</v>
      </c>
      <c r="U544" s="11">
        <v>248.27366219999999</v>
      </c>
      <c r="V544" s="13">
        <v>664851.3787</v>
      </c>
      <c r="W544" s="13">
        <v>771257.9</v>
      </c>
      <c r="X544" s="13">
        <v>31.304876</v>
      </c>
      <c r="Y544" s="14">
        <f>+Table1[[#This Row],[Generation Cost 
LCOE (USD/MWh)]]+Table1[[#This Row],[Transmission Cost
LCOT (USD/MWh)]]</f>
        <v>73.305727630000007</v>
      </c>
    </row>
    <row r="545" spans="1:25" x14ac:dyDescent="0.3">
      <c r="A545" s="7">
        <v>544</v>
      </c>
      <c r="B545" s="8">
        <v>6554</v>
      </c>
      <c r="C545" s="9">
        <v>48.759309999999999</v>
      </c>
      <c r="D545" s="9">
        <v>-112.739586</v>
      </c>
      <c r="E545" s="10" t="s">
        <v>42</v>
      </c>
      <c r="F545" s="10" t="s">
        <v>3</v>
      </c>
      <c r="G545" s="10" t="s">
        <v>16</v>
      </c>
      <c r="H545" s="10">
        <v>-7</v>
      </c>
      <c r="I545" s="11">
        <v>1288.444444</v>
      </c>
      <c r="J545" s="11">
        <v>3.7361664999999999</v>
      </c>
      <c r="K545" s="11" t="str">
        <f>IF(Table1[[#This Row],[Solar 
Resource]]&lt;3,"Low", IF(Table1[[#This Row],[Solar 
Resource]]&lt;4, "Moderate","High"))</f>
        <v>Moderate</v>
      </c>
      <c r="L545" s="11">
        <v>0.98210039999999998</v>
      </c>
      <c r="M545" s="11">
        <v>68.752309569999994</v>
      </c>
      <c r="N545" s="11">
        <v>2206.230939</v>
      </c>
      <c r="O545" s="11">
        <v>2956.3493119999998</v>
      </c>
      <c r="P545" s="11">
        <f>Table1[[#This Row],[Installed Capacity 
(AC -MW)]]/Table1[[#This Row],[Installed Capacity 
(DC -MW)]]</f>
        <v>0.74626869363670112</v>
      </c>
      <c r="Q545" s="12">
        <v>0.22847008999999999</v>
      </c>
      <c r="R545" s="12">
        <v>0.17050004999999999</v>
      </c>
      <c r="S545" s="13">
        <v>41.829958740000002</v>
      </c>
      <c r="T545" s="11">
        <v>20.60579869</v>
      </c>
      <c r="U545" s="11">
        <v>220.15683749999999</v>
      </c>
      <c r="V545" s="13">
        <v>592084.61399999994</v>
      </c>
      <c r="W545" s="13">
        <v>720836.94</v>
      </c>
      <c r="X545" s="13">
        <v>29.137487</v>
      </c>
      <c r="Y545" s="14">
        <f>+Table1[[#This Row],[Generation Cost 
LCOE (USD/MWh)]]+Table1[[#This Row],[Transmission Cost
LCOT (USD/MWh)]]</f>
        <v>70.967445740000002</v>
      </c>
    </row>
    <row r="546" spans="1:25" x14ac:dyDescent="0.3">
      <c r="A546" s="7">
        <v>545</v>
      </c>
      <c r="B546" s="8">
        <v>6555</v>
      </c>
      <c r="C546" s="9">
        <v>48.776420000000002</v>
      </c>
      <c r="D546" s="9">
        <v>-112.57629</v>
      </c>
      <c r="E546" s="10" t="s">
        <v>42</v>
      </c>
      <c r="F546" s="10" t="s">
        <v>3</v>
      </c>
      <c r="G546" s="10" t="s">
        <v>16</v>
      </c>
      <c r="H546" s="10">
        <v>-7</v>
      </c>
      <c r="I546" s="11">
        <v>1219.176471</v>
      </c>
      <c r="J546" s="11">
        <v>3.7422366</v>
      </c>
      <c r="K546" s="11" t="str">
        <f>IF(Table1[[#This Row],[Solar 
Resource]]&lt;3,"Low", IF(Table1[[#This Row],[Solar 
Resource]]&lt;4, "Moderate","High"))</f>
        <v>Moderate</v>
      </c>
      <c r="L546" s="11">
        <v>0.98217964000000002</v>
      </c>
      <c r="M546" s="11">
        <v>69.836578419999995</v>
      </c>
      <c r="N546" s="11">
        <v>2241.0243759999998</v>
      </c>
      <c r="O546" s="11">
        <v>3002.9728719999998</v>
      </c>
      <c r="P546" s="11">
        <f>Table1[[#This Row],[Installed Capacity 
(AC -MW)]]/Table1[[#This Row],[Installed Capacity 
(DC -MW)]]</f>
        <v>0.74626860498658543</v>
      </c>
      <c r="Q546" s="12">
        <v>0.22897324999999999</v>
      </c>
      <c r="R546" s="12">
        <v>0.17087556000000001</v>
      </c>
      <c r="S546" s="13">
        <v>41.740672549999999</v>
      </c>
      <c r="T546" s="11">
        <v>21.940357129999999</v>
      </c>
      <c r="U546" s="11">
        <v>202.83096739999999</v>
      </c>
      <c r="V546" s="13">
        <v>539757.50859999994</v>
      </c>
      <c r="W546" s="13">
        <v>669221.43999999994</v>
      </c>
      <c r="X546" s="13">
        <v>26.991652999999999</v>
      </c>
      <c r="Y546" s="14">
        <f>+Table1[[#This Row],[Generation Cost 
LCOE (USD/MWh)]]+Table1[[#This Row],[Transmission Cost
LCOT (USD/MWh)]]</f>
        <v>68.732325549999999</v>
      </c>
    </row>
    <row r="547" spans="1:25" x14ac:dyDescent="0.3">
      <c r="A547" s="7">
        <v>546</v>
      </c>
      <c r="B547" s="8">
        <v>6556</v>
      </c>
      <c r="C547" s="9">
        <v>48.793365000000001</v>
      </c>
      <c r="D547" s="9">
        <v>-112.41289</v>
      </c>
      <c r="E547" s="10" t="s">
        <v>42</v>
      </c>
      <c r="F547" s="10" t="s">
        <v>3</v>
      </c>
      <c r="G547" s="10" t="s">
        <v>16</v>
      </c>
      <c r="H547" s="10">
        <v>-7</v>
      </c>
      <c r="I547" s="11">
        <v>1197.666667</v>
      </c>
      <c r="J547" s="11">
        <v>3.7309581999999999</v>
      </c>
      <c r="K547" s="11" t="str">
        <f>IF(Table1[[#This Row],[Solar 
Resource]]&lt;3,"Low", IF(Table1[[#This Row],[Solar 
Resource]]&lt;4, "Moderate","High"))</f>
        <v>Moderate</v>
      </c>
      <c r="L547" s="11">
        <v>0.98222509999999996</v>
      </c>
      <c r="M547" s="11">
        <v>69.305862300000001</v>
      </c>
      <c r="N547" s="11">
        <v>2223.9941990000002</v>
      </c>
      <c r="O547" s="11">
        <v>2980.152079</v>
      </c>
      <c r="P547" s="11">
        <f>Table1[[#This Row],[Installed Capacity 
(AC -MW)]]/Table1[[#This Row],[Installed Capacity 
(DC -MW)]]</f>
        <v>0.74626869369239335</v>
      </c>
      <c r="Q547" s="12">
        <v>0.22830199000000001</v>
      </c>
      <c r="R547" s="12">
        <v>0.17037462</v>
      </c>
      <c r="S547" s="13">
        <v>41.864922149999998</v>
      </c>
      <c r="T547" s="11">
        <v>10.153006489999999</v>
      </c>
      <c r="U547" s="11">
        <v>203.80552589999999</v>
      </c>
      <c r="V547" s="13">
        <v>541895.89150000003</v>
      </c>
      <c r="W547" s="13">
        <v>634356.6</v>
      </c>
      <c r="X547" s="13">
        <v>25.660679999999999</v>
      </c>
      <c r="Y547" s="14">
        <f>+Table1[[#This Row],[Generation Cost 
LCOE (USD/MWh)]]+Table1[[#This Row],[Transmission Cost
LCOT (USD/MWh)]]</f>
        <v>67.525602149999997</v>
      </c>
    </row>
    <row r="548" spans="1:25" x14ac:dyDescent="0.3">
      <c r="A548" s="7">
        <v>547</v>
      </c>
      <c r="B548" s="8">
        <v>6557</v>
      </c>
      <c r="C548" s="9">
        <v>48.81015</v>
      </c>
      <c r="D548" s="9">
        <v>-112.24939000000001</v>
      </c>
      <c r="E548" s="10" t="s">
        <v>42</v>
      </c>
      <c r="F548" s="10" t="s">
        <v>3</v>
      </c>
      <c r="G548" s="10" t="s">
        <v>16</v>
      </c>
      <c r="H548" s="10">
        <v>-7</v>
      </c>
      <c r="I548" s="11">
        <v>1234.875</v>
      </c>
      <c r="J548" s="11">
        <v>3.7290334999999999</v>
      </c>
      <c r="K548" s="11" t="str">
        <f>IF(Table1[[#This Row],[Solar 
Resource]]&lt;3,"Low", IF(Table1[[#This Row],[Solar 
Resource]]&lt;4, "Moderate","High"))</f>
        <v>Moderate</v>
      </c>
      <c r="L548" s="11">
        <v>0.98228939999999998</v>
      </c>
      <c r="M548" s="11">
        <v>52.62966694</v>
      </c>
      <c r="N548" s="11">
        <v>1688.8623299999999</v>
      </c>
      <c r="O548" s="11">
        <v>2263.075679</v>
      </c>
      <c r="P548" s="11">
        <f>Table1[[#This Row],[Installed Capacity 
(AC -MW)]]/Table1[[#This Row],[Installed Capacity 
(DC -MW)]]</f>
        <v>0.74626860501027015</v>
      </c>
      <c r="Q548" s="12">
        <v>0.22806261</v>
      </c>
      <c r="R548" s="12">
        <v>0.17019598</v>
      </c>
      <c r="S548" s="13">
        <v>41.911019860000003</v>
      </c>
      <c r="T548" s="11">
        <v>3.479116882</v>
      </c>
      <c r="U548" s="11">
        <v>214.17206479999999</v>
      </c>
      <c r="V548" s="13">
        <v>571916.85609999998</v>
      </c>
      <c r="W548" s="13">
        <v>615735.69999999995</v>
      </c>
      <c r="X548" s="13">
        <v>24.933579999999999</v>
      </c>
      <c r="Y548" s="14">
        <f>+Table1[[#This Row],[Generation Cost 
LCOE (USD/MWh)]]+Table1[[#This Row],[Transmission Cost
LCOT (USD/MWh)]]</f>
        <v>66.844599860000002</v>
      </c>
    </row>
    <row r="549" spans="1:25" x14ac:dyDescent="0.3">
      <c r="A549" s="7">
        <v>548</v>
      </c>
      <c r="B549" s="8">
        <v>6558</v>
      </c>
      <c r="C549" s="9">
        <v>48.82676</v>
      </c>
      <c r="D549" s="9">
        <v>-112.08579</v>
      </c>
      <c r="E549" s="10" t="s">
        <v>42</v>
      </c>
      <c r="F549" s="10" t="s">
        <v>3</v>
      </c>
      <c r="G549" s="10" t="s">
        <v>39</v>
      </c>
      <c r="H549" s="10">
        <v>-7</v>
      </c>
      <c r="I549" s="11">
        <v>1207.6500000000001</v>
      </c>
      <c r="J549" s="11">
        <v>3.7277985</v>
      </c>
      <c r="K549" s="11" t="str">
        <f>IF(Table1[[#This Row],[Solar 
Resource]]&lt;3,"Low", IF(Table1[[#This Row],[Solar 
Resource]]&lt;4, "Moderate","High"))</f>
        <v>Moderate</v>
      </c>
      <c r="L549" s="11">
        <v>0.98233366</v>
      </c>
      <c r="M549" s="11">
        <v>65.449139059999993</v>
      </c>
      <c r="N549" s="11">
        <v>2100.2331720000002</v>
      </c>
      <c r="O549" s="11">
        <v>2814.3129800000002</v>
      </c>
      <c r="P549" s="11">
        <f>Table1[[#This Row],[Installed Capacity 
(AC -MW)]]/Table1[[#This Row],[Installed Capacity 
(DC -MW)]]</f>
        <v>0.74626851630411062</v>
      </c>
      <c r="Q549" s="12">
        <v>0.22795509</v>
      </c>
      <c r="R549" s="12">
        <v>0.17011573999999999</v>
      </c>
      <c r="S549" s="13">
        <v>41.9322661</v>
      </c>
      <c r="T549" s="11">
        <v>0.09</v>
      </c>
      <c r="U549" s="11">
        <v>223.29404529999999</v>
      </c>
      <c r="V549" s="13">
        <v>595331.98699999996</v>
      </c>
      <c r="W549" s="13">
        <v>631024.80000000005</v>
      </c>
      <c r="X549" s="13">
        <v>25.56475</v>
      </c>
      <c r="Y549" s="14">
        <f>+Table1[[#This Row],[Generation Cost 
LCOE (USD/MWh)]]+Table1[[#This Row],[Transmission Cost
LCOT (USD/MWh)]]</f>
        <v>67.497016099999996</v>
      </c>
    </row>
    <row r="550" spans="1:25" x14ac:dyDescent="0.3">
      <c r="A550" s="7">
        <v>549</v>
      </c>
      <c r="B550" s="8">
        <v>6559</v>
      </c>
      <c r="C550" s="9">
        <v>48.843209999999999</v>
      </c>
      <c r="D550" s="9">
        <v>-111.922104</v>
      </c>
      <c r="E550" s="10" t="s">
        <v>42</v>
      </c>
      <c r="F550" s="10" t="s">
        <v>3</v>
      </c>
      <c r="G550" s="10" t="s">
        <v>39</v>
      </c>
      <c r="H550" s="10">
        <v>-7</v>
      </c>
      <c r="I550" s="11">
        <v>1077.333333</v>
      </c>
      <c r="J550" s="11">
        <v>3.7215897999999998</v>
      </c>
      <c r="K550" s="11" t="str">
        <f>IF(Table1[[#This Row],[Solar 
Resource]]&lt;3,"Low", IF(Table1[[#This Row],[Solar 
Resource]]&lt;4, "Moderate","High"))</f>
        <v>Moderate</v>
      </c>
      <c r="L550" s="11">
        <v>0.98232143999999999</v>
      </c>
      <c r="M550" s="11">
        <v>57.850686469999999</v>
      </c>
      <c r="N550" s="11">
        <v>1856.402497</v>
      </c>
      <c r="O550" s="11">
        <v>2487.579518</v>
      </c>
      <c r="P550" s="11">
        <f>Table1[[#This Row],[Installed Capacity 
(AC -MW)]]/Table1[[#This Row],[Installed Capacity 
(DC -MW)]]</f>
        <v>0.74626860511077742</v>
      </c>
      <c r="Q550" s="12">
        <v>0.22692491000000001</v>
      </c>
      <c r="R550" s="12">
        <v>0.16934693000000001</v>
      </c>
      <c r="S550" s="13">
        <v>42.122223650000002</v>
      </c>
      <c r="T550" s="11">
        <v>10.36918831</v>
      </c>
      <c r="U550" s="11">
        <v>225.32411680000001</v>
      </c>
      <c r="V550" s="13">
        <v>600320.38060000003</v>
      </c>
      <c r="W550" s="13">
        <v>699720.7</v>
      </c>
      <c r="X550" s="13">
        <v>28.476521999999999</v>
      </c>
      <c r="Y550" s="14">
        <f>+Table1[[#This Row],[Generation Cost 
LCOE (USD/MWh)]]+Table1[[#This Row],[Transmission Cost
LCOT (USD/MWh)]]</f>
        <v>70.598745649999998</v>
      </c>
    </row>
    <row r="551" spans="1:25" x14ac:dyDescent="0.3">
      <c r="A551" s="7">
        <v>550</v>
      </c>
      <c r="B551" s="8">
        <v>6560</v>
      </c>
      <c r="C551" s="9">
        <v>48.859490000000001</v>
      </c>
      <c r="D551" s="9">
        <v>-111.75830999999999</v>
      </c>
      <c r="E551" s="10" t="s">
        <v>42</v>
      </c>
      <c r="F551" s="10" t="s">
        <v>3</v>
      </c>
      <c r="G551" s="10" t="s">
        <v>39</v>
      </c>
      <c r="H551" s="10">
        <v>-7</v>
      </c>
      <c r="I551" s="11">
        <v>1091.421053</v>
      </c>
      <c r="J551" s="11">
        <v>3.7138822</v>
      </c>
      <c r="K551" s="11" t="str">
        <f>IF(Table1[[#This Row],[Solar 
Resource]]&lt;3,"Low", IF(Table1[[#This Row],[Solar 
Resource]]&lt;4, "Moderate","High"))</f>
        <v>Moderate</v>
      </c>
      <c r="L551" s="11">
        <v>0.98235612999999999</v>
      </c>
      <c r="M551" s="11">
        <v>45.430384570000001</v>
      </c>
      <c r="N551" s="11">
        <v>1457.8407709999999</v>
      </c>
      <c r="O551" s="11">
        <v>1953.506537</v>
      </c>
      <c r="P551" s="11">
        <f>Table1[[#This Row],[Installed Capacity 
(AC -MW)]]/Table1[[#This Row],[Installed Capacity 
(DC -MW)]]</f>
        <v>0.74626869344333291</v>
      </c>
      <c r="Q551" s="12">
        <v>0.22646037999999999</v>
      </c>
      <c r="R551" s="12">
        <v>0.16900029999999999</v>
      </c>
      <c r="S551" s="13">
        <v>42.209788959999997</v>
      </c>
      <c r="T551" s="11">
        <v>22.411097399999999</v>
      </c>
      <c r="U551" s="11">
        <v>225.32411680000001</v>
      </c>
      <c r="V551" s="13">
        <v>600320.38060000003</v>
      </c>
      <c r="W551" s="13">
        <v>744787.1</v>
      </c>
      <c r="X551" s="13">
        <v>30.372765000000001</v>
      </c>
      <c r="Y551" s="14">
        <f>+Table1[[#This Row],[Generation Cost 
LCOE (USD/MWh)]]+Table1[[#This Row],[Transmission Cost
LCOT (USD/MWh)]]</f>
        <v>72.582553959999998</v>
      </c>
    </row>
    <row r="552" spans="1:25" x14ac:dyDescent="0.3">
      <c r="A552" s="7">
        <v>551</v>
      </c>
      <c r="B552" s="8">
        <v>6561</v>
      </c>
      <c r="C552" s="9">
        <v>48.875610000000002</v>
      </c>
      <c r="D552" s="9">
        <v>-111.59443</v>
      </c>
      <c r="E552" s="10" t="s">
        <v>42</v>
      </c>
      <c r="F552" s="10" t="s">
        <v>3</v>
      </c>
      <c r="G552" s="10" t="s">
        <v>39</v>
      </c>
      <c r="H552" s="10">
        <v>-7</v>
      </c>
      <c r="I552" s="11">
        <v>1195</v>
      </c>
      <c r="J552" s="11">
        <v>3.7025435</v>
      </c>
      <c r="K552" s="11" t="str">
        <f>IF(Table1[[#This Row],[Solar 
Resource]]&lt;3,"Low", IF(Table1[[#This Row],[Solar 
Resource]]&lt;4, "Moderate","High"))</f>
        <v>Moderate</v>
      </c>
      <c r="L552" s="11">
        <v>0.98226743999999999</v>
      </c>
      <c r="M552" s="11">
        <v>72.046502050000001</v>
      </c>
      <c r="N552" s="11">
        <v>2311.940106</v>
      </c>
      <c r="O552" s="11">
        <v>3097.9995880000001</v>
      </c>
      <c r="P552" s="11">
        <f>Table1[[#This Row],[Installed Capacity 
(AC -MW)]]/Table1[[#This Row],[Installed Capacity 
(DC -MW)]]</f>
        <v>0.74626869382269267</v>
      </c>
      <c r="Q552" s="12">
        <v>0.22577952000000001</v>
      </c>
      <c r="R552" s="12">
        <v>0.16849217</v>
      </c>
      <c r="S552" s="13">
        <v>42.334079780000003</v>
      </c>
      <c r="T552" s="11">
        <v>35.571383099999998</v>
      </c>
      <c r="U552" s="11">
        <v>225.32411680000001</v>
      </c>
      <c r="V552" s="13">
        <v>600320.38060000003</v>
      </c>
      <c r="W552" s="13">
        <v>806918.25</v>
      </c>
      <c r="X552" s="13">
        <v>33.005732999999999</v>
      </c>
      <c r="Y552" s="14">
        <f>+Table1[[#This Row],[Generation Cost 
LCOE (USD/MWh)]]+Table1[[#This Row],[Transmission Cost
LCOT (USD/MWh)]]</f>
        <v>75.339812780000003</v>
      </c>
    </row>
    <row r="553" spans="1:25" x14ac:dyDescent="0.3">
      <c r="A553" s="7">
        <v>552</v>
      </c>
      <c r="B553" s="8">
        <v>6562</v>
      </c>
      <c r="C553" s="9">
        <v>48.891556000000001</v>
      </c>
      <c r="D553" s="9">
        <v>-111.43044999999999</v>
      </c>
      <c r="E553" s="10" t="s">
        <v>42</v>
      </c>
      <c r="F553" s="10" t="s">
        <v>3</v>
      </c>
      <c r="G553" s="10" t="s">
        <v>39</v>
      </c>
      <c r="H553" s="10">
        <v>-7</v>
      </c>
      <c r="I553" s="11">
        <v>1241.4000000000001</v>
      </c>
      <c r="J553" s="11">
        <v>3.6864400000000002</v>
      </c>
      <c r="K553" s="11" t="str">
        <f>IF(Table1[[#This Row],[Solar 
Resource]]&lt;3,"Low", IF(Table1[[#This Row],[Solar 
Resource]]&lt;4, "Moderate","High"))</f>
        <v>Moderate</v>
      </c>
      <c r="L553" s="11">
        <v>0.9822031</v>
      </c>
      <c r="M553" s="11">
        <v>56.68047773</v>
      </c>
      <c r="N553" s="11">
        <v>1818.8510249999999</v>
      </c>
      <c r="O553" s="11">
        <v>2437.2605429999999</v>
      </c>
      <c r="P553" s="11">
        <f>Table1[[#This Row],[Installed Capacity 
(AC -MW)]]/Table1[[#This Row],[Installed Capacity 
(DC -MW)]]</f>
        <v>0.74626860481694512</v>
      </c>
      <c r="Q553" s="12">
        <v>0.22434749000000001</v>
      </c>
      <c r="R553" s="12">
        <v>0.1674235</v>
      </c>
      <c r="S553" s="13">
        <v>42.602119170000002</v>
      </c>
      <c r="T553" s="11">
        <v>47.240499990000004</v>
      </c>
      <c r="U553" s="11">
        <v>225.32411680000001</v>
      </c>
      <c r="V553" s="13">
        <v>600320.38060000003</v>
      </c>
      <c r="W553" s="13">
        <v>869944.5</v>
      </c>
      <c r="X553" s="13">
        <v>35.810859999999998</v>
      </c>
      <c r="Y553" s="14">
        <f>+Table1[[#This Row],[Generation Cost 
LCOE (USD/MWh)]]+Table1[[#This Row],[Transmission Cost
LCOT (USD/MWh)]]</f>
        <v>78.41297917</v>
      </c>
    </row>
    <row r="554" spans="1:25" x14ac:dyDescent="0.3">
      <c r="A554" s="7">
        <v>553</v>
      </c>
      <c r="B554" s="8">
        <v>6563</v>
      </c>
      <c r="C554" s="9">
        <v>48.907336999999998</v>
      </c>
      <c r="D554" s="9">
        <v>-111.26639</v>
      </c>
      <c r="E554" s="10" t="s">
        <v>42</v>
      </c>
      <c r="F554" s="10" t="s">
        <v>3</v>
      </c>
      <c r="G554" s="10" t="s">
        <v>26</v>
      </c>
      <c r="H554" s="10">
        <v>-7</v>
      </c>
      <c r="I554" s="11">
        <v>1247.380952</v>
      </c>
      <c r="J554" s="11">
        <v>3.6400929999999998</v>
      </c>
      <c r="K554" s="11" t="str">
        <f>IF(Table1[[#This Row],[Solar 
Resource]]&lt;3,"Low", IF(Table1[[#This Row],[Solar 
Resource]]&lt;4, "Moderate","High"))</f>
        <v>Moderate</v>
      </c>
      <c r="L554" s="11">
        <v>0.98210109999999995</v>
      </c>
      <c r="M554" s="11">
        <v>70.164304099999995</v>
      </c>
      <c r="N554" s="11">
        <v>2251.5409460000001</v>
      </c>
      <c r="O554" s="11">
        <v>3017.0650759999999</v>
      </c>
      <c r="P554" s="11">
        <f>Table1[[#This Row],[Installed Capacity 
(AC -MW)]]/Table1[[#This Row],[Installed Capacity 
(DC -MW)]]</f>
        <v>0.74626860517873705</v>
      </c>
      <c r="Q554" s="12">
        <v>0.22105648</v>
      </c>
      <c r="R554" s="12">
        <v>0.16496749999999999</v>
      </c>
      <c r="S554" s="13">
        <v>43.232834160000003</v>
      </c>
      <c r="T554" s="11">
        <v>52.640499990000002</v>
      </c>
      <c r="U554" s="11">
        <v>222.70927259999999</v>
      </c>
      <c r="V554" s="13">
        <v>580943.85210000002</v>
      </c>
      <c r="W554" s="13">
        <v>827108.4</v>
      </c>
      <c r="X554" s="13">
        <v>34.554417000000001</v>
      </c>
      <c r="Y554" s="14">
        <f>+Table1[[#This Row],[Generation Cost 
LCOE (USD/MWh)]]+Table1[[#This Row],[Transmission Cost
LCOT (USD/MWh)]]</f>
        <v>77.787251160000011</v>
      </c>
    </row>
    <row r="555" spans="1:25" x14ac:dyDescent="0.3">
      <c r="A555" s="7">
        <v>554</v>
      </c>
      <c r="B555" s="8">
        <v>6564</v>
      </c>
      <c r="C555" s="9">
        <v>48.92295</v>
      </c>
      <c r="D555" s="9">
        <v>-111.10222</v>
      </c>
      <c r="E555" s="10" t="s">
        <v>42</v>
      </c>
      <c r="F555" s="10" t="s">
        <v>3</v>
      </c>
      <c r="G555" s="10" t="s">
        <v>26</v>
      </c>
      <c r="H555" s="10">
        <v>-7</v>
      </c>
      <c r="I555" s="11">
        <v>1263.2666670000001</v>
      </c>
      <c r="J555" s="11">
        <v>3.6620054</v>
      </c>
      <c r="K555" s="11" t="str">
        <f>IF(Table1[[#This Row],[Solar 
Resource]]&lt;3,"Low", IF(Table1[[#This Row],[Solar 
Resource]]&lt;4, "Moderate","High"))</f>
        <v>Moderate</v>
      </c>
      <c r="L555" s="11">
        <v>0.98192630000000003</v>
      </c>
      <c r="M555" s="11">
        <v>62.00858101</v>
      </c>
      <c r="N555" s="11">
        <v>1989.827462</v>
      </c>
      <c r="O555" s="11">
        <v>2666.3689829999998</v>
      </c>
      <c r="P555" s="11">
        <f>Table1[[#This Row],[Installed Capacity 
(AC -MW)]]/Table1[[#This Row],[Installed Capacity 
(DC -MW)]]</f>
        <v>0.74626860524052241</v>
      </c>
      <c r="Q555" s="12">
        <v>0.22314503999999999</v>
      </c>
      <c r="R555" s="12">
        <v>0.16652615000000001</v>
      </c>
      <c r="S555" s="13">
        <v>42.82220161</v>
      </c>
      <c r="T555" s="11">
        <v>55.877396079999997</v>
      </c>
      <c r="U555" s="11">
        <v>222.70927259999999</v>
      </c>
      <c r="V555" s="13">
        <v>580943.85210000002</v>
      </c>
      <c r="W555" s="13">
        <v>856628.9</v>
      </c>
      <c r="X555" s="13">
        <v>35.452747000000002</v>
      </c>
      <c r="Y555" s="14">
        <f>+Table1[[#This Row],[Generation Cost 
LCOE (USD/MWh)]]+Table1[[#This Row],[Transmission Cost
LCOT (USD/MWh)]]</f>
        <v>78.274948609999996</v>
      </c>
    </row>
    <row r="556" spans="1:25" x14ac:dyDescent="0.3">
      <c r="A556" s="7">
        <v>555</v>
      </c>
      <c r="B556" s="8">
        <v>6565</v>
      </c>
      <c r="C556" s="9">
        <v>48.938400000000001</v>
      </c>
      <c r="D556" s="9">
        <v>-110.93797000000001</v>
      </c>
      <c r="E556" s="10" t="s">
        <v>42</v>
      </c>
      <c r="F556" s="10" t="s">
        <v>3</v>
      </c>
      <c r="G556" s="10" t="s">
        <v>26</v>
      </c>
      <c r="H556" s="10">
        <v>-7</v>
      </c>
      <c r="I556" s="11">
        <v>1045.7333329999999</v>
      </c>
      <c r="J556" s="11">
        <v>3.7135231000000002</v>
      </c>
      <c r="K556" s="11" t="str">
        <f>IF(Table1[[#This Row],[Solar 
Resource]]&lt;3,"Low", IF(Table1[[#This Row],[Solar 
Resource]]&lt;4, "Moderate","High"))</f>
        <v>Moderate</v>
      </c>
      <c r="L556" s="11">
        <v>0.98179609999999995</v>
      </c>
      <c r="M556" s="11">
        <v>62.095410790000003</v>
      </c>
      <c r="N556" s="11">
        <v>1992.613554</v>
      </c>
      <c r="O556" s="11">
        <v>2670.102664</v>
      </c>
      <c r="P556" s="11">
        <f>Table1[[#This Row],[Installed Capacity 
(AC -MW)]]/Table1[[#This Row],[Installed Capacity 
(DC -MW)]]</f>
        <v>0.74626851651274184</v>
      </c>
      <c r="Q556" s="12">
        <v>0.22677483000000001</v>
      </c>
      <c r="R556" s="12">
        <v>0.16923495</v>
      </c>
      <c r="S556" s="13">
        <v>42.13240278</v>
      </c>
      <c r="T556" s="11">
        <v>52.564844149999999</v>
      </c>
      <c r="U556" s="11">
        <v>248.6803634</v>
      </c>
      <c r="V556" s="13">
        <v>622544.8077</v>
      </c>
      <c r="W556" s="13">
        <v>880667.9</v>
      </c>
      <c r="X556" s="13">
        <v>35.864246000000001</v>
      </c>
      <c r="Y556" s="14">
        <f>+Table1[[#This Row],[Generation Cost 
LCOE (USD/MWh)]]+Table1[[#This Row],[Transmission Cost
LCOT (USD/MWh)]]</f>
        <v>77.996648780000001</v>
      </c>
    </row>
    <row r="557" spans="1:25" x14ac:dyDescent="0.3">
      <c r="A557" s="7">
        <v>556</v>
      </c>
      <c r="B557" s="8">
        <v>6566</v>
      </c>
      <c r="C557" s="9">
        <v>48.953682000000001</v>
      </c>
      <c r="D557" s="9">
        <v>-110.77361999999999</v>
      </c>
      <c r="E557" s="10" t="s">
        <v>42</v>
      </c>
      <c r="F557" s="10" t="s">
        <v>3</v>
      </c>
      <c r="G557" s="10" t="s">
        <v>26</v>
      </c>
      <c r="H557" s="10">
        <v>-7</v>
      </c>
      <c r="I557" s="11">
        <v>977.8125</v>
      </c>
      <c r="J557" s="11">
        <v>3.7248703999999999</v>
      </c>
      <c r="K557" s="11" t="str">
        <f>IF(Table1[[#This Row],[Solar 
Resource]]&lt;3,"Low", IF(Table1[[#This Row],[Solar 
Resource]]&lt;4, "Moderate","High"))</f>
        <v>Moderate</v>
      </c>
      <c r="L557" s="11">
        <v>0.98155110000000001</v>
      </c>
      <c r="M557" s="11">
        <v>70.705137300000004</v>
      </c>
      <c r="N557" s="11">
        <v>2268.8960400000001</v>
      </c>
      <c r="O557" s="11">
        <v>3040.3209040000002</v>
      </c>
      <c r="P557" s="11">
        <f>Table1[[#This Row],[Installed Capacity 
(AC -MW)]]/Table1[[#This Row],[Installed Capacity 
(DC -MW)]]</f>
        <v>0.74626860507222303</v>
      </c>
      <c r="Q557" s="12">
        <v>0.22759412000000001</v>
      </c>
      <c r="R557" s="12">
        <v>0.16984637</v>
      </c>
      <c r="S557" s="13">
        <v>41.972511869999998</v>
      </c>
      <c r="T557" s="11">
        <v>54.28763635</v>
      </c>
      <c r="U557" s="11">
        <v>239.42845439999999</v>
      </c>
      <c r="V557" s="13">
        <v>600424.26329999999</v>
      </c>
      <c r="W557" s="13">
        <v>863900.5</v>
      </c>
      <c r="X557" s="13">
        <v>35.054768000000003</v>
      </c>
      <c r="Y557" s="14">
        <f>+Table1[[#This Row],[Generation Cost 
LCOE (USD/MWh)]]+Table1[[#This Row],[Transmission Cost
LCOT (USD/MWh)]]</f>
        <v>77.027279870000001</v>
      </c>
    </row>
    <row r="558" spans="1:25" x14ac:dyDescent="0.3">
      <c r="A558" s="7">
        <v>557</v>
      </c>
      <c r="B558" s="8">
        <v>6567</v>
      </c>
      <c r="C558" s="9">
        <v>48.968795999999998</v>
      </c>
      <c r="D558" s="9">
        <v>-110.60919</v>
      </c>
      <c r="E558" s="10" t="s">
        <v>42</v>
      </c>
      <c r="F558" s="10" t="s">
        <v>3</v>
      </c>
      <c r="G558" s="10" t="s">
        <v>19</v>
      </c>
      <c r="H558" s="10">
        <v>-7</v>
      </c>
      <c r="I558" s="11">
        <v>929</v>
      </c>
      <c r="J558" s="11">
        <v>3.7275689000000001</v>
      </c>
      <c r="K558" s="11" t="str">
        <f>IF(Table1[[#This Row],[Solar 
Resource]]&lt;3,"Low", IF(Table1[[#This Row],[Solar 
Resource]]&lt;4, "Moderate","High"))</f>
        <v>Moderate</v>
      </c>
      <c r="L558" s="11">
        <v>0.98007160000000004</v>
      </c>
      <c r="M558" s="11">
        <v>51.906255469999998</v>
      </c>
      <c r="N558" s="11">
        <v>1665.648381</v>
      </c>
      <c r="O558" s="11">
        <v>2231.968985</v>
      </c>
      <c r="P558" s="11">
        <f>Table1[[#This Row],[Installed Capacity 
(AC -MW)]]/Table1[[#This Row],[Installed Capacity 
(DC -MW)]]</f>
        <v>0.74626860507203685</v>
      </c>
      <c r="Q558" s="12">
        <v>0.22771272000000001</v>
      </c>
      <c r="R558" s="12">
        <v>0.16993484</v>
      </c>
      <c r="S558" s="13">
        <v>41.901021659999998</v>
      </c>
      <c r="T558" s="11">
        <v>56.202123370000002</v>
      </c>
      <c r="U558" s="11">
        <v>223.87919460000001</v>
      </c>
      <c r="V558" s="13">
        <v>563673.65949999995</v>
      </c>
      <c r="W558" s="13">
        <v>835820.94</v>
      </c>
      <c r="X558" s="13">
        <v>33.897713000000003</v>
      </c>
      <c r="Y558" s="14">
        <f>+Table1[[#This Row],[Generation Cost 
LCOE (USD/MWh)]]+Table1[[#This Row],[Transmission Cost
LCOT (USD/MWh)]]</f>
        <v>75.798734660000008</v>
      </c>
    </row>
    <row r="559" spans="1:25" x14ac:dyDescent="0.3">
      <c r="A559" s="7">
        <v>558</v>
      </c>
      <c r="B559" s="8">
        <v>6568</v>
      </c>
      <c r="C559" s="9">
        <v>48.983739999999997</v>
      </c>
      <c r="D559" s="9">
        <v>-110.44467</v>
      </c>
      <c r="E559" s="10" t="s">
        <v>42</v>
      </c>
      <c r="F559" s="10" t="s">
        <v>3</v>
      </c>
      <c r="G559" s="10" t="s">
        <v>19</v>
      </c>
      <c r="H559" s="10">
        <v>-7</v>
      </c>
      <c r="I559" s="11">
        <v>878.54545450000001</v>
      </c>
      <c r="J559" s="11">
        <v>3.7226446000000002</v>
      </c>
      <c r="K559" s="11" t="str">
        <f>IF(Table1[[#This Row],[Solar 
Resource]]&lt;3,"Low", IF(Table1[[#This Row],[Solar 
Resource]]&lt;4, "Moderate","High"))</f>
        <v>Moderate</v>
      </c>
      <c r="L559" s="11">
        <v>0.97968049999999995</v>
      </c>
      <c r="M559" s="11">
        <v>32.78863784</v>
      </c>
      <c r="N559" s="11">
        <v>1052.172634</v>
      </c>
      <c r="O559" s="11">
        <v>1409.911427</v>
      </c>
      <c r="P559" s="11">
        <f>Table1[[#This Row],[Installed Capacity 
(AC -MW)]]/Table1[[#This Row],[Installed Capacity 
(DC -MW)]]</f>
        <v>0.74626860514125049</v>
      </c>
      <c r="Q559" s="12">
        <v>0.22705711000000001</v>
      </c>
      <c r="R559" s="12">
        <v>0.16944561999999999</v>
      </c>
      <c r="S559" s="13">
        <v>42.008839279999997</v>
      </c>
      <c r="T559" s="11">
        <v>57.912123370000003</v>
      </c>
      <c r="U559" s="11">
        <v>212.1908894</v>
      </c>
      <c r="V559" s="13">
        <v>535912.68099999998</v>
      </c>
      <c r="W559" s="13">
        <v>816464.25</v>
      </c>
      <c r="X559" s="13">
        <v>33.208286000000001</v>
      </c>
      <c r="Y559" s="14">
        <f>+Table1[[#This Row],[Generation Cost 
LCOE (USD/MWh)]]+Table1[[#This Row],[Transmission Cost
LCOT (USD/MWh)]]</f>
        <v>75.217125280000005</v>
      </c>
    </row>
    <row r="560" spans="1:25" x14ac:dyDescent="0.3">
      <c r="A560" s="7">
        <v>559</v>
      </c>
      <c r="B560" s="8">
        <v>6569</v>
      </c>
      <c r="C560" s="9">
        <v>48.998524000000003</v>
      </c>
      <c r="D560" s="9">
        <v>-110.28006000000001</v>
      </c>
      <c r="E560" s="10" t="s">
        <v>42</v>
      </c>
      <c r="F560" s="10" t="s">
        <v>3</v>
      </c>
      <c r="G560" s="10" t="s">
        <v>19</v>
      </c>
      <c r="H560" s="10">
        <v>-7</v>
      </c>
      <c r="I560" s="11">
        <v>858.44444439999995</v>
      </c>
      <c r="J560" s="11">
        <v>3.7247254999999999</v>
      </c>
      <c r="K560" s="11" t="str">
        <f>IF(Table1[[#This Row],[Solar 
Resource]]&lt;3,"Low", IF(Table1[[#This Row],[Solar 
Resource]]&lt;4, "Moderate","High"))</f>
        <v>Moderate</v>
      </c>
      <c r="L560" s="11">
        <v>0.97923269999999996</v>
      </c>
      <c r="M560" s="11">
        <v>15.91633685</v>
      </c>
      <c r="N560" s="11">
        <v>510.74808760000002</v>
      </c>
      <c r="O560" s="11">
        <v>684.40248469999995</v>
      </c>
      <c r="P560" s="11">
        <f>Table1[[#This Row],[Installed Capacity 
(AC -MW)]]/Table1[[#This Row],[Installed Capacity 
(DC -MW)]]</f>
        <v>0.74626860512331517</v>
      </c>
      <c r="Q560" s="12">
        <v>0.22702283000000001</v>
      </c>
      <c r="R560" s="12">
        <v>0.16942004999999999</v>
      </c>
      <c r="S560" s="13">
        <v>42.000112280000003</v>
      </c>
      <c r="T560" s="11">
        <v>59.790428560000002</v>
      </c>
      <c r="U560" s="11">
        <v>204.0562596</v>
      </c>
      <c r="V560" s="13">
        <v>514912.26809999999</v>
      </c>
      <c r="W560" s="13">
        <v>803959.56</v>
      </c>
      <c r="X560" s="13">
        <v>32.704619999999998</v>
      </c>
      <c r="Y560" s="14">
        <f>+Table1[[#This Row],[Generation Cost 
LCOE (USD/MWh)]]+Table1[[#This Row],[Transmission Cost
LCOT (USD/MWh)]]</f>
        <v>74.704732280000002</v>
      </c>
    </row>
    <row r="561" spans="1:25" x14ac:dyDescent="0.3">
      <c r="A561" s="7">
        <v>560</v>
      </c>
      <c r="B561" s="8">
        <v>6818</v>
      </c>
      <c r="C561" s="9">
        <v>47.351272999999999</v>
      </c>
      <c r="D561" s="9">
        <v>-69.184510000000003</v>
      </c>
      <c r="E561" s="10" t="s">
        <v>42</v>
      </c>
      <c r="F561" s="10" t="s">
        <v>2</v>
      </c>
      <c r="G561" s="10" t="s">
        <v>7</v>
      </c>
      <c r="H561" s="10">
        <v>-5</v>
      </c>
      <c r="I561" s="11">
        <v>349</v>
      </c>
      <c r="J561" s="11">
        <v>3.5612469</v>
      </c>
      <c r="K561" s="11" t="str">
        <f>IF(Table1[[#This Row],[Solar 
Resource]]&lt;3,"Low", IF(Table1[[#This Row],[Solar 
Resource]]&lt;4, "Moderate","High"))</f>
        <v>Moderate</v>
      </c>
      <c r="L561" s="11">
        <v>1.0300560000000001</v>
      </c>
      <c r="M561" s="11">
        <v>80.468959569999996</v>
      </c>
      <c r="N561" s="11">
        <v>2582.2127030000001</v>
      </c>
      <c r="O561" s="11">
        <v>3460.165262</v>
      </c>
      <c r="P561" s="11">
        <f>Table1[[#This Row],[Installed Capacity 
(AC -MW)]]/Table1[[#This Row],[Installed Capacity 
(DC -MW)]]</f>
        <v>0.7462686049589039</v>
      </c>
      <c r="Q561" s="12">
        <v>0.20850015</v>
      </c>
      <c r="R561" s="12">
        <v>0.15559713999999999</v>
      </c>
      <c r="S561" s="13">
        <v>47.593440440000002</v>
      </c>
      <c r="T561" s="11">
        <v>328.63938289999999</v>
      </c>
      <c r="U561" s="11">
        <v>330.50379850000002</v>
      </c>
      <c r="V561" s="13">
        <v>2701813.4870000002</v>
      </c>
      <c r="W561" s="13">
        <v>5285089</v>
      </c>
      <c r="X561" s="13">
        <v>234.09402</v>
      </c>
      <c r="Y561" s="14">
        <f>+Table1[[#This Row],[Generation Cost 
LCOE (USD/MWh)]]+Table1[[#This Row],[Transmission Cost
LCOT (USD/MWh)]]</f>
        <v>281.68746044</v>
      </c>
    </row>
    <row r="562" spans="1:25" x14ac:dyDescent="0.3">
      <c r="A562" s="7">
        <v>561</v>
      </c>
      <c r="B562" s="8">
        <v>6822</v>
      </c>
      <c r="C562" s="9">
        <v>47.241010000000003</v>
      </c>
      <c r="D562" s="9">
        <v>-68.564390000000003</v>
      </c>
      <c r="E562" s="10" t="s">
        <v>42</v>
      </c>
      <c r="F562" s="10" t="s">
        <v>2</v>
      </c>
      <c r="G562" s="10" t="s">
        <v>7</v>
      </c>
      <c r="H562" s="10">
        <v>-5</v>
      </c>
      <c r="I562" s="11">
        <v>260.7692308</v>
      </c>
      <c r="J562" s="11">
        <v>3.5501144</v>
      </c>
      <c r="K562" s="11" t="str">
        <f>IF(Table1[[#This Row],[Solar 
Resource]]&lt;3,"Low", IF(Table1[[#This Row],[Solar 
Resource]]&lt;4, "Moderate","High"))</f>
        <v>Moderate</v>
      </c>
      <c r="L562" s="11">
        <v>1.0305774999999999</v>
      </c>
      <c r="M562" s="11">
        <v>24.706779789999999</v>
      </c>
      <c r="N562" s="11">
        <v>792.82953999999995</v>
      </c>
      <c r="O562" s="11">
        <v>1062.391531</v>
      </c>
      <c r="P562" s="11">
        <f>Table1[[#This Row],[Installed Capacity 
(AC -MW)]]/Table1[[#This Row],[Installed Capacity 
(DC -MW)]]</f>
        <v>0.74626869366487825</v>
      </c>
      <c r="Q562" s="12">
        <v>0.20731701</v>
      </c>
      <c r="R562" s="12">
        <v>0.15471418000000001</v>
      </c>
      <c r="S562" s="13">
        <v>47.884268939999998</v>
      </c>
      <c r="T562" s="11">
        <v>267.58237000000003</v>
      </c>
      <c r="U562" s="11">
        <v>337.08129200000002</v>
      </c>
      <c r="V562" s="13">
        <v>2749877.8250000002</v>
      </c>
      <c r="W562" s="13">
        <v>4773286</v>
      </c>
      <c r="X562" s="13">
        <v>212.63118</v>
      </c>
      <c r="Y562" s="14">
        <f>+Table1[[#This Row],[Generation Cost 
LCOE (USD/MWh)]]+Table1[[#This Row],[Transmission Cost
LCOT (USD/MWh)]]</f>
        <v>260.51544894</v>
      </c>
    </row>
    <row r="563" spans="1:25" x14ac:dyDescent="0.3">
      <c r="A563" s="7">
        <v>562</v>
      </c>
      <c r="B563" s="8">
        <v>6823</v>
      </c>
      <c r="C563" s="9">
        <v>47.213062000000001</v>
      </c>
      <c r="D563" s="9">
        <v>-68.409744000000003</v>
      </c>
      <c r="E563" s="10" t="s">
        <v>42</v>
      </c>
      <c r="F563" s="10" t="s">
        <v>2</v>
      </c>
      <c r="G563" s="10" t="s">
        <v>7</v>
      </c>
      <c r="H563" s="10">
        <v>-5</v>
      </c>
      <c r="I563" s="11">
        <v>248.05882349999999</v>
      </c>
      <c r="J563" s="11">
        <v>3.5440263999999999</v>
      </c>
      <c r="K563" s="11" t="str">
        <f>IF(Table1[[#This Row],[Solar 
Resource]]&lt;3,"Low", IF(Table1[[#This Row],[Solar 
Resource]]&lt;4, "Moderate","High"))</f>
        <v>Moderate</v>
      </c>
      <c r="L563" s="11">
        <v>1.0308462</v>
      </c>
      <c r="M563" s="11">
        <v>39.593282520000002</v>
      </c>
      <c r="N563" s="11">
        <v>1270.53062</v>
      </c>
      <c r="O563" s="11">
        <v>1702.511148</v>
      </c>
      <c r="P563" s="11">
        <f>Table1[[#This Row],[Installed Capacity 
(AC -MW)]]/Table1[[#This Row],[Installed Capacity 
(DC -MW)]]</f>
        <v>0.74626860534366379</v>
      </c>
      <c r="Q563" s="12">
        <v>0.2080234</v>
      </c>
      <c r="R563" s="12">
        <v>0.15524134000000001</v>
      </c>
      <c r="S563" s="13">
        <v>47.73152941</v>
      </c>
      <c r="T563" s="11">
        <v>254.7911297</v>
      </c>
      <c r="U563" s="11">
        <v>336.64673349999998</v>
      </c>
      <c r="V563" s="13">
        <v>2745965.7030000002</v>
      </c>
      <c r="W563" s="13">
        <v>4737137.5</v>
      </c>
      <c r="X563" s="13">
        <v>210.30431999999999</v>
      </c>
      <c r="Y563" s="14">
        <f>+Table1[[#This Row],[Generation Cost 
LCOE (USD/MWh)]]+Table1[[#This Row],[Transmission Cost
LCOT (USD/MWh)]]</f>
        <v>258.03584940999997</v>
      </c>
    </row>
    <row r="564" spans="1:25" x14ac:dyDescent="0.3">
      <c r="A564" s="7">
        <v>563</v>
      </c>
      <c r="B564" s="8">
        <v>6824</v>
      </c>
      <c r="C564" s="9">
        <v>47.184963000000003</v>
      </c>
      <c r="D564" s="9">
        <v>-68.255250000000004</v>
      </c>
      <c r="E564" s="10" t="s">
        <v>42</v>
      </c>
      <c r="F564" s="10" t="s">
        <v>2</v>
      </c>
      <c r="G564" s="10" t="s">
        <v>7</v>
      </c>
      <c r="H564" s="10">
        <v>-5</v>
      </c>
      <c r="I564" s="11">
        <v>219.68421050000001</v>
      </c>
      <c r="J564" s="11">
        <v>3.5271792</v>
      </c>
      <c r="K564" s="11" t="str">
        <f>IF(Table1[[#This Row],[Solar 
Resource]]&lt;3,"Low", IF(Table1[[#This Row],[Solar 
Resource]]&lt;4, "Moderate","High"))</f>
        <v>Moderate</v>
      </c>
      <c r="L564" s="11">
        <v>1.0311383000000001</v>
      </c>
      <c r="M564" s="11">
        <v>48.607289209999998</v>
      </c>
      <c r="N564" s="11">
        <v>1559.786038</v>
      </c>
      <c r="O564" s="11">
        <v>2090.1134360000001</v>
      </c>
      <c r="P564" s="11">
        <f>Table1[[#This Row],[Installed Capacity 
(AC -MW)]]/Table1[[#This Row],[Installed Capacity 
(DC -MW)]]</f>
        <v>0.7462686049160443</v>
      </c>
      <c r="Q564" s="12">
        <v>0.20810888999999999</v>
      </c>
      <c r="R564" s="12">
        <v>0.15530513000000001</v>
      </c>
      <c r="S564" s="13">
        <v>47.722651509999999</v>
      </c>
      <c r="T564" s="11">
        <v>254.990318</v>
      </c>
      <c r="U564" s="11">
        <v>344.12422700000002</v>
      </c>
      <c r="V564" s="13">
        <v>2806523.0419999999</v>
      </c>
      <c r="W564" s="13">
        <v>4724859.5</v>
      </c>
      <c r="X564" s="13">
        <v>209.67308</v>
      </c>
      <c r="Y564" s="14">
        <f>+Table1[[#This Row],[Generation Cost 
LCOE (USD/MWh)]]+Table1[[#This Row],[Transmission Cost
LCOT (USD/MWh)]]</f>
        <v>257.39573151000002</v>
      </c>
    </row>
    <row r="565" spans="1:25" x14ac:dyDescent="0.3">
      <c r="A565" s="7">
        <v>564</v>
      </c>
      <c r="B565" s="8">
        <v>6825</v>
      </c>
      <c r="C565" s="9">
        <v>47.156714999999998</v>
      </c>
      <c r="D565" s="9">
        <v>-68.100890000000007</v>
      </c>
      <c r="E565" s="10" t="s">
        <v>42</v>
      </c>
      <c r="F565" s="10" t="s">
        <v>2</v>
      </c>
      <c r="G565" s="10" t="s">
        <v>7</v>
      </c>
      <c r="H565" s="10">
        <v>-5</v>
      </c>
      <c r="I565" s="11">
        <v>239.2105263</v>
      </c>
      <c r="J565" s="11">
        <v>3.5661499999999999</v>
      </c>
      <c r="K565" s="11" t="str">
        <f>IF(Table1[[#This Row],[Solar 
Resource]]&lt;3,"Low", IF(Table1[[#This Row],[Solar 
Resource]]&lt;4, "Moderate","High"))</f>
        <v>Moderate</v>
      </c>
      <c r="L565" s="11">
        <v>1.0313650000000001</v>
      </c>
      <c r="M565" s="11">
        <v>81.374862300000004</v>
      </c>
      <c r="N565" s="11">
        <v>2611.282404</v>
      </c>
      <c r="O565" s="11">
        <v>3499.1190790000001</v>
      </c>
      <c r="P565" s="11">
        <f>Table1[[#This Row],[Installed Capacity 
(AC -MW)]]/Table1[[#This Row],[Installed Capacity 
(DC -MW)]]</f>
        <v>0.74626851645936798</v>
      </c>
      <c r="Q565" s="12">
        <v>0.21157831999999999</v>
      </c>
      <c r="R565" s="12">
        <v>0.15789428</v>
      </c>
      <c r="S565" s="13">
        <v>46.948275359999997</v>
      </c>
      <c r="T565" s="11">
        <v>201.6834479</v>
      </c>
      <c r="U565" s="11">
        <v>344.12422700000002</v>
      </c>
      <c r="V565" s="13">
        <v>2806523.0419999999</v>
      </c>
      <c r="W565" s="13">
        <v>4504055</v>
      </c>
      <c r="X565" s="13">
        <v>196.59700000000001</v>
      </c>
      <c r="Y565" s="14">
        <f>+Table1[[#This Row],[Generation Cost 
LCOE (USD/MWh)]]+Table1[[#This Row],[Transmission Cost
LCOT (USD/MWh)]]</f>
        <v>243.54527536000001</v>
      </c>
    </row>
    <row r="566" spans="1:25" x14ac:dyDescent="0.3">
      <c r="A566" s="7">
        <v>565</v>
      </c>
      <c r="B566" s="8">
        <v>6826</v>
      </c>
      <c r="C566" s="9">
        <v>47.128315000000001</v>
      </c>
      <c r="D566" s="9">
        <v>-67.946700000000007</v>
      </c>
      <c r="E566" s="10" t="s">
        <v>42</v>
      </c>
      <c r="F566" s="10" t="s">
        <v>2</v>
      </c>
      <c r="G566" s="10" t="s">
        <v>7</v>
      </c>
      <c r="H566" s="10">
        <v>-5</v>
      </c>
      <c r="I566" s="11">
        <v>219.35714290000001</v>
      </c>
      <c r="J566" s="11">
        <v>3.5473528000000001</v>
      </c>
      <c r="K566" s="11" t="str">
        <f>IF(Table1[[#This Row],[Solar 
Resource]]&lt;3,"Low", IF(Table1[[#This Row],[Solar 
Resource]]&lt;4, "Moderate","High"))</f>
        <v>Moderate</v>
      </c>
      <c r="L566" s="11">
        <v>1.0316130999999999</v>
      </c>
      <c r="M566" s="11">
        <v>43.66904194</v>
      </c>
      <c r="N566" s="11">
        <v>1401.320072</v>
      </c>
      <c r="O566" s="11">
        <v>1877.768804</v>
      </c>
      <c r="P566" s="11">
        <f>Table1[[#This Row],[Installed Capacity 
(AC -MW)]]/Table1[[#This Row],[Installed Capacity 
(DC -MW)]]</f>
        <v>0.74626869347010405</v>
      </c>
      <c r="Q566" s="12">
        <v>0.21002881000000001</v>
      </c>
      <c r="R566" s="12">
        <v>0.15673791000000001</v>
      </c>
      <c r="S566" s="13">
        <v>47.303661380000001</v>
      </c>
      <c r="T566" s="11">
        <v>181.26075309999999</v>
      </c>
      <c r="U566" s="11">
        <v>344.12422700000002</v>
      </c>
      <c r="V566" s="13">
        <v>2806523.0419999999</v>
      </c>
      <c r="W566" s="13">
        <v>4304743.5</v>
      </c>
      <c r="X566" s="13">
        <v>189.28352000000001</v>
      </c>
      <c r="Y566" s="14">
        <f>+Table1[[#This Row],[Generation Cost 
LCOE (USD/MWh)]]+Table1[[#This Row],[Transmission Cost
LCOT (USD/MWh)]]</f>
        <v>236.58718138</v>
      </c>
    </row>
    <row r="567" spans="1:25" x14ac:dyDescent="0.3">
      <c r="A567" s="7">
        <v>566</v>
      </c>
      <c r="B567" s="8">
        <v>6862</v>
      </c>
      <c r="C567" s="9">
        <v>47.010886999999997</v>
      </c>
      <c r="D567" s="9">
        <v>-124.13611</v>
      </c>
      <c r="E567" s="10" t="s">
        <v>42</v>
      </c>
      <c r="F567" s="10" t="s">
        <v>4</v>
      </c>
      <c r="G567" s="10" t="s">
        <v>18</v>
      </c>
      <c r="H567" s="10">
        <v>-8</v>
      </c>
      <c r="I567" s="11">
        <v>11.2</v>
      </c>
      <c r="J567" s="11">
        <v>3.2327015000000001</v>
      </c>
      <c r="K567" s="11" t="str">
        <f>IF(Table1[[#This Row],[Solar 
Resource]]&lt;3,"Low", IF(Table1[[#This Row],[Solar 
Resource]]&lt;4, "Moderate","High"))</f>
        <v>Moderate</v>
      </c>
      <c r="L567" s="11">
        <v>1.0208063000000001</v>
      </c>
      <c r="M567" s="11">
        <v>5.8856219599999999</v>
      </c>
      <c r="N567" s="11">
        <v>188.86696029999999</v>
      </c>
      <c r="O567" s="11">
        <v>253.0817443</v>
      </c>
      <c r="P567" s="11">
        <f>Table1[[#This Row],[Installed Capacity 
(AC -MW)]]/Table1[[#This Row],[Installed Capacity 
(DC -MW)]]</f>
        <v>0.74626860511961468</v>
      </c>
      <c r="Q567" s="12">
        <v>0.18788746000000001</v>
      </c>
      <c r="R567" s="12">
        <v>0.14021449999999999</v>
      </c>
      <c r="S567" s="13">
        <v>52.438717680000003</v>
      </c>
      <c r="T567" s="11">
        <v>26.63689609</v>
      </c>
      <c r="U567" s="11">
        <v>244.79454530000001</v>
      </c>
      <c r="V567" s="13">
        <v>848902.56389999995</v>
      </c>
      <c r="W567" s="13">
        <v>895615.7</v>
      </c>
      <c r="X567" s="13">
        <v>44.021850000000001</v>
      </c>
      <c r="Y567" s="14">
        <f>+Table1[[#This Row],[Generation Cost 
LCOE (USD/MWh)]]+Table1[[#This Row],[Transmission Cost
LCOT (USD/MWh)]]</f>
        <v>96.460567679999997</v>
      </c>
    </row>
    <row r="568" spans="1:25" x14ac:dyDescent="0.3">
      <c r="A568" s="7">
        <v>567</v>
      </c>
      <c r="B568" s="8">
        <v>6863</v>
      </c>
      <c r="C568" s="9">
        <v>47.039368000000003</v>
      </c>
      <c r="D568" s="9">
        <v>-123.98227</v>
      </c>
      <c r="E568" s="10" t="s">
        <v>42</v>
      </c>
      <c r="F568" s="10" t="s">
        <v>4</v>
      </c>
      <c r="G568" s="10" t="s">
        <v>18</v>
      </c>
      <c r="H568" s="10">
        <v>-8</v>
      </c>
      <c r="I568" s="11">
        <v>44.466666670000002</v>
      </c>
      <c r="J568" s="11">
        <v>3.1667755</v>
      </c>
      <c r="K568" s="11" t="str">
        <f>IF(Table1[[#This Row],[Solar 
Resource]]&lt;3,"Low", IF(Table1[[#This Row],[Solar 
Resource]]&lt;4, "Moderate","High"))</f>
        <v>Moderate</v>
      </c>
      <c r="L568" s="11">
        <v>1.0206647</v>
      </c>
      <c r="M568" s="11">
        <v>42.231454100000001</v>
      </c>
      <c r="N568" s="11">
        <v>1355.1885199999999</v>
      </c>
      <c r="O568" s="11">
        <v>1815.952526</v>
      </c>
      <c r="P568" s="11">
        <f>Table1[[#This Row],[Installed Capacity 
(AC -MW)]]/Table1[[#This Row],[Installed Capacity 
(DC -MW)]]</f>
        <v>0.74626869403082619</v>
      </c>
      <c r="Q568" s="12">
        <v>0.18222041</v>
      </c>
      <c r="R568" s="12">
        <v>0.13598539000000001</v>
      </c>
      <c r="S568" s="13">
        <v>54.063625119999998</v>
      </c>
      <c r="T568" s="11">
        <v>1.5209545440000001</v>
      </c>
      <c r="U568" s="11">
        <v>230.86793489999999</v>
      </c>
      <c r="V568" s="13">
        <v>787082.64740000002</v>
      </c>
      <c r="W568" s="13">
        <v>837627.4</v>
      </c>
      <c r="X568" s="13">
        <v>42.452007000000002</v>
      </c>
      <c r="Y568" s="14">
        <f>+Table1[[#This Row],[Generation Cost 
LCOE (USD/MWh)]]+Table1[[#This Row],[Transmission Cost
LCOT (USD/MWh)]]</f>
        <v>96.515632119999992</v>
      </c>
    </row>
    <row r="569" spans="1:25" x14ac:dyDescent="0.3">
      <c r="A569" s="7">
        <v>568</v>
      </c>
      <c r="B569" s="8">
        <v>6864</v>
      </c>
      <c r="C569" s="9">
        <v>47.067689999999999</v>
      </c>
      <c r="D569" s="9">
        <v>-123.82828000000001</v>
      </c>
      <c r="E569" s="10" t="s">
        <v>42</v>
      </c>
      <c r="F569" s="10" t="s">
        <v>4</v>
      </c>
      <c r="G569" s="10" t="s">
        <v>18</v>
      </c>
      <c r="H569" s="10">
        <v>-8</v>
      </c>
      <c r="I569" s="11">
        <v>69.888888890000004</v>
      </c>
      <c r="J569" s="11">
        <v>3.1065855</v>
      </c>
      <c r="K569" s="11" t="str">
        <f>IF(Table1[[#This Row],[Solar 
Resource]]&lt;3,"Low", IF(Table1[[#This Row],[Solar 
Resource]]&lt;4, "Moderate","High"))</f>
        <v>Moderate</v>
      </c>
      <c r="L569" s="11">
        <v>1.0205622999999999</v>
      </c>
      <c r="M569" s="11">
        <v>37.485178419999997</v>
      </c>
      <c r="N569" s="11">
        <v>1202.8825079999999</v>
      </c>
      <c r="O569" s="11">
        <v>1611.862672</v>
      </c>
      <c r="P569" s="11">
        <f>Table1[[#This Row],[Installed Capacity 
(AC -MW)]]/Table1[[#This Row],[Installed Capacity 
(DC -MW)]]</f>
        <v>0.74626860519541827</v>
      </c>
      <c r="Q569" s="12">
        <v>0.17781739999999999</v>
      </c>
      <c r="R569" s="12">
        <v>0.13269953000000001</v>
      </c>
      <c r="S569" s="13">
        <v>55.397923990000002</v>
      </c>
      <c r="T569" s="11">
        <v>6.8410973979999996</v>
      </c>
      <c r="U569" s="11">
        <v>275.23282449999999</v>
      </c>
      <c r="V569" s="13">
        <v>963596.39179999998</v>
      </c>
      <c r="W569" s="13">
        <v>1055796.5</v>
      </c>
      <c r="X569" s="13">
        <v>54.834057000000001</v>
      </c>
      <c r="Y569" s="14">
        <f>+Table1[[#This Row],[Generation Cost 
LCOE (USD/MWh)]]+Table1[[#This Row],[Transmission Cost
LCOT (USD/MWh)]]</f>
        <v>110.23198099000001</v>
      </c>
    </row>
    <row r="570" spans="1:25" x14ac:dyDescent="0.3">
      <c r="A570" s="7">
        <v>569</v>
      </c>
      <c r="B570" s="8">
        <v>6865</v>
      </c>
      <c r="C570" s="9">
        <v>47.095869999999998</v>
      </c>
      <c r="D570" s="9">
        <v>-123.67413000000001</v>
      </c>
      <c r="E570" s="10" t="s">
        <v>42</v>
      </c>
      <c r="F570" s="10" t="s">
        <v>4</v>
      </c>
      <c r="G570" s="10" t="s">
        <v>18</v>
      </c>
      <c r="H570" s="10">
        <v>-8</v>
      </c>
      <c r="I570" s="11">
        <v>99.157894740000003</v>
      </c>
      <c r="J570" s="11">
        <v>3.1139695999999999</v>
      </c>
      <c r="K570" s="11" t="str">
        <f>IF(Table1[[#This Row],[Solar 
Resource]]&lt;3,"Low", IF(Table1[[#This Row],[Solar 
Resource]]&lt;4, "Moderate","High"))</f>
        <v>Moderate</v>
      </c>
      <c r="L570" s="11">
        <v>1.0204947</v>
      </c>
      <c r="M570" s="11">
        <v>47.901133739999999</v>
      </c>
      <c r="N570" s="11">
        <v>1537.1258270000001</v>
      </c>
      <c r="O570" s="11">
        <v>2059.7487510000001</v>
      </c>
      <c r="P570" s="11">
        <f>Table1[[#This Row],[Installed Capacity 
(AC -MW)]]/Table1[[#This Row],[Installed Capacity 
(DC -MW)]]</f>
        <v>0.74626860497122838</v>
      </c>
      <c r="Q570" s="12">
        <v>0.17834131</v>
      </c>
      <c r="R570" s="12">
        <v>0.13309054000000001</v>
      </c>
      <c r="S570" s="13">
        <v>55.23226502</v>
      </c>
      <c r="T570" s="11">
        <v>11.21491557</v>
      </c>
      <c r="U570" s="11">
        <v>274.88826610000001</v>
      </c>
      <c r="V570" s="13">
        <v>961965.36289999995</v>
      </c>
      <c r="W570" s="13">
        <v>1080297</v>
      </c>
      <c r="X570" s="13">
        <v>55.941692000000003</v>
      </c>
      <c r="Y570" s="14">
        <f>+Table1[[#This Row],[Generation Cost 
LCOE (USD/MWh)]]+Table1[[#This Row],[Transmission Cost
LCOT (USD/MWh)]]</f>
        <v>111.17395702</v>
      </c>
    </row>
    <row r="571" spans="1:25" x14ac:dyDescent="0.3">
      <c r="A571" s="7">
        <v>570</v>
      </c>
      <c r="B571" s="8">
        <v>6866</v>
      </c>
      <c r="C571" s="9">
        <v>47.123894</v>
      </c>
      <c r="D571" s="9">
        <v>-123.51983</v>
      </c>
      <c r="E571" s="10" t="s">
        <v>42</v>
      </c>
      <c r="F571" s="10" t="s">
        <v>4</v>
      </c>
      <c r="G571" s="10" t="s">
        <v>18</v>
      </c>
      <c r="H571" s="10">
        <v>-8</v>
      </c>
      <c r="I571" s="11">
        <v>109.2222222</v>
      </c>
      <c r="J571" s="11">
        <v>3.1473258</v>
      </c>
      <c r="K571" s="11" t="str">
        <f>IF(Table1[[#This Row],[Solar 
Resource]]&lt;3,"Low", IF(Table1[[#This Row],[Solar 
Resource]]&lt;4, "Moderate","High"))</f>
        <v>Moderate</v>
      </c>
      <c r="L571" s="11">
        <v>1.0204656000000001</v>
      </c>
      <c r="M571" s="11">
        <v>45.95041011</v>
      </c>
      <c r="N571" s="11">
        <v>1474.5279840000001</v>
      </c>
      <c r="O571" s="11">
        <v>1975.8676350000001</v>
      </c>
      <c r="P571" s="11">
        <f>Table1[[#This Row],[Installed Capacity 
(AC -MW)]]/Table1[[#This Row],[Installed Capacity 
(DC -MW)]]</f>
        <v>0.74626860518417271</v>
      </c>
      <c r="Q571" s="12">
        <v>0.17920765</v>
      </c>
      <c r="R571" s="12">
        <v>0.13373705999999999</v>
      </c>
      <c r="S571" s="13">
        <v>54.964028310000003</v>
      </c>
      <c r="T571" s="11">
        <v>17.481383099999999</v>
      </c>
      <c r="U571" s="11">
        <v>200.0670064</v>
      </c>
      <c r="V571" s="13">
        <v>650358.62580000004</v>
      </c>
      <c r="W571" s="13">
        <v>772293.8</v>
      </c>
      <c r="X571" s="13">
        <v>39.798839999999998</v>
      </c>
      <c r="Y571" s="14">
        <f>+Table1[[#This Row],[Generation Cost 
LCOE (USD/MWh)]]+Table1[[#This Row],[Transmission Cost
LCOT (USD/MWh)]]</f>
        <v>94.762868310000002</v>
      </c>
    </row>
    <row r="572" spans="1:25" x14ac:dyDescent="0.3">
      <c r="A572" s="7">
        <v>571</v>
      </c>
      <c r="B572" s="8">
        <v>6867</v>
      </c>
      <c r="C572" s="9">
        <v>47.151769999999999</v>
      </c>
      <c r="D572" s="9">
        <v>-123.36539</v>
      </c>
      <c r="E572" s="10" t="s">
        <v>42</v>
      </c>
      <c r="F572" s="10" t="s">
        <v>4</v>
      </c>
      <c r="G572" s="10" t="s">
        <v>28</v>
      </c>
      <c r="H572" s="10">
        <v>-8</v>
      </c>
      <c r="I572" s="11">
        <v>120.44444439999999</v>
      </c>
      <c r="J572" s="11">
        <v>3.1695163000000002</v>
      </c>
      <c r="K572" s="11" t="str">
        <f>IF(Table1[[#This Row],[Solar 
Resource]]&lt;3,"Low", IF(Table1[[#This Row],[Solar 
Resource]]&lt;4, "Moderate","High"))</f>
        <v>Moderate</v>
      </c>
      <c r="L572" s="11">
        <v>1.0204960000000001</v>
      </c>
      <c r="M572" s="11">
        <v>70.356845210000003</v>
      </c>
      <c r="N572" s="11">
        <v>2257.719235</v>
      </c>
      <c r="O572" s="11">
        <v>3025.3443440000001</v>
      </c>
      <c r="P572" s="11">
        <f>Table1[[#This Row],[Installed Capacity 
(AC -MW)]]/Table1[[#This Row],[Installed Capacity 
(DC -MW)]]</f>
        <v>0.7462685163352103</v>
      </c>
      <c r="Q572" s="12">
        <v>0.17920189</v>
      </c>
      <c r="R572" s="12">
        <v>0.13373277</v>
      </c>
      <c r="S572" s="13">
        <v>54.967081610000001</v>
      </c>
      <c r="T572" s="11">
        <v>19.926824660000001</v>
      </c>
      <c r="U572" s="11">
        <v>161.65555190000001</v>
      </c>
      <c r="V572" s="13">
        <v>515105.23749999999</v>
      </c>
      <c r="W572" s="13">
        <v>653423.43999999994</v>
      </c>
      <c r="X572" s="13">
        <v>33.674145000000003</v>
      </c>
      <c r="Y572" s="14">
        <f>+Table1[[#This Row],[Generation Cost 
LCOE (USD/MWh)]]+Table1[[#This Row],[Transmission Cost
LCOT (USD/MWh)]]</f>
        <v>88.641226610000004</v>
      </c>
    </row>
    <row r="573" spans="1:25" x14ac:dyDescent="0.3">
      <c r="A573" s="7">
        <v>572</v>
      </c>
      <c r="B573" s="8">
        <v>6868</v>
      </c>
      <c r="C573" s="9">
        <v>47.179493000000001</v>
      </c>
      <c r="D573" s="9">
        <v>-123.210785</v>
      </c>
      <c r="E573" s="10" t="s">
        <v>42</v>
      </c>
      <c r="F573" s="10" t="s">
        <v>4</v>
      </c>
      <c r="G573" s="10" t="s">
        <v>28</v>
      </c>
      <c r="H573" s="10">
        <v>-8</v>
      </c>
      <c r="I573" s="11">
        <v>112.68421050000001</v>
      </c>
      <c r="J573" s="11">
        <v>3.2555272999999998</v>
      </c>
      <c r="K573" s="11" t="str">
        <f>IF(Table1[[#This Row],[Solar 
Resource]]&lt;3,"Low", IF(Table1[[#This Row],[Solar 
Resource]]&lt;4, "Moderate","High"))</f>
        <v>Moderate</v>
      </c>
      <c r="L573" s="11">
        <v>1.0205488</v>
      </c>
      <c r="M573" s="11">
        <v>47.318902729999998</v>
      </c>
      <c r="N573" s="11">
        <v>1518.4422959999999</v>
      </c>
      <c r="O573" s="11">
        <v>2034.712818</v>
      </c>
      <c r="P573" s="11">
        <f>Table1[[#This Row],[Installed Capacity 
(AC -MW)]]/Table1[[#This Row],[Installed Capacity 
(DC -MW)]]</f>
        <v>0.74626860487001656</v>
      </c>
      <c r="Q573" s="12">
        <v>0.184201</v>
      </c>
      <c r="R573" s="12">
        <v>0.13746342</v>
      </c>
      <c r="S573" s="13">
        <v>53.477501840000002</v>
      </c>
      <c r="T573" s="11">
        <v>6.8757272660000002</v>
      </c>
      <c r="U573" s="11">
        <v>161.65555190000001</v>
      </c>
      <c r="V573" s="13">
        <v>515105.23749999999</v>
      </c>
      <c r="W573" s="13">
        <v>591488.9</v>
      </c>
      <c r="X573" s="13">
        <v>29.655073000000002</v>
      </c>
      <c r="Y573" s="14">
        <f>+Table1[[#This Row],[Generation Cost 
LCOE (USD/MWh)]]+Table1[[#This Row],[Transmission Cost
LCOT (USD/MWh)]]</f>
        <v>83.132574840000004</v>
      </c>
    </row>
    <row r="574" spans="1:25" x14ac:dyDescent="0.3">
      <c r="A574" s="7">
        <v>573</v>
      </c>
      <c r="B574" s="8">
        <v>6869</v>
      </c>
      <c r="C574" s="9">
        <v>47.207059999999998</v>
      </c>
      <c r="D574" s="9">
        <v>-123.05604</v>
      </c>
      <c r="E574" s="10" t="s">
        <v>42</v>
      </c>
      <c r="F574" s="10" t="s">
        <v>4</v>
      </c>
      <c r="G574" s="10" t="s">
        <v>28</v>
      </c>
      <c r="H574" s="10">
        <v>-8</v>
      </c>
      <c r="I574" s="11">
        <v>52.125</v>
      </c>
      <c r="J574" s="11">
        <v>3.3094277000000001</v>
      </c>
      <c r="K574" s="11" t="str">
        <f>IF(Table1[[#This Row],[Solar 
Resource]]&lt;3,"Low", IF(Table1[[#This Row],[Solar 
Resource]]&lt;4, "Moderate","High"))</f>
        <v>Moderate</v>
      </c>
      <c r="L574" s="11">
        <v>1.0206492</v>
      </c>
      <c r="M574" s="11">
        <v>37.214880469999997</v>
      </c>
      <c r="N574" s="11">
        <v>1194.208768</v>
      </c>
      <c r="O574" s="11">
        <v>1600.2398599999999</v>
      </c>
      <c r="P574" s="11">
        <f>Table1[[#This Row],[Installed Capacity 
(AC -MW)]]/Table1[[#This Row],[Installed Capacity 
(DC -MW)]]</f>
        <v>0.74626860500775183</v>
      </c>
      <c r="Q574" s="12">
        <v>0.18735114</v>
      </c>
      <c r="R574" s="12">
        <v>0.13981426999999999</v>
      </c>
      <c r="S574" s="13">
        <v>52.582430559999999</v>
      </c>
      <c r="T574" s="11">
        <v>6.8410973979999996</v>
      </c>
      <c r="U574" s="11">
        <v>170.1629739</v>
      </c>
      <c r="V574" s="13">
        <v>542529.25760000001</v>
      </c>
      <c r="W574" s="13">
        <v>620661.80000000005</v>
      </c>
      <c r="X574" s="13">
        <v>30.594481999999999</v>
      </c>
      <c r="Y574" s="14">
        <f>+Table1[[#This Row],[Generation Cost 
LCOE (USD/MWh)]]+Table1[[#This Row],[Transmission Cost
LCOT (USD/MWh)]]</f>
        <v>83.176912560000005</v>
      </c>
    </row>
    <row r="575" spans="1:25" x14ac:dyDescent="0.3">
      <c r="A575" s="7">
        <v>574</v>
      </c>
      <c r="B575" s="8">
        <v>6870</v>
      </c>
      <c r="C575" s="9">
        <v>47.234478000000003</v>
      </c>
      <c r="D575" s="9">
        <v>-122.901146</v>
      </c>
      <c r="E575" s="10" t="s">
        <v>42</v>
      </c>
      <c r="F575" s="10" t="s">
        <v>4</v>
      </c>
      <c r="G575" s="10" t="s">
        <v>28</v>
      </c>
      <c r="H575" s="10">
        <v>-8</v>
      </c>
      <c r="I575" s="11">
        <v>51.777777780000001</v>
      </c>
      <c r="J575" s="11">
        <v>3.2929156000000002</v>
      </c>
      <c r="K575" s="11" t="str">
        <f>IF(Table1[[#This Row],[Solar 
Resource]]&lt;3,"Low", IF(Table1[[#This Row],[Solar 
Resource]]&lt;4, "Moderate","High"))</f>
        <v>Moderate</v>
      </c>
      <c r="L575" s="11">
        <v>1.020753</v>
      </c>
      <c r="M575" s="11">
        <v>11.895174320000001</v>
      </c>
      <c r="N575" s="11">
        <v>381.71079120000002</v>
      </c>
      <c r="O575" s="11">
        <v>511.49249559999998</v>
      </c>
      <c r="P575" s="11">
        <f>Table1[[#This Row],[Installed Capacity 
(AC -MW)]]/Table1[[#This Row],[Installed Capacity 
(DC -MW)]]</f>
        <v>0.74626860507941351</v>
      </c>
      <c r="Q575" s="12">
        <v>0.18567768000000001</v>
      </c>
      <c r="R575" s="12">
        <v>0.13856544000000001</v>
      </c>
      <c r="S575" s="13">
        <v>53.060603380000003</v>
      </c>
      <c r="T575" s="11">
        <v>33.602623360000003</v>
      </c>
      <c r="U575" s="11">
        <v>106.3042662</v>
      </c>
      <c r="V575" s="13">
        <v>357991.22249999997</v>
      </c>
      <c r="W575" s="13">
        <v>441028.47</v>
      </c>
      <c r="X575" s="13">
        <v>21.935692</v>
      </c>
      <c r="Y575" s="14">
        <f>+Table1[[#This Row],[Generation Cost 
LCOE (USD/MWh)]]+Table1[[#This Row],[Transmission Cost
LCOT (USD/MWh)]]</f>
        <v>74.996295380000007</v>
      </c>
    </row>
    <row r="576" spans="1:25" x14ac:dyDescent="0.3">
      <c r="A576" s="7">
        <v>575</v>
      </c>
      <c r="B576" s="8">
        <v>6871</v>
      </c>
      <c r="C576" s="9">
        <v>47.261744999999998</v>
      </c>
      <c r="D576" s="9">
        <v>-122.74611</v>
      </c>
      <c r="E576" s="10" t="s">
        <v>42</v>
      </c>
      <c r="F576" s="10" t="s">
        <v>4</v>
      </c>
      <c r="G576" s="10" t="s">
        <v>32</v>
      </c>
      <c r="H576" s="10">
        <v>-8</v>
      </c>
      <c r="I576" s="11">
        <v>44.625</v>
      </c>
      <c r="J576" s="11">
        <v>3.3946402</v>
      </c>
      <c r="K576" s="11" t="str">
        <f>IF(Table1[[#This Row],[Solar 
Resource]]&lt;3,"Low", IF(Table1[[#This Row],[Solar 
Resource]]&lt;4, "Moderate","High"))</f>
        <v>Moderate</v>
      </c>
      <c r="L576" s="11">
        <v>1.0208735</v>
      </c>
      <c r="M576" s="11">
        <v>15.14586489</v>
      </c>
      <c r="N576" s="11">
        <v>486.02404680000001</v>
      </c>
      <c r="O576" s="11">
        <v>651.2721904</v>
      </c>
      <c r="P576" s="11">
        <f>Table1[[#This Row],[Installed Capacity 
(AC -MW)]]/Table1[[#This Row],[Installed Capacity 
(DC -MW)]]</f>
        <v>0.7462686937415407</v>
      </c>
      <c r="Q576" s="12">
        <v>0.19354383999999999</v>
      </c>
      <c r="R576" s="12">
        <v>0.14443566999999999</v>
      </c>
      <c r="S576" s="13">
        <v>50.908847379999997</v>
      </c>
      <c r="T576" s="11">
        <v>16.923292190000002</v>
      </c>
      <c r="U576" s="11">
        <v>211.9077207</v>
      </c>
      <c r="V576" s="13">
        <v>702295.39159999997</v>
      </c>
      <c r="W576" s="13">
        <v>744050.7</v>
      </c>
      <c r="X576" s="13">
        <v>35.503210000000003</v>
      </c>
      <c r="Y576" s="14">
        <f>+Table1[[#This Row],[Generation Cost 
LCOE (USD/MWh)]]+Table1[[#This Row],[Transmission Cost
LCOT (USD/MWh)]]</f>
        <v>86.412057379999993</v>
      </c>
    </row>
    <row r="577" spans="1:25" x14ac:dyDescent="0.3">
      <c r="A577" s="7">
        <v>576</v>
      </c>
      <c r="B577" s="8">
        <v>6872</v>
      </c>
      <c r="C577" s="9">
        <v>47.288857</v>
      </c>
      <c r="D577" s="9">
        <v>-122.59090999999999</v>
      </c>
      <c r="E577" s="10" t="s">
        <v>42</v>
      </c>
      <c r="F577" s="10" t="s">
        <v>4</v>
      </c>
      <c r="G577" s="10" t="s">
        <v>32</v>
      </c>
      <c r="H577" s="10">
        <v>-8</v>
      </c>
      <c r="I577" s="11">
        <v>66.125</v>
      </c>
      <c r="J577" s="11">
        <v>3.3918694999999999</v>
      </c>
      <c r="K577" s="11" t="str">
        <f>IF(Table1[[#This Row],[Solar 
Resource]]&lt;3,"Low", IF(Table1[[#This Row],[Solar 
Resource]]&lt;4, "Moderate","High"))</f>
        <v>Moderate</v>
      </c>
      <c r="L577" s="11">
        <v>1.0209744999999999</v>
      </c>
      <c r="M577" s="11">
        <v>5.3031511780000002</v>
      </c>
      <c r="N577" s="11">
        <v>170.175735</v>
      </c>
      <c r="O577" s="11">
        <v>228.0355007</v>
      </c>
      <c r="P577" s="11">
        <f>Table1[[#This Row],[Installed Capacity 
(AC -MW)]]/Table1[[#This Row],[Installed Capacity 
(DC -MW)]]</f>
        <v>0.74626860500936032</v>
      </c>
      <c r="Q577" s="12">
        <v>0.19377509000000001</v>
      </c>
      <c r="R577" s="12">
        <v>0.14460825999999999</v>
      </c>
      <c r="S577" s="13">
        <v>50.852064319999997</v>
      </c>
      <c r="T577" s="11">
        <v>2.4209545440000002</v>
      </c>
      <c r="U577" s="11">
        <v>70.649733729999994</v>
      </c>
      <c r="V577" s="13">
        <v>255527.18799999999</v>
      </c>
      <c r="W577" s="13">
        <v>297619.21999999997</v>
      </c>
      <c r="X577" s="13">
        <v>14.184284999999999</v>
      </c>
      <c r="Y577" s="14">
        <f>+Table1[[#This Row],[Generation Cost 
LCOE (USD/MWh)]]+Table1[[#This Row],[Transmission Cost
LCOT (USD/MWh)]]</f>
        <v>65.036349319999999</v>
      </c>
    </row>
    <row r="578" spans="1:25" x14ac:dyDescent="0.3">
      <c r="A578" s="7">
        <v>577</v>
      </c>
      <c r="B578" s="8">
        <v>6874</v>
      </c>
      <c r="C578" s="9">
        <v>47.34263</v>
      </c>
      <c r="D578" s="9">
        <v>-122.280106</v>
      </c>
      <c r="E578" s="10" t="s">
        <v>42</v>
      </c>
      <c r="F578" s="10" t="s">
        <v>4</v>
      </c>
      <c r="G578" s="10" t="s">
        <v>22</v>
      </c>
      <c r="H578" s="10">
        <v>-8</v>
      </c>
      <c r="I578" s="11">
        <v>90.875</v>
      </c>
      <c r="J578" s="11">
        <v>3.2835252000000001</v>
      </c>
      <c r="K578" s="11" t="str">
        <f>IF(Table1[[#This Row],[Solar 
Resource]]&lt;3,"Low", IF(Table1[[#This Row],[Solar 
Resource]]&lt;4, "Moderate","High"))</f>
        <v>Moderate</v>
      </c>
      <c r="L578" s="11">
        <v>1.0210927999999999</v>
      </c>
      <c r="M578" s="11">
        <v>10.16323176</v>
      </c>
      <c r="N578" s="11">
        <v>326.13357280000002</v>
      </c>
      <c r="O578" s="11">
        <v>437.01896579999999</v>
      </c>
      <c r="P578" s="11">
        <f>Table1[[#This Row],[Installed Capacity 
(AC -MW)]]/Table1[[#This Row],[Installed Capacity 
(DC -MW)]]</f>
        <v>0.74626869386088335</v>
      </c>
      <c r="Q578" s="12">
        <v>0.18575159999999999</v>
      </c>
      <c r="R578" s="12">
        <v>0.13862062</v>
      </c>
      <c r="S578" s="13">
        <v>53.053449020000002</v>
      </c>
      <c r="T578" s="11">
        <v>0.127279221</v>
      </c>
      <c r="U578" s="11">
        <v>38.335344139999997</v>
      </c>
      <c r="V578" s="13">
        <v>127986.2749</v>
      </c>
      <c r="W578" s="13">
        <v>164255.10999999999</v>
      </c>
      <c r="X578" s="13">
        <v>8.1664010000000005</v>
      </c>
      <c r="Y578" s="14">
        <f>+Table1[[#This Row],[Generation Cost 
LCOE (USD/MWh)]]+Table1[[#This Row],[Transmission Cost
LCOT (USD/MWh)]]</f>
        <v>61.219850020000003</v>
      </c>
    </row>
    <row r="579" spans="1:25" x14ac:dyDescent="0.3">
      <c r="A579" s="7">
        <v>578</v>
      </c>
      <c r="B579" s="8">
        <v>6875</v>
      </c>
      <c r="C579" s="9">
        <v>47.369278000000001</v>
      </c>
      <c r="D579" s="9">
        <v>-122.12447</v>
      </c>
      <c r="E579" s="10" t="s">
        <v>42</v>
      </c>
      <c r="F579" s="10" t="s">
        <v>4</v>
      </c>
      <c r="G579" s="10" t="s">
        <v>22</v>
      </c>
      <c r="H579" s="10">
        <v>-8</v>
      </c>
      <c r="I579" s="11">
        <v>137.2352941</v>
      </c>
      <c r="J579" s="11">
        <v>3.1584089999999998</v>
      </c>
      <c r="K579" s="11" t="str">
        <f>IF(Table1[[#This Row],[Solar 
Resource]]&lt;3,"Low", IF(Table1[[#This Row],[Solar 
Resource]]&lt;4, "Moderate","High"))</f>
        <v>Moderate</v>
      </c>
      <c r="L579" s="11">
        <v>1.0210425999999999</v>
      </c>
      <c r="M579" s="11">
        <v>15.89519795</v>
      </c>
      <c r="N579" s="11">
        <v>510.06974960000002</v>
      </c>
      <c r="O579" s="11">
        <v>683.49351179999996</v>
      </c>
      <c r="P579" s="11">
        <f>Table1[[#This Row],[Installed Capacity 
(AC -MW)]]/Table1[[#This Row],[Installed Capacity 
(DC -MW)]]</f>
        <v>0.74626860503286496</v>
      </c>
      <c r="Q579" s="12">
        <v>0.17796692</v>
      </c>
      <c r="R579" s="12">
        <v>0.13281113999999999</v>
      </c>
      <c r="S579" s="13">
        <v>55.371973859999997</v>
      </c>
      <c r="T579" s="11">
        <v>1.281837662</v>
      </c>
      <c r="U579" s="11">
        <v>31.149688300000001</v>
      </c>
      <c r="V579" s="13">
        <v>116705.11350000001</v>
      </c>
      <c r="W579" s="13">
        <v>143994.17000000001</v>
      </c>
      <c r="X579" s="13">
        <v>7.472226</v>
      </c>
      <c r="Y579" s="14">
        <f>+Table1[[#This Row],[Generation Cost 
LCOE (USD/MWh)]]+Table1[[#This Row],[Transmission Cost
LCOT (USD/MWh)]]</f>
        <v>62.844199859999996</v>
      </c>
    </row>
    <row r="580" spans="1:25" x14ac:dyDescent="0.3">
      <c r="A580" s="7">
        <v>579</v>
      </c>
      <c r="B580" s="8">
        <v>6876</v>
      </c>
      <c r="C580" s="9">
        <v>47.395780000000002</v>
      </c>
      <c r="D580" s="9">
        <v>-121.968704</v>
      </c>
      <c r="E580" s="10" t="s">
        <v>42</v>
      </c>
      <c r="F580" s="10" t="s">
        <v>4</v>
      </c>
      <c r="G580" s="10" t="s">
        <v>22</v>
      </c>
      <c r="H580" s="10">
        <v>-8</v>
      </c>
      <c r="I580" s="11">
        <v>258.26315790000001</v>
      </c>
      <c r="J580" s="11">
        <v>3.0691752000000001</v>
      </c>
      <c r="K580" s="11" t="str">
        <f>IF(Table1[[#This Row],[Solar 
Resource]]&lt;3,"Low", IF(Table1[[#This Row],[Solar 
Resource]]&lt;4, "Moderate","High"))</f>
        <v>Moderate</v>
      </c>
      <c r="L580" s="11">
        <v>1.0209087999999999</v>
      </c>
      <c r="M580" s="11">
        <v>20.413943920000001</v>
      </c>
      <c r="N580" s="11">
        <v>655.0742745</v>
      </c>
      <c r="O580" s="11">
        <v>877.79958859999999</v>
      </c>
      <c r="P580" s="11">
        <f>Table1[[#This Row],[Installed Capacity 
(AC -MW)]]/Table1[[#This Row],[Installed Capacity 
(DC -MW)]]</f>
        <v>0.74626860505229453</v>
      </c>
      <c r="Q580" s="12">
        <v>0.17231081000000001</v>
      </c>
      <c r="R580" s="12">
        <v>0.12859017</v>
      </c>
      <c r="S580" s="13">
        <v>57.18364158</v>
      </c>
      <c r="T580" s="11">
        <v>1.806396103</v>
      </c>
      <c r="U580" s="11">
        <v>40.676441529999998</v>
      </c>
      <c r="V580" s="13">
        <v>157745.6464</v>
      </c>
      <c r="W580" s="13">
        <v>188159.17</v>
      </c>
      <c r="X580" s="13">
        <v>10.084567</v>
      </c>
      <c r="Y580" s="14">
        <f>+Table1[[#This Row],[Generation Cost 
LCOE (USD/MWh)]]+Table1[[#This Row],[Transmission Cost
LCOT (USD/MWh)]]</f>
        <v>67.268208579999992</v>
      </c>
    </row>
    <row r="581" spans="1:25" x14ac:dyDescent="0.3">
      <c r="A581" s="7">
        <v>580</v>
      </c>
      <c r="B581" s="8">
        <v>6877</v>
      </c>
      <c r="C581" s="9">
        <v>47.422127000000003</v>
      </c>
      <c r="D581" s="9">
        <v>-121.81279000000001</v>
      </c>
      <c r="E581" s="10" t="s">
        <v>42</v>
      </c>
      <c r="F581" s="10" t="s">
        <v>4</v>
      </c>
      <c r="G581" s="10" t="s">
        <v>22</v>
      </c>
      <c r="H581" s="10">
        <v>-8</v>
      </c>
      <c r="I581" s="11">
        <v>477.84615380000002</v>
      </c>
      <c r="J581" s="11">
        <v>3.032794</v>
      </c>
      <c r="K581" s="11" t="str">
        <f>IF(Table1[[#This Row],[Solar 
Resource]]&lt;3,"Low", IF(Table1[[#This Row],[Solar 
Resource]]&lt;4, "Moderate","High"))</f>
        <v>Moderate</v>
      </c>
      <c r="L581" s="11">
        <v>1.0207081</v>
      </c>
      <c r="M581" s="11">
        <v>5.6596317630000001</v>
      </c>
      <c r="N581" s="11">
        <v>181.6150581</v>
      </c>
      <c r="O581" s="11">
        <v>243.36416579999999</v>
      </c>
      <c r="P581" s="11">
        <f>Table1[[#This Row],[Installed Capacity 
(AC -MW)]]/Table1[[#This Row],[Installed Capacity 
(DC -MW)]]</f>
        <v>0.74626869367963455</v>
      </c>
      <c r="Q581" s="12">
        <v>0.17113143</v>
      </c>
      <c r="R581" s="12">
        <v>0.12771003</v>
      </c>
      <c r="S581" s="13">
        <v>57.56877214</v>
      </c>
      <c r="T581" s="11">
        <v>2.3527922060000002</v>
      </c>
      <c r="U581" s="11">
        <v>65.208707759999996</v>
      </c>
      <c r="V581" s="13">
        <v>250200.6612</v>
      </c>
      <c r="W581" s="13">
        <v>306715.75</v>
      </c>
      <c r="X581" s="13">
        <v>16.552009999999999</v>
      </c>
      <c r="Y581" s="14">
        <f>+Table1[[#This Row],[Generation Cost 
LCOE (USD/MWh)]]+Table1[[#This Row],[Transmission Cost
LCOT (USD/MWh)]]</f>
        <v>74.120782140000003</v>
      </c>
    </row>
    <row r="582" spans="1:25" x14ac:dyDescent="0.3">
      <c r="A582" s="7">
        <v>581</v>
      </c>
      <c r="B582" s="8">
        <v>6878</v>
      </c>
      <c r="C582" s="9">
        <v>47.448320000000002</v>
      </c>
      <c r="D582" s="9">
        <v>-121.65673</v>
      </c>
      <c r="E582" s="10" t="s">
        <v>42</v>
      </c>
      <c r="F582" s="10" t="s">
        <v>4</v>
      </c>
      <c r="G582" s="10" t="s">
        <v>22</v>
      </c>
      <c r="H582" s="10">
        <v>-8</v>
      </c>
      <c r="I582" s="11">
        <v>475</v>
      </c>
      <c r="J582" s="11">
        <v>3.052152</v>
      </c>
      <c r="K582" s="11" t="str">
        <f>IF(Table1[[#This Row],[Solar 
Resource]]&lt;3,"Low", IF(Table1[[#This Row],[Solar 
Resource]]&lt;4, "Moderate","High"))</f>
        <v>Moderate</v>
      </c>
      <c r="L582" s="11">
        <v>1.0201768</v>
      </c>
      <c r="M582" s="11">
        <v>1.8812249999999999</v>
      </c>
      <c r="N582" s="11">
        <v>60.367670910000001</v>
      </c>
      <c r="O582" s="11">
        <v>80.892674999999997</v>
      </c>
      <c r="P582" s="11">
        <f>Table1[[#This Row],[Installed Capacity 
(AC -MW)]]/Table1[[#This Row],[Installed Capacity 
(DC -MW)]]</f>
        <v>0.74626869379705896</v>
      </c>
      <c r="Q582" s="12">
        <v>0.17253099999999999</v>
      </c>
      <c r="R582" s="12">
        <v>0.12875448</v>
      </c>
      <c r="S582" s="13">
        <v>57.964681519999999</v>
      </c>
      <c r="T582" s="11">
        <v>0.50911688200000005</v>
      </c>
      <c r="U582" s="11">
        <v>64.890831120000001</v>
      </c>
      <c r="V582" s="13">
        <v>290588.72960000002</v>
      </c>
      <c r="W582" s="13">
        <v>337584.4</v>
      </c>
      <c r="X582" s="13">
        <v>18.070063000000001</v>
      </c>
      <c r="Y582" s="14">
        <f>+Table1[[#This Row],[Generation Cost 
LCOE (USD/MWh)]]+Table1[[#This Row],[Transmission Cost
LCOT (USD/MWh)]]</f>
        <v>76.034744520000004</v>
      </c>
    </row>
    <row r="583" spans="1:25" x14ac:dyDescent="0.3">
      <c r="A583" s="7">
        <v>582</v>
      </c>
      <c r="B583" s="8">
        <v>6884</v>
      </c>
      <c r="C583" s="9">
        <v>47.602234000000003</v>
      </c>
      <c r="D583" s="9">
        <v>-120.71741</v>
      </c>
      <c r="E583" s="10" t="s">
        <v>42</v>
      </c>
      <c r="F583" s="10" t="s">
        <v>4</v>
      </c>
      <c r="G583" s="10" t="s">
        <v>11</v>
      </c>
      <c r="H583" s="10">
        <v>-8</v>
      </c>
      <c r="I583" s="11">
        <v>585</v>
      </c>
      <c r="J583" s="11">
        <v>3.8696606</v>
      </c>
      <c r="K583" s="11" t="str">
        <f>IF(Table1[[#This Row],[Solar 
Resource]]&lt;3,"Low", IF(Table1[[#This Row],[Solar 
Resource]]&lt;4, "Moderate","High"))</f>
        <v>Moderate</v>
      </c>
      <c r="L583" s="11">
        <v>1.0122651</v>
      </c>
      <c r="M583" s="11">
        <v>0.60701402000000004</v>
      </c>
      <c r="N583" s="11">
        <v>19.47880675</v>
      </c>
      <c r="O583" s="11">
        <v>26.101602849999999</v>
      </c>
      <c r="P583" s="11">
        <f>Table1[[#This Row],[Installed Capacity 
(AC -MW)]]/Table1[[#This Row],[Installed Capacity 
(DC -MW)]]</f>
        <v>0.74626860510981996</v>
      </c>
      <c r="Q583" s="12">
        <v>0.22847982</v>
      </c>
      <c r="R583" s="12">
        <v>0.17050731</v>
      </c>
      <c r="S583" s="13">
        <v>49.171471109999999</v>
      </c>
      <c r="T583" s="11">
        <v>5.4037467499999998</v>
      </c>
      <c r="U583" s="11">
        <v>143.98996740000001</v>
      </c>
      <c r="V583" s="13">
        <v>448254.83419999998</v>
      </c>
      <c r="W583" s="13">
        <v>540627.75</v>
      </c>
      <c r="X583" s="13">
        <v>21.852188000000002</v>
      </c>
      <c r="Y583" s="14">
        <f>+Table1[[#This Row],[Generation Cost 
LCOE (USD/MWh)]]+Table1[[#This Row],[Transmission Cost
LCOT (USD/MWh)]]</f>
        <v>71.023659109999997</v>
      </c>
    </row>
    <row r="584" spans="1:25" x14ac:dyDescent="0.3">
      <c r="A584" s="7">
        <v>583</v>
      </c>
      <c r="B584" s="8">
        <v>6885</v>
      </c>
      <c r="C584" s="9">
        <v>47.627341999999999</v>
      </c>
      <c r="D584" s="9">
        <v>-120.56036</v>
      </c>
      <c r="E584" s="10" t="s">
        <v>42</v>
      </c>
      <c r="F584" s="10" t="s">
        <v>4</v>
      </c>
      <c r="G584" s="10" t="s">
        <v>11</v>
      </c>
      <c r="H584" s="10">
        <v>-8</v>
      </c>
      <c r="I584" s="11">
        <v>757.92857140000001</v>
      </c>
      <c r="J584" s="11">
        <v>3.9457605</v>
      </c>
      <c r="K584" s="11" t="str">
        <f>IF(Table1[[#This Row],[Solar 
Resource]]&lt;3,"Low", IF(Table1[[#This Row],[Solar 
Resource]]&lt;4, "Moderate","High"))</f>
        <v>Moderate</v>
      </c>
      <c r="L584" s="11">
        <v>1.0112281999999999</v>
      </c>
      <c r="M584" s="11">
        <v>0.84636904400000001</v>
      </c>
      <c r="N584" s="11">
        <v>27.15960179</v>
      </c>
      <c r="O584" s="11">
        <v>36.393868910000002</v>
      </c>
      <c r="P584" s="11">
        <f>Table1[[#This Row],[Installed Capacity 
(AC -MW)]]/Table1[[#This Row],[Installed Capacity 
(DC -MW)]]</f>
        <v>0.74626860521930694</v>
      </c>
      <c r="Q584" s="12">
        <v>0.23502079000000001</v>
      </c>
      <c r="R584" s="12">
        <v>0.17538865000000001</v>
      </c>
      <c r="S584" s="13">
        <v>46.056773739999997</v>
      </c>
      <c r="T584" s="11">
        <v>5.5283766180000002</v>
      </c>
      <c r="U584" s="11">
        <v>141.30166220000001</v>
      </c>
      <c r="V584" s="13">
        <v>445859.02860000002</v>
      </c>
      <c r="W584" s="13">
        <v>541949.9</v>
      </c>
      <c r="X584" s="13">
        <v>21.295960999999998</v>
      </c>
      <c r="Y584" s="14">
        <f>+Table1[[#This Row],[Generation Cost 
LCOE (USD/MWh)]]+Table1[[#This Row],[Transmission Cost
LCOT (USD/MWh)]]</f>
        <v>67.352734739999988</v>
      </c>
    </row>
    <row r="585" spans="1:25" x14ac:dyDescent="0.3">
      <c r="A585" s="7">
        <v>584</v>
      </c>
      <c r="B585" s="8">
        <v>6886</v>
      </c>
      <c r="C585" s="9">
        <v>47.652293999999998</v>
      </c>
      <c r="D585" s="9">
        <v>-120.40318000000001</v>
      </c>
      <c r="E585" s="10" t="s">
        <v>42</v>
      </c>
      <c r="F585" s="10" t="s">
        <v>4</v>
      </c>
      <c r="G585" s="10" t="s">
        <v>11</v>
      </c>
      <c r="H585" s="10">
        <v>-8</v>
      </c>
      <c r="I585" s="11">
        <v>1130.8</v>
      </c>
      <c r="J585" s="11">
        <v>4.1022889999999999</v>
      </c>
      <c r="K585" s="11" t="str">
        <f>IF(Table1[[#This Row],[Solar 
Resource]]&lt;3,"Low", IF(Table1[[#This Row],[Solar 
Resource]]&lt;4, "Moderate","High"))</f>
        <v>High</v>
      </c>
      <c r="L585" s="11">
        <v>1.0096309000000001</v>
      </c>
      <c r="M585" s="11">
        <v>0.14806799000000001</v>
      </c>
      <c r="N585" s="11">
        <v>4.7514357399999998</v>
      </c>
      <c r="O585" s="11">
        <v>6.3669235750000004</v>
      </c>
      <c r="P585" s="11">
        <f>Table1[[#This Row],[Installed Capacity 
(AC -MW)]]/Table1[[#This Row],[Installed Capacity 
(DC -MW)]]</f>
        <v>0.74626869382518068</v>
      </c>
      <c r="Q585" s="12">
        <v>0.24979240999999999</v>
      </c>
      <c r="R585" s="12">
        <v>0.18641226</v>
      </c>
      <c r="S585" s="13">
        <v>52.540266860000003</v>
      </c>
      <c r="T585" s="11">
        <v>5.8010259709999996</v>
      </c>
      <c r="U585" s="11">
        <v>155.5434999</v>
      </c>
      <c r="V585" s="13">
        <v>505324.6912</v>
      </c>
      <c r="W585" s="13">
        <v>607397.06000000006</v>
      </c>
      <c r="X585" s="13">
        <v>22.456282000000002</v>
      </c>
      <c r="Y585" s="14">
        <f>+Table1[[#This Row],[Generation Cost 
LCOE (USD/MWh)]]+Table1[[#This Row],[Transmission Cost
LCOT (USD/MWh)]]</f>
        <v>74.996548860000004</v>
      </c>
    </row>
    <row r="586" spans="1:25" x14ac:dyDescent="0.3">
      <c r="A586" s="7">
        <v>585</v>
      </c>
      <c r="B586" s="8">
        <v>6887</v>
      </c>
      <c r="C586" s="9">
        <v>47.677093999999997</v>
      </c>
      <c r="D586" s="9">
        <v>-120.24586499999999</v>
      </c>
      <c r="E586" s="10" t="s">
        <v>42</v>
      </c>
      <c r="F586" s="10" t="s">
        <v>4</v>
      </c>
      <c r="G586" s="10" t="s">
        <v>11</v>
      </c>
      <c r="H586" s="10">
        <v>-8</v>
      </c>
      <c r="I586" s="11">
        <v>594.1176471</v>
      </c>
      <c r="J586" s="11">
        <v>3.9979222000000001</v>
      </c>
      <c r="K586" s="11" t="str">
        <f>IF(Table1[[#This Row],[Solar 
Resource]]&lt;3,"Low", IF(Table1[[#This Row],[Solar 
Resource]]&lt;4, "Moderate","High"))</f>
        <v>Moderate</v>
      </c>
      <c r="L586" s="11">
        <v>1.0069144999999999</v>
      </c>
      <c r="M586" s="11">
        <v>3.5230140200000002</v>
      </c>
      <c r="N586" s="11">
        <v>113.0519346</v>
      </c>
      <c r="O586" s="11">
        <v>151.48960289999999</v>
      </c>
      <c r="P586" s="11">
        <f>Table1[[#This Row],[Installed Capacity 
(AC -MW)]]/Table1[[#This Row],[Installed Capacity 
(DC -MW)]]</f>
        <v>0.74626860481393475</v>
      </c>
      <c r="Q586" s="12">
        <v>0.24112571999999999</v>
      </c>
      <c r="R586" s="12">
        <v>0.17994457</v>
      </c>
      <c r="S586" s="13">
        <v>40.420626159999998</v>
      </c>
      <c r="T586" s="11">
        <v>1.999188309</v>
      </c>
      <c r="U586" s="11">
        <v>133.23035060000001</v>
      </c>
      <c r="V586" s="13">
        <v>435217.92589999997</v>
      </c>
      <c r="W586" s="13">
        <v>491931.47</v>
      </c>
      <c r="X586" s="13">
        <v>18.841066000000001</v>
      </c>
      <c r="Y586" s="14">
        <f>+Table1[[#This Row],[Generation Cost 
LCOE (USD/MWh)]]+Table1[[#This Row],[Transmission Cost
LCOT (USD/MWh)]]</f>
        <v>59.261692159999996</v>
      </c>
    </row>
    <row r="587" spans="1:25" x14ac:dyDescent="0.3">
      <c r="A587" s="7">
        <v>586</v>
      </c>
      <c r="B587" s="8">
        <v>6888</v>
      </c>
      <c r="C587" s="9">
        <v>47.701732999999997</v>
      </c>
      <c r="D587" s="9">
        <v>-120.08841</v>
      </c>
      <c r="E587" s="10" t="s">
        <v>42</v>
      </c>
      <c r="F587" s="10" t="s">
        <v>4</v>
      </c>
      <c r="G587" s="10" t="s">
        <v>13</v>
      </c>
      <c r="H587" s="10">
        <v>-8</v>
      </c>
      <c r="I587" s="11">
        <v>801.625</v>
      </c>
      <c r="J587" s="11">
        <v>4.0374689999999998</v>
      </c>
      <c r="K587" s="11" t="str">
        <f>IF(Table1[[#This Row],[Solar 
Resource]]&lt;3,"Low", IF(Table1[[#This Row],[Solar 
Resource]]&lt;4, "Moderate","High"))</f>
        <v>High</v>
      </c>
      <c r="L587" s="11">
        <v>1.0050631999999999</v>
      </c>
      <c r="M587" s="11">
        <v>9.6399709720000004</v>
      </c>
      <c r="N587" s="11">
        <v>309.3423674</v>
      </c>
      <c r="O587" s="11">
        <v>414.51875180000002</v>
      </c>
      <c r="P587" s="11">
        <f>Table1[[#This Row],[Installed Capacity 
(AC -MW)]]/Table1[[#This Row],[Installed Capacity 
(DC -MW)]]</f>
        <v>0.74626869365189474</v>
      </c>
      <c r="Q587" s="12">
        <v>0.24536707999999999</v>
      </c>
      <c r="R587" s="12">
        <v>0.18310978999999999</v>
      </c>
      <c r="S587" s="13">
        <v>39.664284610000003</v>
      </c>
      <c r="T587" s="11">
        <v>3.0855844120000002</v>
      </c>
      <c r="U587" s="11">
        <v>141.09342849999999</v>
      </c>
      <c r="V587" s="13">
        <v>436188.55780000001</v>
      </c>
      <c r="W587" s="13">
        <v>494135.6</v>
      </c>
      <c r="X587" s="13">
        <v>18.598344999999998</v>
      </c>
      <c r="Y587" s="14">
        <f>+Table1[[#This Row],[Generation Cost 
LCOE (USD/MWh)]]+Table1[[#This Row],[Transmission Cost
LCOT (USD/MWh)]]</f>
        <v>58.262629610000005</v>
      </c>
    </row>
    <row r="588" spans="1:25" x14ac:dyDescent="0.3">
      <c r="A588" s="7">
        <v>587</v>
      </c>
      <c r="B588" s="8">
        <v>6889</v>
      </c>
      <c r="C588" s="9">
        <v>47.726215000000003</v>
      </c>
      <c r="D588" s="9">
        <v>-119.93082</v>
      </c>
      <c r="E588" s="10" t="s">
        <v>42</v>
      </c>
      <c r="F588" s="10" t="s">
        <v>4</v>
      </c>
      <c r="G588" s="10" t="s">
        <v>13</v>
      </c>
      <c r="H588" s="10">
        <v>-8</v>
      </c>
      <c r="I588" s="11">
        <v>795.64705879999997</v>
      </c>
      <c r="J588" s="11">
        <v>4.0169066999999998</v>
      </c>
      <c r="K588" s="11" t="str">
        <f>IF(Table1[[#This Row],[Solar 
Resource]]&lt;3,"Low", IF(Table1[[#This Row],[Solar 
Resource]]&lt;4, "Moderate","High"))</f>
        <v>High</v>
      </c>
      <c r="L588" s="11">
        <v>1.0028596999999999</v>
      </c>
      <c r="M588" s="11">
        <v>28.604823710000002</v>
      </c>
      <c r="N588" s="11">
        <v>917.91603020000002</v>
      </c>
      <c r="O588" s="11">
        <v>1230.007419</v>
      </c>
      <c r="P588" s="11">
        <f>Table1[[#This Row],[Installed Capacity 
(AC -MW)]]/Table1[[#This Row],[Installed Capacity 
(DC -MW)]]</f>
        <v>0.74626869401021068</v>
      </c>
      <c r="Q588" s="12">
        <v>0.24474346999999999</v>
      </c>
      <c r="R588" s="12">
        <v>0.18264440000000001</v>
      </c>
      <c r="S588" s="13">
        <v>39.696579149999998</v>
      </c>
      <c r="T588" s="11">
        <v>3.752863633</v>
      </c>
      <c r="U588" s="11">
        <v>150.79378560000001</v>
      </c>
      <c r="V588" s="13">
        <v>462296.30099999998</v>
      </c>
      <c r="W588" s="13">
        <v>524527.43999999994</v>
      </c>
      <c r="X588" s="13">
        <v>19.792538</v>
      </c>
      <c r="Y588" s="14">
        <f>+Table1[[#This Row],[Generation Cost 
LCOE (USD/MWh)]]+Table1[[#This Row],[Transmission Cost
LCOT (USD/MWh)]]</f>
        <v>59.489117149999998</v>
      </c>
    </row>
    <row r="589" spans="1:25" x14ac:dyDescent="0.3">
      <c r="A589" s="7">
        <v>588</v>
      </c>
      <c r="B589" s="8">
        <v>6890</v>
      </c>
      <c r="C589" s="9">
        <v>47.750546</v>
      </c>
      <c r="D589" s="9">
        <v>-119.77309</v>
      </c>
      <c r="E589" s="10" t="s">
        <v>42</v>
      </c>
      <c r="F589" s="10" t="s">
        <v>4</v>
      </c>
      <c r="G589" s="10" t="s">
        <v>13</v>
      </c>
      <c r="H589" s="10">
        <v>-8</v>
      </c>
      <c r="I589" s="11">
        <v>775.75</v>
      </c>
      <c r="J589" s="11">
        <v>4.0056476999999999</v>
      </c>
      <c r="K589" s="11" t="str">
        <f>IF(Table1[[#This Row],[Solar 
Resource]]&lt;3,"Low", IF(Table1[[#This Row],[Solar 
Resource]]&lt;4, "Moderate","High"))</f>
        <v>High</v>
      </c>
      <c r="L589" s="11">
        <v>1.0006942999999999</v>
      </c>
      <c r="M589" s="11">
        <v>74.205397270000006</v>
      </c>
      <c r="N589" s="11">
        <v>2381.217807</v>
      </c>
      <c r="O589" s="11">
        <v>3190.8320819999999</v>
      </c>
      <c r="P589" s="11">
        <f>Table1[[#This Row],[Installed Capacity 
(AC -MW)]]/Table1[[#This Row],[Installed Capacity 
(DC -MW)]]</f>
        <v>0.74626860511803017</v>
      </c>
      <c r="Q589" s="12">
        <v>0.2443418</v>
      </c>
      <c r="R589" s="12">
        <v>0.18234462000000001</v>
      </c>
      <c r="S589" s="13">
        <v>39.694125640000003</v>
      </c>
      <c r="T589" s="11">
        <v>0.56183766199999996</v>
      </c>
      <c r="U589" s="11">
        <v>170.43690900000001</v>
      </c>
      <c r="V589" s="13">
        <v>479282.75290000002</v>
      </c>
      <c r="W589" s="13">
        <v>518949</v>
      </c>
      <c r="X589" s="13">
        <v>19.614231</v>
      </c>
      <c r="Y589" s="14">
        <f>+Table1[[#This Row],[Generation Cost 
LCOE (USD/MWh)]]+Table1[[#This Row],[Transmission Cost
LCOT (USD/MWh)]]</f>
        <v>59.30835664</v>
      </c>
    </row>
    <row r="590" spans="1:25" x14ac:dyDescent="0.3">
      <c r="A590" s="7">
        <v>589</v>
      </c>
      <c r="B590" s="8">
        <v>6891</v>
      </c>
      <c r="C590" s="9">
        <v>47.774720000000002</v>
      </c>
      <c r="D590" s="9">
        <v>-119.615234</v>
      </c>
      <c r="E590" s="10" t="s">
        <v>42</v>
      </c>
      <c r="F590" s="10" t="s">
        <v>4</v>
      </c>
      <c r="G590" s="10" t="s">
        <v>13</v>
      </c>
      <c r="H590" s="10">
        <v>-8</v>
      </c>
      <c r="I590" s="11">
        <v>680.44444439999995</v>
      </c>
      <c r="J590" s="11">
        <v>3.9746359999999998</v>
      </c>
      <c r="K590" s="11" t="str">
        <f>IF(Table1[[#This Row],[Solar 
Resource]]&lt;3,"Low", IF(Table1[[#This Row],[Solar 
Resource]]&lt;4, "Moderate","High"))</f>
        <v>Moderate</v>
      </c>
      <c r="L590" s="11">
        <v>0.99827529999999998</v>
      </c>
      <c r="M590" s="11">
        <v>74.292875679999995</v>
      </c>
      <c r="N590" s="11">
        <v>2384.02495</v>
      </c>
      <c r="O590" s="11">
        <v>3194.5936539999998</v>
      </c>
      <c r="P590" s="11">
        <f>Table1[[#This Row],[Installed Capacity 
(AC -MW)]]/Table1[[#This Row],[Installed Capacity 
(DC -MW)]]</f>
        <v>0.74626860509001691</v>
      </c>
      <c r="Q590" s="12">
        <v>0.24221614</v>
      </c>
      <c r="R590" s="12">
        <v>0.18075830000000001</v>
      </c>
      <c r="S590" s="13">
        <v>39.966197749999999</v>
      </c>
      <c r="T590" s="11">
        <v>7.5957272659999999</v>
      </c>
      <c r="U590" s="11">
        <v>161.63015569999999</v>
      </c>
      <c r="V590" s="13">
        <v>456376.26980000001</v>
      </c>
      <c r="W590" s="13">
        <v>536577.30000000005</v>
      </c>
      <c r="X590" s="13">
        <v>20.458492</v>
      </c>
      <c r="Y590" s="14">
        <f>+Table1[[#This Row],[Generation Cost 
LCOE (USD/MWh)]]+Table1[[#This Row],[Transmission Cost
LCOT (USD/MWh)]]</f>
        <v>60.424689749999999</v>
      </c>
    </row>
    <row r="591" spans="1:25" x14ac:dyDescent="0.3">
      <c r="A591" s="7">
        <v>590</v>
      </c>
      <c r="B591" s="8">
        <v>6892</v>
      </c>
      <c r="C591" s="9">
        <v>47.798732999999999</v>
      </c>
      <c r="D591" s="9">
        <v>-119.45723</v>
      </c>
      <c r="E591" s="10" t="s">
        <v>42</v>
      </c>
      <c r="F591" s="10" t="s">
        <v>4</v>
      </c>
      <c r="G591" s="10" t="s">
        <v>13</v>
      </c>
      <c r="H591" s="10">
        <v>-8</v>
      </c>
      <c r="I591" s="11">
        <v>665.94444439999995</v>
      </c>
      <c r="J591" s="11">
        <v>3.9584408</v>
      </c>
      <c r="K591" s="11" t="str">
        <f>IF(Table1[[#This Row],[Solar 
Resource]]&lt;3,"Low", IF(Table1[[#This Row],[Solar 
Resource]]&lt;4, "Moderate","High"))</f>
        <v>Moderate</v>
      </c>
      <c r="L591" s="11">
        <v>0.99599260000000001</v>
      </c>
      <c r="M591" s="11">
        <v>82.302960940000006</v>
      </c>
      <c r="N591" s="11">
        <v>2641.0652960000002</v>
      </c>
      <c r="O591" s="11">
        <v>3539.0273200000001</v>
      </c>
      <c r="P591" s="11">
        <f>Table1[[#This Row],[Installed Capacity 
(AC -MW)]]/Table1[[#This Row],[Installed Capacity 
(DC -MW)]]</f>
        <v>0.7462686939641936</v>
      </c>
      <c r="Q591" s="12">
        <v>0.24134205</v>
      </c>
      <c r="R591" s="12">
        <v>0.18010598</v>
      </c>
      <c r="S591" s="13">
        <v>40.038691329999999</v>
      </c>
      <c r="T591" s="11">
        <v>13.971383100000001</v>
      </c>
      <c r="U591" s="11">
        <v>146.581422</v>
      </c>
      <c r="V591" s="13">
        <v>398287.772</v>
      </c>
      <c r="W591" s="13">
        <v>498675.12</v>
      </c>
      <c r="X591" s="13">
        <v>19.082228000000001</v>
      </c>
      <c r="Y591" s="14">
        <f>+Table1[[#This Row],[Generation Cost 
LCOE (USD/MWh)]]+Table1[[#This Row],[Transmission Cost
LCOT (USD/MWh)]]</f>
        <v>59.12091933</v>
      </c>
    </row>
    <row r="592" spans="1:25" x14ac:dyDescent="0.3">
      <c r="A592" s="7">
        <v>591</v>
      </c>
      <c r="B592" s="8">
        <v>6893</v>
      </c>
      <c r="C592" s="9">
        <v>47.822594000000002</v>
      </c>
      <c r="D592" s="9">
        <v>-119.2991</v>
      </c>
      <c r="E592" s="10" t="s">
        <v>42</v>
      </c>
      <c r="F592" s="10" t="s">
        <v>4</v>
      </c>
      <c r="G592" s="10" t="s">
        <v>13</v>
      </c>
      <c r="H592" s="10">
        <v>-8</v>
      </c>
      <c r="I592" s="11">
        <v>670.83333330000005</v>
      </c>
      <c r="J592" s="11">
        <v>3.9475950000000002</v>
      </c>
      <c r="K592" s="11" t="str">
        <f>IF(Table1[[#This Row],[Solar 
Resource]]&lt;3,"Low", IF(Table1[[#This Row],[Solar 
Resource]]&lt;4, "Moderate","High"))</f>
        <v>Moderate</v>
      </c>
      <c r="L592" s="11">
        <v>0.99355656000000003</v>
      </c>
      <c r="M592" s="11">
        <v>80.370383200000006</v>
      </c>
      <c r="N592" s="11">
        <v>2579.0497380000002</v>
      </c>
      <c r="O592" s="11">
        <v>3455.9264779999999</v>
      </c>
      <c r="P592" s="11">
        <f>Table1[[#This Row],[Installed Capacity 
(AC -MW)]]/Table1[[#This Row],[Installed Capacity 
(DC -MW)]]</f>
        <v>0.74626869362467962</v>
      </c>
      <c r="Q592" s="12">
        <v>0.24040710000000001</v>
      </c>
      <c r="R592" s="12">
        <v>0.17940829999999999</v>
      </c>
      <c r="S592" s="13">
        <v>40.116987510000001</v>
      </c>
      <c r="T592" s="11">
        <v>3.2719805150000001</v>
      </c>
      <c r="U592" s="11">
        <v>141.0530454</v>
      </c>
      <c r="V592" s="13">
        <v>384841.1029</v>
      </c>
      <c r="W592" s="13">
        <v>442053.2</v>
      </c>
      <c r="X592" s="13">
        <v>16.981328999999999</v>
      </c>
      <c r="Y592" s="14">
        <f>+Table1[[#This Row],[Generation Cost 
LCOE (USD/MWh)]]+Table1[[#This Row],[Transmission Cost
LCOT (USD/MWh)]]</f>
        <v>57.098316510000004</v>
      </c>
    </row>
    <row r="593" spans="1:25" x14ac:dyDescent="0.3">
      <c r="A593" s="7">
        <v>592</v>
      </c>
      <c r="B593" s="8">
        <v>6894</v>
      </c>
      <c r="C593" s="9">
        <v>47.846290000000003</v>
      </c>
      <c r="D593" s="9">
        <v>-119.14084</v>
      </c>
      <c r="E593" s="10" t="s">
        <v>42</v>
      </c>
      <c r="F593" s="10" t="s">
        <v>4</v>
      </c>
      <c r="G593" s="10" t="s">
        <v>13</v>
      </c>
      <c r="H593" s="10">
        <v>-8</v>
      </c>
      <c r="I593" s="11">
        <v>645.75</v>
      </c>
      <c r="J593" s="11">
        <v>3.9256123999999999</v>
      </c>
      <c r="K593" s="11" t="str">
        <f>IF(Table1[[#This Row],[Solar 
Resource]]&lt;3,"Low", IF(Table1[[#This Row],[Solar 
Resource]]&lt;4, "Moderate","High"))</f>
        <v>Moderate</v>
      </c>
      <c r="L593" s="11">
        <v>0.99163040000000002</v>
      </c>
      <c r="M593" s="11">
        <v>6.004692554</v>
      </c>
      <c r="N593" s="11">
        <v>192.6878591</v>
      </c>
      <c r="O593" s="11">
        <v>258.2017798</v>
      </c>
      <c r="P593" s="11">
        <f>Table1[[#This Row],[Installed Capacity 
(AC -MW)]]/Table1[[#This Row],[Installed Capacity 
(DC -MW)]]</f>
        <v>0.74626851623274515</v>
      </c>
      <c r="Q593" s="12">
        <v>0.23863864000000001</v>
      </c>
      <c r="R593" s="12">
        <v>0.17808855000000001</v>
      </c>
      <c r="S593" s="13">
        <v>40.352616439999998</v>
      </c>
      <c r="T593" s="11">
        <v>7.3720519419999997</v>
      </c>
      <c r="U593" s="11">
        <v>91.386103829999996</v>
      </c>
      <c r="V593" s="13">
        <v>251409.9809</v>
      </c>
      <c r="W593" s="13">
        <v>331072.09999999998</v>
      </c>
      <c r="X593" s="13">
        <v>12.812275</v>
      </c>
      <c r="Y593" s="14">
        <f>+Table1[[#This Row],[Generation Cost 
LCOE (USD/MWh)]]+Table1[[#This Row],[Transmission Cost
LCOT (USD/MWh)]]</f>
        <v>53.164891439999998</v>
      </c>
    </row>
    <row r="594" spans="1:25" x14ac:dyDescent="0.3">
      <c r="A594" s="7">
        <v>593</v>
      </c>
      <c r="B594" s="8">
        <v>6895</v>
      </c>
      <c r="C594" s="9">
        <v>47.869835000000002</v>
      </c>
      <c r="D594" s="9">
        <v>-118.98245</v>
      </c>
      <c r="E594" s="10" t="s">
        <v>42</v>
      </c>
      <c r="F594" s="10" t="s">
        <v>4</v>
      </c>
      <c r="G594" s="10" t="s">
        <v>27</v>
      </c>
      <c r="H594" s="10">
        <v>-8</v>
      </c>
      <c r="I594" s="11">
        <v>716.5</v>
      </c>
      <c r="J594" s="11">
        <v>3.9458259999999998</v>
      </c>
      <c r="K594" s="11" t="str">
        <f>IF(Table1[[#This Row],[Solar 
Resource]]&lt;3,"Low", IF(Table1[[#This Row],[Solar 
Resource]]&lt;4, "Moderate","High"))</f>
        <v>Moderate</v>
      </c>
      <c r="L594" s="11">
        <v>0.98906689999999997</v>
      </c>
      <c r="M594" s="11">
        <v>12.937725</v>
      </c>
      <c r="N594" s="11">
        <v>415.1657735</v>
      </c>
      <c r="O594" s="11">
        <v>556.32217500000002</v>
      </c>
      <c r="P594" s="11">
        <f>Table1[[#This Row],[Installed Capacity 
(AC -MW)]]/Table1[[#This Row],[Installed Capacity 
(DC -MW)]]</f>
        <v>0.74626860505785153</v>
      </c>
      <c r="Q594" s="12">
        <v>0.23906694000000001</v>
      </c>
      <c r="R594" s="12">
        <v>0.17840818</v>
      </c>
      <c r="S594" s="13">
        <v>40.198409589999997</v>
      </c>
      <c r="T594" s="11">
        <v>3.9238181769999998</v>
      </c>
      <c r="U594" s="11">
        <v>101.6855778</v>
      </c>
      <c r="V594" s="13">
        <v>276957.69669999997</v>
      </c>
      <c r="W594" s="13">
        <v>335602.6</v>
      </c>
      <c r="X594" s="13">
        <v>12.9643345</v>
      </c>
      <c r="Y594" s="14">
        <f>+Table1[[#This Row],[Generation Cost 
LCOE (USD/MWh)]]+Table1[[#This Row],[Transmission Cost
LCOT (USD/MWh)]]</f>
        <v>53.162744089999997</v>
      </c>
    </row>
    <row r="595" spans="1:25" x14ac:dyDescent="0.3">
      <c r="A595" s="7">
        <v>594</v>
      </c>
      <c r="B595" s="8">
        <v>6896</v>
      </c>
      <c r="C595" s="9">
        <v>47.893219999999999</v>
      </c>
      <c r="D595" s="9">
        <v>-118.82393</v>
      </c>
      <c r="E595" s="10" t="s">
        <v>42</v>
      </c>
      <c r="F595" s="10" t="s">
        <v>4</v>
      </c>
      <c r="G595" s="10" t="s">
        <v>27</v>
      </c>
      <c r="H595" s="10">
        <v>-8</v>
      </c>
      <c r="I595" s="11">
        <v>657.29411760000005</v>
      </c>
      <c r="J595" s="11">
        <v>3.9022019999999999</v>
      </c>
      <c r="K595" s="11" t="str">
        <f>IF(Table1[[#This Row],[Solar 
Resource]]&lt;3,"Low", IF(Table1[[#This Row],[Solar 
Resource]]&lt;4, "Moderate","High"))</f>
        <v>Moderate</v>
      </c>
      <c r="L595" s="11">
        <v>0.98701919999999999</v>
      </c>
      <c r="M595" s="11">
        <v>19.86354734</v>
      </c>
      <c r="N595" s="11">
        <v>637.41237160000003</v>
      </c>
      <c r="O595" s="11">
        <v>854.13253559999998</v>
      </c>
      <c r="P595" s="11">
        <f>Table1[[#This Row],[Installed Capacity 
(AC -MW)]]/Table1[[#This Row],[Installed Capacity 
(DC -MW)]]</f>
        <v>0.74626869371301818</v>
      </c>
      <c r="Q595" s="12">
        <v>0.23586792000000001</v>
      </c>
      <c r="R595" s="12">
        <v>0.17602085000000001</v>
      </c>
      <c r="S595" s="13">
        <v>40.677289500000001</v>
      </c>
      <c r="T595" s="11">
        <v>2.1573506469999999</v>
      </c>
      <c r="U595" s="11">
        <v>121.9490129</v>
      </c>
      <c r="V595" s="13">
        <v>331091.20240000001</v>
      </c>
      <c r="W595" s="13">
        <v>384978.1</v>
      </c>
      <c r="X595" s="13">
        <v>15.073411999999999</v>
      </c>
      <c r="Y595" s="14">
        <f>+Table1[[#This Row],[Generation Cost 
LCOE (USD/MWh)]]+Table1[[#This Row],[Transmission Cost
LCOT (USD/MWh)]]</f>
        <v>55.750701499999998</v>
      </c>
    </row>
    <row r="596" spans="1:25" x14ac:dyDescent="0.3">
      <c r="A596" s="7">
        <v>595</v>
      </c>
      <c r="B596" s="8">
        <v>6897</v>
      </c>
      <c r="C596" s="9">
        <v>47.916443000000001</v>
      </c>
      <c r="D596" s="9">
        <v>-118.66528</v>
      </c>
      <c r="E596" s="10" t="s">
        <v>42</v>
      </c>
      <c r="F596" s="10" t="s">
        <v>4</v>
      </c>
      <c r="G596" s="10" t="s">
        <v>27</v>
      </c>
      <c r="H596" s="10">
        <v>-8</v>
      </c>
      <c r="I596" s="11">
        <v>640</v>
      </c>
      <c r="J596" s="11">
        <v>3.8662350000000001</v>
      </c>
      <c r="K596" s="11" t="str">
        <f>IF(Table1[[#This Row],[Solar 
Resource]]&lt;3,"Low", IF(Table1[[#This Row],[Solar 
Resource]]&lt;4, "Moderate","High"))</f>
        <v>Moderate</v>
      </c>
      <c r="L596" s="11">
        <v>0.98533289999999996</v>
      </c>
      <c r="M596" s="11">
        <v>17.557885110000001</v>
      </c>
      <c r="N596" s="11">
        <v>563.42463239999995</v>
      </c>
      <c r="O596" s="11">
        <v>754.98905960000002</v>
      </c>
      <c r="P596" s="11">
        <f>Table1[[#This Row],[Installed Capacity 
(AC -MW)]]/Table1[[#This Row],[Installed Capacity 
(DC -MW)]]</f>
        <v>0.74626860513516236</v>
      </c>
      <c r="Q596" s="12">
        <v>0.23345104</v>
      </c>
      <c r="R596" s="12">
        <v>0.17421719999999999</v>
      </c>
      <c r="S596" s="13">
        <v>41.043231540000001</v>
      </c>
      <c r="T596" s="11">
        <v>10.05396103</v>
      </c>
      <c r="U596" s="11">
        <v>110.7270584</v>
      </c>
      <c r="V596" s="13">
        <v>350696.44910000003</v>
      </c>
      <c r="W596" s="13">
        <v>433289.7</v>
      </c>
      <c r="X596" s="13">
        <v>17.140636000000001</v>
      </c>
      <c r="Y596" s="14">
        <f>+Table1[[#This Row],[Generation Cost 
LCOE (USD/MWh)]]+Table1[[#This Row],[Transmission Cost
LCOT (USD/MWh)]]</f>
        <v>58.183867540000001</v>
      </c>
    </row>
    <row r="597" spans="1:25" x14ac:dyDescent="0.3">
      <c r="A597" s="7">
        <v>596</v>
      </c>
      <c r="B597" s="8">
        <v>6898</v>
      </c>
      <c r="C597" s="9">
        <v>47.939514000000003</v>
      </c>
      <c r="D597" s="9">
        <v>-118.50649</v>
      </c>
      <c r="E597" s="10" t="s">
        <v>42</v>
      </c>
      <c r="F597" s="10" t="s">
        <v>4</v>
      </c>
      <c r="G597" s="10" t="s">
        <v>14</v>
      </c>
      <c r="H597" s="10">
        <v>-8</v>
      </c>
      <c r="I597" s="11">
        <v>758.4375</v>
      </c>
      <c r="J597" s="11">
        <v>3.8273160000000002</v>
      </c>
      <c r="K597" s="11" t="str">
        <f>IF(Table1[[#This Row],[Solar 
Resource]]&lt;3,"Low", IF(Table1[[#This Row],[Solar 
Resource]]&lt;4, "Moderate","High"))</f>
        <v>Moderate</v>
      </c>
      <c r="L597" s="11">
        <v>0.98384970000000005</v>
      </c>
      <c r="M597" s="11">
        <v>10.400237840000001</v>
      </c>
      <c r="N597" s="11">
        <v>333.73895240000002</v>
      </c>
      <c r="O597" s="11">
        <v>447.21022720000002</v>
      </c>
      <c r="P597" s="11">
        <f>Table1[[#This Row],[Installed Capacity 
(AC -MW)]]/Table1[[#This Row],[Installed Capacity 
(DC -MW)]]</f>
        <v>0.74626860501279701</v>
      </c>
      <c r="Q597" s="12">
        <v>0.23098013000000001</v>
      </c>
      <c r="R597" s="12">
        <v>0.17237324000000001</v>
      </c>
      <c r="S597" s="13">
        <v>41.433239880000002</v>
      </c>
      <c r="T597" s="11">
        <v>24.37255193</v>
      </c>
      <c r="U597" s="11">
        <v>145.19304539999999</v>
      </c>
      <c r="V597" s="13">
        <v>450701.7818</v>
      </c>
      <c r="W597" s="13">
        <v>637219.93999999994</v>
      </c>
      <c r="X597" s="13">
        <v>25.477637999999999</v>
      </c>
      <c r="Y597" s="14">
        <f>+Table1[[#This Row],[Generation Cost 
LCOE (USD/MWh)]]+Table1[[#This Row],[Transmission Cost
LCOT (USD/MWh)]]</f>
        <v>66.910877880000001</v>
      </c>
    </row>
    <row r="598" spans="1:25" x14ac:dyDescent="0.3">
      <c r="A598" s="7">
        <v>597</v>
      </c>
      <c r="B598" s="8">
        <v>6899</v>
      </c>
      <c r="C598" s="9">
        <v>47.962425000000003</v>
      </c>
      <c r="D598" s="9">
        <v>-118.34757999999999</v>
      </c>
      <c r="E598" s="10" t="s">
        <v>42</v>
      </c>
      <c r="F598" s="10" t="s">
        <v>4</v>
      </c>
      <c r="G598" s="10" t="s">
        <v>37</v>
      </c>
      <c r="H598" s="10">
        <v>-8</v>
      </c>
      <c r="I598" s="11">
        <v>629.9375</v>
      </c>
      <c r="J598" s="11">
        <v>3.7791393000000002</v>
      </c>
      <c r="K598" s="11" t="str">
        <f>IF(Table1[[#This Row],[Solar 
Resource]]&lt;3,"Low", IF(Table1[[#This Row],[Solar 
Resource]]&lt;4, "Moderate","High"))</f>
        <v>Moderate</v>
      </c>
      <c r="L598" s="11">
        <v>0.98239255000000003</v>
      </c>
      <c r="M598" s="11">
        <v>25.856497269999998</v>
      </c>
      <c r="N598" s="11">
        <v>829.72336229999996</v>
      </c>
      <c r="O598" s="11">
        <v>1111.8293819999999</v>
      </c>
      <c r="P598" s="11">
        <f>Table1[[#This Row],[Installed Capacity 
(AC -MW)]]/Table1[[#This Row],[Installed Capacity 
(DC -MW)]]</f>
        <v>0.7462686053569324</v>
      </c>
      <c r="Q598" s="12">
        <v>0.22306184000000001</v>
      </c>
      <c r="R598" s="12">
        <v>0.16646405</v>
      </c>
      <c r="S598" s="13">
        <v>42.85414402</v>
      </c>
      <c r="T598" s="11">
        <v>52.005844119999999</v>
      </c>
      <c r="U598" s="11">
        <v>73.080188280000002</v>
      </c>
      <c r="V598" s="13">
        <v>246068.20420000001</v>
      </c>
      <c r="W598" s="13">
        <v>645394.19999999995</v>
      </c>
      <c r="X598" s="13">
        <v>26.720476000000001</v>
      </c>
      <c r="Y598" s="14">
        <f>+Table1[[#This Row],[Generation Cost 
LCOE (USD/MWh)]]+Table1[[#This Row],[Transmission Cost
LCOT (USD/MWh)]]</f>
        <v>69.574620019999998</v>
      </c>
    </row>
    <row r="599" spans="1:25" x14ac:dyDescent="0.3">
      <c r="A599" s="7">
        <v>598</v>
      </c>
      <c r="B599" s="8">
        <v>6900</v>
      </c>
      <c r="C599" s="9">
        <v>47.985176000000003</v>
      </c>
      <c r="D599" s="9">
        <v>-118.18854</v>
      </c>
      <c r="E599" s="10" t="s">
        <v>42</v>
      </c>
      <c r="F599" s="10" t="s">
        <v>4</v>
      </c>
      <c r="G599" s="10" t="s">
        <v>37</v>
      </c>
      <c r="H599" s="10">
        <v>-8</v>
      </c>
      <c r="I599" s="11">
        <v>702.10526319999997</v>
      </c>
      <c r="J599" s="11">
        <v>3.7637958999999999</v>
      </c>
      <c r="K599" s="11" t="str">
        <f>IF(Table1[[#This Row],[Solar 
Resource]]&lt;3,"Low", IF(Table1[[#This Row],[Solar 
Resource]]&lt;4, "Moderate","High"))</f>
        <v>Moderate</v>
      </c>
      <c r="L599" s="11">
        <v>0.98132353999999999</v>
      </c>
      <c r="M599" s="11">
        <v>20.497050000000002</v>
      </c>
      <c r="N599" s="11">
        <v>657.74111119999998</v>
      </c>
      <c r="O599" s="11">
        <v>881.37315000000001</v>
      </c>
      <c r="P599" s="11">
        <f>Table1[[#This Row],[Installed Capacity 
(AC -MW)]]/Table1[[#This Row],[Installed Capacity 
(DC -MW)]]</f>
        <v>0.74626860507379877</v>
      </c>
      <c r="Q599" s="12">
        <v>0.22117982999999999</v>
      </c>
      <c r="R599" s="12">
        <v>0.16505958000000001</v>
      </c>
      <c r="S599" s="13">
        <v>43.181855210000002</v>
      </c>
      <c r="T599" s="11">
        <v>44.214675300000003</v>
      </c>
      <c r="U599" s="11">
        <v>72.772909060000003</v>
      </c>
      <c r="V599" s="13">
        <v>245088.9363</v>
      </c>
      <c r="W599" s="13">
        <v>582218.4</v>
      </c>
      <c r="X599" s="13">
        <v>24.309989999999999</v>
      </c>
      <c r="Y599" s="14">
        <f>+Table1[[#This Row],[Generation Cost 
LCOE (USD/MWh)]]+Table1[[#This Row],[Transmission Cost
LCOT (USD/MWh)]]</f>
        <v>67.491845210000008</v>
      </c>
    </row>
    <row r="600" spans="1:25" x14ac:dyDescent="0.3">
      <c r="A600" s="7">
        <v>599</v>
      </c>
      <c r="B600" s="8">
        <v>6901</v>
      </c>
      <c r="C600" s="9">
        <v>48.007767000000001</v>
      </c>
      <c r="D600" s="9">
        <v>-118.02937</v>
      </c>
      <c r="E600" s="10" t="s">
        <v>42</v>
      </c>
      <c r="F600" s="10" t="s">
        <v>4</v>
      </c>
      <c r="G600" s="10" t="s">
        <v>37</v>
      </c>
      <c r="H600" s="10">
        <v>-8</v>
      </c>
      <c r="I600" s="11">
        <v>881.35714289999999</v>
      </c>
      <c r="J600" s="11">
        <v>3.6868820000000002</v>
      </c>
      <c r="K600" s="11" t="str">
        <f>IF(Table1[[#This Row],[Solar 
Resource]]&lt;3,"Low", IF(Table1[[#This Row],[Solar 
Resource]]&lt;4, "Moderate","High"))</f>
        <v>Moderate</v>
      </c>
      <c r="L600" s="11">
        <v>0.98019310000000004</v>
      </c>
      <c r="M600" s="11">
        <v>25.976213529999999</v>
      </c>
      <c r="N600" s="11">
        <v>833.56490410000004</v>
      </c>
      <c r="O600" s="11">
        <v>1116.9771820000001</v>
      </c>
      <c r="P600" s="11">
        <f>Table1[[#This Row],[Installed Capacity 
(AC -MW)]]/Table1[[#This Row],[Installed Capacity 
(DC -MW)]]</f>
        <v>0.746268516074306</v>
      </c>
      <c r="Q600" s="12">
        <v>0.21765271</v>
      </c>
      <c r="R600" s="12">
        <v>0.1624274</v>
      </c>
      <c r="S600" s="13">
        <v>43.841962359999997</v>
      </c>
      <c r="T600" s="11">
        <v>21.540428559999999</v>
      </c>
      <c r="U600" s="11">
        <v>77.678324630000006</v>
      </c>
      <c r="V600" s="13">
        <v>285946.31209999998</v>
      </c>
      <c r="W600" s="13">
        <v>463844.25</v>
      </c>
      <c r="X600" s="13">
        <v>19.681244</v>
      </c>
      <c r="Y600" s="14">
        <f>+Table1[[#This Row],[Generation Cost 
LCOE (USD/MWh)]]+Table1[[#This Row],[Transmission Cost
LCOT (USD/MWh)]]</f>
        <v>63.523206359999996</v>
      </c>
    </row>
    <row r="601" spans="1:25" x14ac:dyDescent="0.3">
      <c r="A601" s="7">
        <v>600</v>
      </c>
      <c r="B601" s="8">
        <v>6902</v>
      </c>
      <c r="C601" s="9">
        <v>48.030200000000001</v>
      </c>
      <c r="D601" s="9">
        <v>-117.87009</v>
      </c>
      <c r="E601" s="10" t="s">
        <v>42</v>
      </c>
      <c r="F601" s="10" t="s">
        <v>4</v>
      </c>
      <c r="G601" s="10" t="s">
        <v>37</v>
      </c>
      <c r="H601" s="10">
        <v>-8</v>
      </c>
      <c r="I601" s="11">
        <v>767.21052629999997</v>
      </c>
      <c r="J601" s="11">
        <v>3.6752570000000002</v>
      </c>
      <c r="K601" s="11" t="str">
        <f>IF(Table1[[#This Row],[Solar 
Resource]]&lt;3,"Low", IF(Table1[[#This Row],[Solar 
Resource]]&lt;4, "Moderate","High"))</f>
        <v>Moderate</v>
      </c>
      <c r="L601" s="11">
        <v>0.97985529999999998</v>
      </c>
      <c r="M601" s="11">
        <v>63.332523629999997</v>
      </c>
      <c r="N601" s="11">
        <v>2032.3119429999999</v>
      </c>
      <c r="O601" s="11">
        <v>2723.2985159999998</v>
      </c>
      <c r="P601" s="11">
        <f>Table1[[#This Row],[Installed Capacity 
(AC -MW)]]/Table1[[#This Row],[Installed Capacity 
(DC -MW)]]</f>
        <v>0.74626851630833113</v>
      </c>
      <c r="Q601" s="12">
        <v>0.21624811999999999</v>
      </c>
      <c r="R601" s="12">
        <v>0.16137919000000001</v>
      </c>
      <c r="S601" s="13">
        <v>44.11479696</v>
      </c>
      <c r="T601" s="11">
        <v>8.5383051919999993</v>
      </c>
      <c r="U601" s="11">
        <v>77.678324630000006</v>
      </c>
      <c r="V601" s="13">
        <v>285946.31209999998</v>
      </c>
      <c r="W601" s="13">
        <v>383891.4</v>
      </c>
      <c r="X601" s="13">
        <v>16.394584999999999</v>
      </c>
      <c r="Y601" s="14">
        <f>+Table1[[#This Row],[Generation Cost 
LCOE (USD/MWh)]]+Table1[[#This Row],[Transmission Cost
LCOT (USD/MWh)]]</f>
        <v>60.509381959999999</v>
      </c>
    </row>
    <row r="602" spans="1:25" x14ac:dyDescent="0.3">
      <c r="A602" s="7">
        <v>601</v>
      </c>
      <c r="B602" s="8">
        <v>6903</v>
      </c>
      <c r="C602" s="9">
        <v>48.052480000000003</v>
      </c>
      <c r="D602" s="9">
        <v>-117.71066</v>
      </c>
      <c r="E602" s="10" t="s">
        <v>42</v>
      </c>
      <c r="F602" s="10" t="s">
        <v>4</v>
      </c>
      <c r="G602" s="10" t="s">
        <v>37</v>
      </c>
      <c r="H602" s="10">
        <v>-8</v>
      </c>
      <c r="I602" s="11">
        <v>741.6875</v>
      </c>
      <c r="J602" s="11">
        <v>3.6733177000000001</v>
      </c>
      <c r="K602" s="11" t="str">
        <f>IF(Table1[[#This Row],[Solar 
Resource]]&lt;3,"Low", IF(Table1[[#This Row],[Solar 
Resource]]&lt;4, "Moderate","High"))</f>
        <v>Moderate</v>
      </c>
      <c r="L602" s="11">
        <v>0.97954196000000004</v>
      </c>
      <c r="M602" s="11">
        <v>38.174572269999999</v>
      </c>
      <c r="N602" s="11">
        <v>1225.0047010000001</v>
      </c>
      <c r="O602" s="11">
        <v>1641.506607</v>
      </c>
      <c r="P602" s="11">
        <f>Table1[[#This Row],[Installed Capacity 
(AC -MW)]]/Table1[[#This Row],[Installed Capacity 
(DC -MW)]]</f>
        <v>0.74626851684673123</v>
      </c>
      <c r="Q602" s="12">
        <v>0.2154114</v>
      </c>
      <c r="R602" s="12">
        <v>0.16075476999999999</v>
      </c>
      <c r="S602" s="13">
        <v>44.275037060000002</v>
      </c>
      <c r="T602" s="11">
        <v>4.9292597359999997</v>
      </c>
      <c r="U602" s="11">
        <v>78.60016229</v>
      </c>
      <c r="V602" s="13">
        <v>290177.45860000001</v>
      </c>
      <c r="W602" s="13">
        <v>372030.9</v>
      </c>
      <c r="X602" s="13">
        <v>15.949782000000001</v>
      </c>
      <c r="Y602" s="14">
        <f>+Table1[[#This Row],[Generation Cost 
LCOE (USD/MWh)]]+Table1[[#This Row],[Transmission Cost
LCOT (USD/MWh)]]</f>
        <v>60.224819060000002</v>
      </c>
    </row>
    <row r="603" spans="1:25" x14ac:dyDescent="0.3">
      <c r="A603" s="7">
        <v>602</v>
      </c>
      <c r="B603" s="8">
        <v>6904</v>
      </c>
      <c r="C603" s="9">
        <v>48.074593</v>
      </c>
      <c r="D603" s="9">
        <v>-117.55112</v>
      </c>
      <c r="E603" s="10" t="s">
        <v>42</v>
      </c>
      <c r="F603" s="10" t="s">
        <v>4</v>
      </c>
      <c r="G603" s="10" t="s">
        <v>37</v>
      </c>
      <c r="H603" s="10">
        <v>-8</v>
      </c>
      <c r="I603" s="11">
        <v>798.7</v>
      </c>
      <c r="J603" s="11">
        <v>3.6617424000000001</v>
      </c>
      <c r="K603" s="11" t="str">
        <f>IF(Table1[[#This Row],[Solar 
Resource]]&lt;3,"Low", IF(Table1[[#This Row],[Solar 
Resource]]&lt;4, "Moderate","High"))</f>
        <v>Moderate</v>
      </c>
      <c r="L603" s="11">
        <v>0.9793385</v>
      </c>
      <c r="M603" s="11">
        <v>20.257127050000001</v>
      </c>
      <c r="N603" s="11">
        <v>650.04209170000001</v>
      </c>
      <c r="O603" s="11">
        <v>871.05646320000005</v>
      </c>
      <c r="P603" s="11">
        <f>Table1[[#This Row],[Installed Capacity 
(AC -MW)]]/Table1[[#This Row],[Installed Capacity 
(DC -MW)]]</f>
        <v>0.74626860503616543</v>
      </c>
      <c r="Q603" s="12">
        <v>0.21548424999999999</v>
      </c>
      <c r="R603" s="12">
        <v>0.16080913999999999</v>
      </c>
      <c r="S603" s="13">
        <v>44.252849599999998</v>
      </c>
      <c r="T603" s="11">
        <v>5.5091883089999998</v>
      </c>
      <c r="U603" s="11">
        <v>73.857753209999998</v>
      </c>
      <c r="V603" s="13">
        <v>277844.73739999998</v>
      </c>
      <c r="W603" s="13">
        <v>351315.25</v>
      </c>
      <c r="X603" s="13">
        <v>15.056564</v>
      </c>
      <c r="Y603" s="14">
        <f>+Table1[[#This Row],[Generation Cost 
LCOE (USD/MWh)]]+Table1[[#This Row],[Transmission Cost
LCOT (USD/MWh)]]</f>
        <v>59.309413599999999</v>
      </c>
    </row>
    <row r="604" spans="1:25" x14ac:dyDescent="0.3">
      <c r="A604" s="7">
        <v>603</v>
      </c>
      <c r="B604" s="8">
        <v>6905</v>
      </c>
      <c r="C604" s="9">
        <v>48.096545999999996</v>
      </c>
      <c r="D604" s="9">
        <v>-117.39145000000001</v>
      </c>
      <c r="E604" s="10" t="s">
        <v>42</v>
      </c>
      <c r="F604" s="10" t="s">
        <v>4</v>
      </c>
      <c r="G604" s="10" t="s">
        <v>30</v>
      </c>
      <c r="H604" s="10">
        <v>-8</v>
      </c>
      <c r="I604" s="11">
        <v>754.52941180000005</v>
      </c>
      <c r="J604" s="11">
        <v>3.6218895999999998</v>
      </c>
      <c r="K604" s="11" t="str">
        <f>IF(Table1[[#This Row],[Solar 
Resource]]&lt;3,"Low", IF(Table1[[#This Row],[Solar 
Resource]]&lt;4, "Moderate","High"))</f>
        <v>Moderate</v>
      </c>
      <c r="L604" s="11">
        <v>0.97936434000000006</v>
      </c>
      <c r="M604" s="11">
        <v>26.857899320000001</v>
      </c>
      <c r="N604" s="11">
        <v>861.85780099999999</v>
      </c>
      <c r="O604" s="11">
        <v>1154.8896709999999</v>
      </c>
      <c r="P604" s="11">
        <f>Table1[[#This Row],[Installed Capacity 
(AC -MW)]]/Table1[[#This Row],[Installed Capacity 
(DC -MW)]]</f>
        <v>0.74626851606849298</v>
      </c>
      <c r="Q604" s="12">
        <v>0.21243293999999999</v>
      </c>
      <c r="R604" s="12">
        <v>0.15853204000000001</v>
      </c>
      <c r="S604" s="13">
        <v>44.889412530000001</v>
      </c>
      <c r="T604" s="11">
        <v>10.48851947</v>
      </c>
      <c r="U604" s="11">
        <v>69.153266200000004</v>
      </c>
      <c r="V604" s="13">
        <v>238267.93359999999</v>
      </c>
      <c r="W604" s="13">
        <v>360339.4</v>
      </c>
      <c r="X604" s="13">
        <v>15.665141</v>
      </c>
      <c r="Y604" s="14">
        <f>+Table1[[#This Row],[Generation Cost 
LCOE (USD/MWh)]]+Table1[[#This Row],[Transmission Cost
LCOT (USD/MWh)]]</f>
        <v>60.55455353</v>
      </c>
    </row>
    <row r="605" spans="1:25" x14ac:dyDescent="0.3">
      <c r="A605" s="7">
        <v>604</v>
      </c>
      <c r="B605" s="8">
        <v>6906</v>
      </c>
      <c r="C605" s="9">
        <v>48.118343000000003</v>
      </c>
      <c r="D605" s="9">
        <v>-117.23165</v>
      </c>
      <c r="E605" s="10" t="s">
        <v>42</v>
      </c>
      <c r="F605" s="10" t="s">
        <v>4</v>
      </c>
      <c r="G605" s="10" t="s">
        <v>30</v>
      </c>
      <c r="H605" s="10">
        <v>-8</v>
      </c>
      <c r="I605" s="11">
        <v>743.36842109999998</v>
      </c>
      <c r="J605" s="11">
        <v>3.5952951999999998</v>
      </c>
      <c r="K605" s="11" t="str">
        <f>IF(Table1[[#This Row],[Solar 
Resource]]&lt;3,"Low", IF(Table1[[#This Row],[Solar 
Resource]]&lt;4, "Moderate","High"))</f>
        <v>Moderate</v>
      </c>
      <c r="L605" s="11">
        <v>0.97955513000000005</v>
      </c>
      <c r="M605" s="11">
        <v>35.71370684</v>
      </c>
      <c r="N605" s="11">
        <v>1146.036918</v>
      </c>
      <c r="O605" s="11">
        <v>1535.689394</v>
      </c>
      <c r="P605" s="11">
        <f>Table1[[#This Row],[Installed Capacity 
(AC -MW)]]/Table1[[#This Row],[Installed Capacity 
(DC -MW)]]</f>
        <v>0.74626869370695159</v>
      </c>
      <c r="Q605" s="12">
        <v>0.20891662</v>
      </c>
      <c r="R605" s="12">
        <v>0.15590791000000001</v>
      </c>
      <c r="S605" s="13">
        <v>45.65194279</v>
      </c>
      <c r="T605" s="11">
        <v>1.700954544</v>
      </c>
      <c r="U605" s="11">
        <v>109.22309730000001</v>
      </c>
      <c r="V605" s="13">
        <v>438541.36959999998</v>
      </c>
      <c r="W605" s="13">
        <v>490690.94</v>
      </c>
      <c r="X605" s="13">
        <v>21.690992000000001</v>
      </c>
      <c r="Y605" s="14">
        <f>+Table1[[#This Row],[Generation Cost 
LCOE (USD/MWh)]]+Table1[[#This Row],[Transmission Cost
LCOT (USD/MWh)]]</f>
        <v>67.342934790000001</v>
      </c>
    </row>
    <row r="606" spans="1:25" x14ac:dyDescent="0.3">
      <c r="A606" s="7">
        <v>605</v>
      </c>
      <c r="B606" s="8">
        <v>6907</v>
      </c>
      <c r="C606" s="9">
        <v>48.139980000000001</v>
      </c>
      <c r="D606" s="9">
        <v>-117.07174000000001</v>
      </c>
      <c r="E606" s="10" t="s">
        <v>42</v>
      </c>
      <c r="F606" s="10" t="s">
        <v>4</v>
      </c>
      <c r="G606" s="10" t="s">
        <v>30</v>
      </c>
      <c r="H606" s="10">
        <v>-8</v>
      </c>
      <c r="I606" s="11">
        <v>739.27777779999997</v>
      </c>
      <c r="J606" s="11">
        <v>3.5744443000000001</v>
      </c>
      <c r="K606" s="11" t="str">
        <f>IF(Table1[[#This Row],[Solar 
Resource]]&lt;3,"Low", IF(Table1[[#This Row],[Solar 
Resource]]&lt;4, "Moderate","High"))</f>
        <v>Moderate</v>
      </c>
      <c r="L606" s="11">
        <v>0.97988750000000002</v>
      </c>
      <c r="M606" s="11">
        <v>55.399787840000002</v>
      </c>
      <c r="N606" s="11">
        <v>1777.754263</v>
      </c>
      <c r="O606" s="11">
        <v>2382.190877</v>
      </c>
      <c r="P606" s="11">
        <f>Table1[[#This Row],[Installed Capacity 
(AC -MW)]]/Table1[[#This Row],[Installed Capacity 
(DC -MW)]]</f>
        <v>0.74626860515846061</v>
      </c>
      <c r="Q606" s="12">
        <v>0.20629863000000001</v>
      </c>
      <c r="R606" s="12">
        <v>0.15395422</v>
      </c>
      <c r="S606" s="13">
        <v>46.243573759999997</v>
      </c>
      <c r="T606" s="11">
        <v>4.0383051920000002</v>
      </c>
      <c r="U606" s="11">
        <v>102.6802337</v>
      </c>
      <c r="V606" s="13">
        <v>407882.33639999997</v>
      </c>
      <c r="W606" s="13">
        <v>477354.5</v>
      </c>
      <c r="X606" s="13">
        <v>21.369240000000001</v>
      </c>
      <c r="Y606" s="14">
        <f>+Table1[[#This Row],[Generation Cost 
LCOE (USD/MWh)]]+Table1[[#This Row],[Transmission Cost
LCOT (USD/MWh)]]</f>
        <v>67.612813759999995</v>
      </c>
    </row>
    <row r="607" spans="1:25" x14ac:dyDescent="0.3">
      <c r="A607" s="7">
        <v>606</v>
      </c>
      <c r="B607" s="8">
        <v>6908</v>
      </c>
      <c r="C607" s="9">
        <v>48.161453000000002</v>
      </c>
      <c r="D607" s="9">
        <v>-116.9117</v>
      </c>
      <c r="E607" s="10" t="s">
        <v>42</v>
      </c>
      <c r="F607" s="10" t="s">
        <v>1</v>
      </c>
      <c r="G607" s="10" t="s">
        <v>9</v>
      </c>
      <c r="H607" s="10">
        <v>-8</v>
      </c>
      <c r="I607" s="11">
        <v>790.94117649999998</v>
      </c>
      <c r="J607" s="11">
        <v>3.5351710000000001</v>
      </c>
      <c r="K607" s="11" t="str">
        <f>IF(Table1[[#This Row],[Solar 
Resource]]&lt;3,"Low", IF(Table1[[#This Row],[Solar 
Resource]]&lt;4, "Moderate","High"))</f>
        <v>Moderate</v>
      </c>
      <c r="L607" s="11">
        <v>0.98030627000000004</v>
      </c>
      <c r="M607" s="11">
        <v>17.192574319999999</v>
      </c>
      <c r="N607" s="11">
        <v>551.70203909999998</v>
      </c>
      <c r="O607" s="11">
        <v>739.28069559999994</v>
      </c>
      <c r="P607" s="11">
        <f>Table1[[#This Row],[Installed Capacity 
(AC -MW)]]/Table1[[#This Row],[Installed Capacity 
(DC -MW)]]</f>
        <v>0.74626869385820871</v>
      </c>
      <c r="Q607" s="12">
        <v>0.20423783000000001</v>
      </c>
      <c r="R607" s="12">
        <v>0.15241629000000001</v>
      </c>
      <c r="S607" s="13">
        <v>46.72584741</v>
      </c>
      <c r="T607" s="11">
        <v>2.278233765</v>
      </c>
      <c r="U607" s="11">
        <v>307.3061687</v>
      </c>
      <c r="V607" s="13">
        <v>1122696.2490000001</v>
      </c>
      <c r="W607" s="13">
        <v>1197964.6000000001</v>
      </c>
      <c r="X607" s="13">
        <v>54.169173999999998</v>
      </c>
      <c r="Y607" s="14">
        <f>+Table1[[#This Row],[Generation Cost 
LCOE (USD/MWh)]]+Table1[[#This Row],[Transmission Cost
LCOT (USD/MWh)]]</f>
        <v>100.89502141</v>
      </c>
    </row>
    <row r="608" spans="1:25" x14ac:dyDescent="0.3">
      <c r="A608" s="7">
        <v>607</v>
      </c>
      <c r="B608" s="8">
        <v>6909</v>
      </c>
      <c r="C608" s="9">
        <v>48.182769999999998</v>
      </c>
      <c r="D608" s="9">
        <v>-116.75154000000001</v>
      </c>
      <c r="E608" s="10" t="s">
        <v>42</v>
      </c>
      <c r="F608" s="10" t="s">
        <v>1</v>
      </c>
      <c r="G608" s="10" t="s">
        <v>9</v>
      </c>
      <c r="H608" s="10">
        <v>-8</v>
      </c>
      <c r="I608" s="11">
        <v>765.36842109999998</v>
      </c>
      <c r="J608" s="11">
        <v>3.4909363</v>
      </c>
      <c r="K608" s="11" t="str">
        <f>IF(Table1[[#This Row],[Solar 
Resource]]&lt;3,"Low", IF(Table1[[#This Row],[Solar 
Resource]]&lt;4, "Moderate","High"))</f>
        <v>Moderate</v>
      </c>
      <c r="L608" s="11">
        <v>0.98076664999999996</v>
      </c>
      <c r="M608" s="11">
        <v>15.7318196</v>
      </c>
      <c r="N608" s="11">
        <v>504.82701209999999</v>
      </c>
      <c r="O608" s="11">
        <v>676.46824300000003</v>
      </c>
      <c r="P608" s="11">
        <f>Table1[[#This Row],[Installed Capacity 
(AC -MW)]]/Table1[[#This Row],[Installed Capacity 
(DC -MW)]]</f>
        <v>0.74626860510287096</v>
      </c>
      <c r="Q608" s="12">
        <v>0.20147013999999999</v>
      </c>
      <c r="R608" s="12">
        <v>0.15035084000000001</v>
      </c>
      <c r="S608" s="13">
        <v>47.385207450000003</v>
      </c>
      <c r="T608" s="11">
        <v>0.43455844100000002</v>
      </c>
      <c r="U608" s="11">
        <v>322.15196739999999</v>
      </c>
      <c r="V608" s="13">
        <v>1191808.439</v>
      </c>
      <c r="W608" s="13">
        <v>1234310.6000000001</v>
      </c>
      <c r="X608" s="13">
        <v>56.57938</v>
      </c>
      <c r="Y608" s="14">
        <f>+Table1[[#This Row],[Generation Cost 
LCOE (USD/MWh)]]+Table1[[#This Row],[Transmission Cost
LCOT (USD/MWh)]]</f>
        <v>103.96458745000001</v>
      </c>
    </row>
    <row r="609" spans="1:25" x14ac:dyDescent="0.3">
      <c r="A609" s="7">
        <v>608</v>
      </c>
      <c r="B609" s="8">
        <v>6910</v>
      </c>
      <c r="C609" s="9">
        <v>48.203921999999999</v>
      </c>
      <c r="D609" s="9">
        <v>-116.59126000000001</v>
      </c>
      <c r="E609" s="10" t="s">
        <v>42</v>
      </c>
      <c r="F609" s="10" t="s">
        <v>1</v>
      </c>
      <c r="G609" s="10" t="s">
        <v>9</v>
      </c>
      <c r="H609" s="10">
        <v>-8</v>
      </c>
      <c r="I609" s="11">
        <v>738.16666669999995</v>
      </c>
      <c r="J609" s="11">
        <v>3.4877850000000001</v>
      </c>
      <c r="K609" s="11" t="str">
        <f>IF(Table1[[#This Row],[Solar 
Resource]]&lt;3,"Low", IF(Table1[[#This Row],[Solar 
Resource]]&lt;4, "Moderate","High"))</f>
        <v>Moderate</v>
      </c>
      <c r="L609" s="11">
        <v>0.98051124999999995</v>
      </c>
      <c r="M609" s="11">
        <v>22.003974320000001</v>
      </c>
      <c r="N609" s="11">
        <v>706.09763439999995</v>
      </c>
      <c r="O609" s="11">
        <v>946.17089559999999</v>
      </c>
      <c r="P609" s="11">
        <f>Table1[[#This Row],[Installed Capacity 
(AC -MW)]]/Table1[[#This Row],[Installed Capacity 
(DC -MW)]]</f>
        <v>0.74626860505177428</v>
      </c>
      <c r="Q609" s="12">
        <v>0.20096220000000001</v>
      </c>
      <c r="R609" s="12">
        <v>0.14997179999999999</v>
      </c>
      <c r="S609" s="13">
        <v>47.495256730000001</v>
      </c>
      <c r="T609" s="11">
        <v>0.56183766199999996</v>
      </c>
      <c r="U609" s="11">
        <v>345.99091540000001</v>
      </c>
      <c r="V609" s="13">
        <v>1330242.1629999999</v>
      </c>
      <c r="W609" s="13">
        <v>1370566.5</v>
      </c>
      <c r="X609" s="13">
        <v>62.983986000000002</v>
      </c>
      <c r="Y609" s="14">
        <f>+Table1[[#This Row],[Generation Cost 
LCOE (USD/MWh)]]+Table1[[#This Row],[Transmission Cost
LCOT (USD/MWh)]]</f>
        <v>110.47924273000001</v>
      </c>
    </row>
    <row r="610" spans="1:25" x14ac:dyDescent="0.3">
      <c r="A610" s="7">
        <v>609</v>
      </c>
      <c r="B610" s="8">
        <v>6911</v>
      </c>
      <c r="C610" s="9">
        <v>48.224919999999997</v>
      </c>
      <c r="D610" s="9">
        <v>-116.43086</v>
      </c>
      <c r="E610" s="10" t="s">
        <v>42</v>
      </c>
      <c r="F610" s="10" t="s">
        <v>1</v>
      </c>
      <c r="G610" s="10" t="s">
        <v>9</v>
      </c>
      <c r="H610" s="10">
        <v>-8</v>
      </c>
      <c r="I610" s="11">
        <v>716</v>
      </c>
      <c r="J610" s="11">
        <v>3.4718626000000001</v>
      </c>
      <c r="K610" s="11" t="str">
        <f>IF(Table1[[#This Row],[Solar 
Resource]]&lt;3,"Low", IF(Table1[[#This Row],[Solar 
Resource]]&lt;4, "Moderate","High"))</f>
        <v>Moderate</v>
      </c>
      <c r="L610" s="11">
        <v>0.98086249999999997</v>
      </c>
      <c r="M610" s="11">
        <v>13.16120372</v>
      </c>
      <c r="N610" s="11">
        <v>422.33715539999997</v>
      </c>
      <c r="O610" s="11">
        <v>565.93176010000002</v>
      </c>
      <c r="P610" s="11">
        <f>Table1[[#This Row],[Installed Capacity 
(AC -MW)]]/Table1[[#This Row],[Installed Capacity 
(DC -MW)]]</f>
        <v>0.74626869381809047</v>
      </c>
      <c r="Q610" s="12">
        <v>0.19943839999999999</v>
      </c>
      <c r="R610" s="12">
        <v>0.14883462</v>
      </c>
      <c r="S610" s="13">
        <v>47.871603810000003</v>
      </c>
      <c r="T610" s="11">
        <v>11.32035713</v>
      </c>
      <c r="U610" s="11">
        <v>349.70914920000001</v>
      </c>
      <c r="V610" s="13">
        <v>1343769.6359999999</v>
      </c>
      <c r="W610" s="13">
        <v>1490937.8</v>
      </c>
      <c r="X610" s="13">
        <v>69.039100000000005</v>
      </c>
      <c r="Y610" s="14">
        <f>+Table1[[#This Row],[Generation Cost 
LCOE (USD/MWh)]]+Table1[[#This Row],[Transmission Cost
LCOT (USD/MWh)]]</f>
        <v>116.91070381</v>
      </c>
    </row>
    <row r="611" spans="1:25" x14ac:dyDescent="0.3">
      <c r="A611" s="7">
        <v>610</v>
      </c>
      <c r="B611" s="8">
        <v>6912</v>
      </c>
      <c r="C611" s="9">
        <v>48.245750000000001</v>
      </c>
      <c r="D611" s="9">
        <v>-116.27034999999999</v>
      </c>
      <c r="E611" s="10" t="s">
        <v>42</v>
      </c>
      <c r="F611" s="10" t="s">
        <v>1</v>
      </c>
      <c r="G611" s="10" t="s">
        <v>9</v>
      </c>
      <c r="H611" s="10">
        <v>-8</v>
      </c>
      <c r="I611" s="11">
        <v>994.2</v>
      </c>
      <c r="J611" s="11">
        <v>3.4466839999999999</v>
      </c>
      <c r="K611" s="11" t="str">
        <f>IF(Table1[[#This Row],[Solar 
Resource]]&lt;3,"Low", IF(Table1[[#This Row],[Solar 
Resource]]&lt;4, "Moderate","High"))</f>
        <v>Moderate</v>
      </c>
      <c r="L611" s="11">
        <v>0.98132549999999996</v>
      </c>
      <c r="M611" s="11">
        <v>1.955501862</v>
      </c>
      <c r="N611" s="11">
        <v>62.75118226</v>
      </c>
      <c r="O611" s="11">
        <v>84.086580049999995</v>
      </c>
      <c r="P611" s="11">
        <f>Table1[[#This Row],[Installed Capacity 
(AC -MW)]]/Table1[[#This Row],[Installed Capacity 
(DC -MW)]]</f>
        <v>0.74626869379973082</v>
      </c>
      <c r="Q611" s="12">
        <v>0.19768177000000001</v>
      </c>
      <c r="R611" s="12">
        <v>0.14752372</v>
      </c>
      <c r="S611" s="13">
        <v>48.858215309999999</v>
      </c>
      <c r="T611" s="11">
        <v>17.242266220000001</v>
      </c>
      <c r="U611" s="11">
        <v>301.58609730000001</v>
      </c>
      <c r="V611" s="13">
        <v>1108469.328</v>
      </c>
      <c r="W611" s="13">
        <v>1256183.1000000001</v>
      </c>
      <c r="X611" s="13">
        <v>58.685490000000001</v>
      </c>
      <c r="Y611" s="14">
        <f>+Table1[[#This Row],[Generation Cost 
LCOE (USD/MWh)]]+Table1[[#This Row],[Transmission Cost
LCOT (USD/MWh)]]</f>
        <v>107.54370531000001</v>
      </c>
    </row>
    <row r="612" spans="1:25" x14ac:dyDescent="0.3">
      <c r="A612" s="7">
        <v>611</v>
      </c>
      <c r="B612" s="8">
        <v>6913</v>
      </c>
      <c r="C612" s="9">
        <v>48.266419999999997</v>
      </c>
      <c r="D612" s="9">
        <v>-116.10971000000001</v>
      </c>
      <c r="E612" s="10" t="s">
        <v>42</v>
      </c>
      <c r="F612" s="10" t="s">
        <v>1</v>
      </c>
      <c r="G612" s="10" t="s">
        <v>9</v>
      </c>
      <c r="H612" s="10">
        <v>-8</v>
      </c>
      <c r="I612" s="11">
        <v>1536.4</v>
      </c>
      <c r="J612" s="11">
        <v>3.4303659999999998</v>
      </c>
      <c r="K612" s="11" t="str">
        <f>IF(Table1[[#This Row],[Solar 
Resource]]&lt;3,"Low", IF(Table1[[#This Row],[Solar 
Resource]]&lt;4, "Moderate","High"))</f>
        <v>Moderate</v>
      </c>
      <c r="L612" s="11">
        <v>0.98174309999999998</v>
      </c>
      <c r="M612" s="11">
        <v>0.17172000600000001</v>
      </c>
      <c r="N612" s="11">
        <v>5.5104177270000001</v>
      </c>
      <c r="O612" s="11">
        <v>7.3839602659999999</v>
      </c>
      <c r="P612" s="11">
        <f>Table1[[#This Row],[Installed Capacity 
(AC -MW)]]/Table1[[#This Row],[Installed Capacity 
(DC -MW)]]</f>
        <v>0.74626860498872571</v>
      </c>
      <c r="Q612" s="12">
        <v>0.19910748</v>
      </c>
      <c r="R612" s="12">
        <v>0.14858766000000001</v>
      </c>
      <c r="S612" s="13">
        <v>63.312373860000001</v>
      </c>
      <c r="T612" s="11">
        <v>19.84696752</v>
      </c>
      <c r="U612" s="11">
        <v>303.30888950000002</v>
      </c>
      <c r="V612" s="13">
        <v>1112920.79</v>
      </c>
      <c r="W612" s="13">
        <v>1290780</v>
      </c>
      <c r="X612" s="13">
        <v>59.869971999999997</v>
      </c>
      <c r="Y612" s="14">
        <f>+Table1[[#This Row],[Generation Cost 
LCOE (USD/MWh)]]+Table1[[#This Row],[Transmission Cost
LCOT (USD/MWh)]]</f>
        <v>123.18234586</v>
      </c>
    </row>
    <row r="613" spans="1:25" x14ac:dyDescent="0.3">
      <c r="A613" s="7">
        <v>612</v>
      </c>
      <c r="B613" s="8">
        <v>6914</v>
      </c>
      <c r="C613" s="9">
        <v>48.286929999999998</v>
      </c>
      <c r="D613" s="9">
        <v>-115.94896</v>
      </c>
      <c r="E613" s="10" t="s">
        <v>42</v>
      </c>
      <c r="F613" s="10" t="s">
        <v>3</v>
      </c>
      <c r="G613" s="10" t="s">
        <v>27</v>
      </c>
      <c r="H613" s="10">
        <v>-7</v>
      </c>
      <c r="I613" s="11">
        <v>1108.142857</v>
      </c>
      <c r="J613" s="11">
        <v>3.4747732</v>
      </c>
      <c r="K613" s="11" t="str">
        <f>IF(Table1[[#This Row],[Solar 
Resource]]&lt;3,"Low", IF(Table1[[#This Row],[Solar 
Resource]]&lt;4, "Moderate","High"))</f>
        <v>Moderate</v>
      </c>
      <c r="L613" s="11">
        <v>0.98219084999999995</v>
      </c>
      <c r="M613" s="11">
        <v>2.520720099</v>
      </c>
      <c r="N613" s="11">
        <v>80.888773700000002</v>
      </c>
      <c r="O613" s="11">
        <v>108.39096429999999</v>
      </c>
      <c r="P613" s="11">
        <f>Table1[[#This Row],[Installed Capacity 
(AC -MW)]]/Table1[[#This Row],[Installed Capacity 
(DC -MW)]]</f>
        <v>0.74626860478996593</v>
      </c>
      <c r="Q613" s="12">
        <v>0.20008973999999999</v>
      </c>
      <c r="R613" s="12">
        <v>0.14932069000000001</v>
      </c>
      <c r="S613" s="13">
        <v>47.766478929999998</v>
      </c>
      <c r="T613" s="11">
        <v>26.438805179999999</v>
      </c>
      <c r="U613" s="11">
        <v>333.76480500000002</v>
      </c>
      <c r="V613" s="13">
        <v>1447217.798</v>
      </c>
      <c r="W613" s="13">
        <v>1656268.1</v>
      </c>
      <c r="X613" s="13">
        <v>76.445205999999999</v>
      </c>
      <c r="Y613" s="14">
        <f>+Table1[[#This Row],[Generation Cost 
LCOE (USD/MWh)]]+Table1[[#This Row],[Transmission Cost
LCOT (USD/MWh)]]</f>
        <v>124.21168492999999</v>
      </c>
    </row>
    <row r="614" spans="1:25" x14ac:dyDescent="0.3">
      <c r="A614" s="7">
        <v>613</v>
      </c>
      <c r="B614" s="8">
        <v>6915</v>
      </c>
      <c r="C614" s="9">
        <v>48.307279999999999</v>
      </c>
      <c r="D614" s="9">
        <v>-115.78808600000001</v>
      </c>
      <c r="E614" s="10" t="s">
        <v>42</v>
      </c>
      <c r="F614" s="10" t="s">
        <v>3</v>
      </c>
      <c r="G614" s="10" t="s">
        <v>27</v>
      </c>
      <c r="H614" s="10">
        <v>-7</v>
      </c>
      <c r="I614" s="11">
        <v>1034.857143</v>
      </c>
      <c r="J614" s="11">
        <v>3.4614815999999999</v>
      </c>
      <c r="K614" s="11" t="str">
        <f>IF(Table1[[#This Row],[Solar 
Resource]]&lt;3,"Low", IF(Table1[[#This Row],[Solar 
Resource]]&lt;4, "Moderate","High"))</f>
        <v>Moderate</v>
      </c>
      <c r="L614" s="11">
        <v>0.98247534000000003</v>
      </c>
      <c r="M614" s="11">
        <v>8.0808841190000003</v>
      </c>
      <c r="N614" s="11">
        <v>259.31193510000003</v>
      </c>
      <c r="O614" s="11">
        <v>347.47801709999999</v>
      </c>
      <c r="P614" s="11">
        <f>Table1[[#This Row],[Installed Capacity 
(AC -MW)]]/Table1[[#This Row],[Installed Capacity 
(DC -MW)]]</f>
        <v>0.74626860503055414</v>
      </c>
      <c r="Q614" s="12">
        <v>0.19827949</v>
      </c>
      <c r="R614" s="12">
        <v>0.14796978</v>
      </c>
      <c r="S614" s="13">
        <v>48.213534680000002</v>
      </c>
      <c r="T614" s="11">
        <v>20.15689609</v>
      </c>
      <c r="U614" s="11">
        <v>333.76480500000002</v>
      </c>
      <c r="V614" s="13">
        <v>1447217.798</v>
      </c>
      <c r="W614" s="13">
        <v>1627050.4</v>
      </c>
      <c r="X614" s="13">
        <v>75.782269999999997</v>
      </c>
      <c r="Y614" s="14">
        <f>+Table1[[#This Row],[Generation Cost 
LCOE (USD/MWh)]]+Table1[[#This Row],[Transmission Cost
LCOT (USD/MWh)]]</f>
        <v>123.99580467999999</v>
      </c>
    </row>
    <row r="615" spans="1:25" x14ac:dyDescent="0.3">
      <c r="A615" s="7">
        <v>614</v>
      </c>
      <c r="B615" s="8">
        <v>6916</v>
      </c>
      <c r="C615" s="9">
        <v>48.327464999999997</v>
      </c>
      <c r="D615" s="9">
        <v>-115.627106</v>
      </c>
      <c r="E615" s="10" t="s">
        <v>42</v>
      </c>
      <c r="F615" s="10" t="s">
        <v>3</v>
      </c>
      <c r="G615" s="10" t="s">
        <v>27</v>
      </c>
      <c r="H615" s="10">
        <v>-7</v>
      </c>
      <c r="I615" s="11">
        <v>964.125</v>
      </c>
      <c r="J615" s="11">
        <v>3.4840629999999999</v>
      </c>
      <c r="K615" s="11" t="str">
        <f>IF(Table1[[#This Row],[Solar 
Resource]]&lt;3,"Low", IF(Table1[[#This Row],[Solar 
Resource]]&lt;4, "Moderate","High"))</f>
        <v>Moderate</v>
      </c>
      <c r="L615" s="11">
        <v>0.98284229999999995</v>
      </c>
      <c r="M615" s="11">
        <v>13.45304696</v>
      </c>
      <c r="N615" s="11">
        <v>431.70222330000001</v>
      </c>
      <c r="O615" s="11">
        <v>578.48101929999996</v>
      </c>
      <c r="P615" s="11">
        <f>Table1[[#This Row],[Installed Capacity 
(AC -MW)]]/Table1[[#This Row],[Installed Capacity 
(DC -MW)]]</f>
        <v>0.74626860501384829</v>
      </c>
      <c r="Q615" s="12">
        <v>0.19777241000000001</v>
      </c>
      <c r="R615" s="12">
        <v>0.14759133999999999</v>
      </c>
      <c r="S615" s="13">
        <v>48.351340999999998</v>
      </c>
      <c r="T615" s="11">
        <v>12.114915570000001</v>
      </c>
      <c r="U615" s="11">
        <v>305.93497389999999</v>
      </c>
      <c r="V615" s="13">
        <v>1295964.9110000001</v>
      </c>
      <c r="W615" s="13">
        <v>1435190.6</v>
      </c>
      <c r="X615" s="13">
        <v>67.017510000000001</v>
      </c>
      <c r="Y615" s="14">
        <f>+Table1[[#This Row],[Generation Cost 
LCOE (USD/MWh)]]+Table1[[#This Row],[Transmission Cost
LCOT (USD/MWh)]]</f>
        <v>115.36885100000001</v>
      </c>
    </row>
    <row r="616" spans="1:25" x14ac:dyDescent="0.3">
      <c r="A616" s="7">
        <v>615</v>
      </c>
      <c r="B616" s="8">
        <v>6917</v>
      </c>
      <c r="C616" s="9">
        <v>48.347490000000001</v>
      </c>
      <c r="D616" s="9">
        <v>-115.46599999999999</v>
      </c>
      <c r="E616" s="10" t="s">
        <v>42</v>
      </c>
      <c r="F616" s="10" t="s">
        <v>3</v>
      </c>
      <c r="G616" s="10" t="s">
        <v>27</v>
      </c>
      <c r="H616" s="10">
        <v>-7</v>
      </c>
      <c r="I616" s="11">
        <v>1007.333333</v>
      </c>
      <c r="J616" s="11">
        <v>3.5072432</v>
      </c>
      <c r="K616" s="11" t="str">
        <f>IF(Table1[[#This Row],[Solar 
Resource]]&lt;3,"Low", IF(Table1[[#This Row],[Solar 
Resource]]&lt;4, "Moderate","High"))</f>
        <v>Moderate</v>
      </c>
      <c r="L616" s="11">
        <v>0.98308200000000001</v>
      </c>
      <c r="M616" s="11">
        <v>17.045882450000001</v>
      </c>
      <c r="N616" s="11">
        <v>546.99469739999995</v>
      </c>
      <c r="O616" s="11">
        <v>732.97294520000003</v>
      </c>
      <c r="P616" s="11">
        <f>Table1[[#This Row],[Installed Capacity 
(AC -MW)]]/Table1[[#This Row],[Installed Capacity 
(DC -MW)]]</f>
        <v>0.74626860511303894</v>
      </c>
      <c r="Q616" s="12">
        <v>0.19948214</v>
      </c>
      <c r="R616" s="12">
        <v>0.14886727999999999</v>
      </c>
      <c r="S616" s="13">
        <v>47.946095020000001</v>
      </c>
      <c r="T616" s="11">
        <v>11.549331159999999</v>
      </c>
      <c r="U616" s="11">
        <v>305.93497389999999</v>
      </c>
      <c r="V616" s="13">
        <v>1295964.9110000001</v>
      </c>
      <c r="W616" s="13">
        <v>1402847.4</v>
      </c>
      <c r="X616" s="13">
        <v>64.945760000000007</v>
      </c>
      <c r="Y616" s="14">
        <f>+Table1[[#This Row],[Generation Cost 
LCOE (USD/MWh)]]+Table1[[#This Row],[Transmission Cost
LCOT (USD/MWh)]]</f>
        <v>112.89185502000001</v>
      </c>
    </row>
    <row r="617" spans="1:25" x14ac:dyDescent="0.3">
      <c r="A617" s="7">
        <v>616</v>
      </c>
      <c r="B617" s="8">
        <v>6918</v>
      </c>
      <c r="C617" s="9">
        <v>48.367350000000002</v>
      </c>
      <c r="D617" s="9">
        <v>-115.30479</v>
      </c>
      <c r="E617" s="10" t="s">
        <v>42</v>
      </c>
      <c r="F617" s="10" t="s">
        <v>3</v>
      </c>
      <c r="G617" s="10" t="s">
        <v>27</v>
      </c>
      <c r="H617" s="10">
        <v>-7</v>
      </c>
      <c r="I617" s="11">
        <v>1024.909091</v>
      </c>
      <c r="J617" s="11">
        <v>3.5402809999999998</v>
      </c>
      <c r="K617" s="11" t="str">
        <f>IF(Table1[[#This Row],[Solar 
Resource]]&lt;3,"Low", IF(Table1[[#This Row],[Solar 
Resource]]&lt;4, "Moderate","High"))</f>
        <v>Moderate</v>
      </c>
      <c r="L617" s="11">
        <v>0.98339469999999995</v>
      </c>
      <c r="M617" s="11">
        <v>3.326832257</v>
      </c>
      <c r="N617" s="11">
        <v>106.7565501</v>
      </c>
      <c r="O617" s="11">
        <v>143.05378709999999</v>
      </c>
      <c r="P617" s="11">
        <f>Table1[[#This Row],[Installed Capacity 
(AC -MW)]]/Table1[[#This Row],[Installed Capacity 
(DC -MW)]]</f>
        <v>0.74626860472678813</v>
      </c>
      <c r="Q617" s="12">
        <v>0.20359938</v>
      </c>
      <c r="R617" s="12">
        <v>0.15193982</v>
      </c>
      <c r="S617" s="13">
        <v>46.988254220000002</v>
      </c>
      <c r="T617" s="11">
        <v>4.0010259709999998</v>
      </c>
      <c r="U617" s="11">
        <v>285.9117531</v>
      </c>
      <c r="V617" s="13">
        <v>1181860.8600000001</v>
      </c>
      <c r="W617" s="13">
        <v>1255187.2</v>
      </c>
      <c r="X617" s="13">
        <v>56.934627999999996</v>
      </c>
      <c r="Y617" s="14">
        <f>+Table1[[#This Row],[Generation Cost 
LCOE (USD/MWh)]]+Table1[[#This Row],[Transmission Cost
LCOT (USD/MWh)]]</f>
        <v>103.92288221999999</v>
      </c>
    </row>
    <row r="618" spans="1:25" x14ac:dyDescent="0.3">
      <c r="A618" s="7">
        <v>617</v>
      </c>
      <c r="B618" s="8">
        <v>6919</v>
      </c>
      <c r="C618" s="9">
        <v>48.387053999999999</v>
      </c>
      <c r="D618" s="9">
        <v>-115.14346</v>
      </c>
      <c r="E618" s="10" t="s">
        <v>42</v>
      </c>
      <c r="F618" s="10" t="s">
        <v>3</v>
      </c>
      <c r="G618" s="10" t="s">
        <v>27</v>
      </c>
      <c r="H618" s="10">
        <v>-7</v>
      </c>
      <c r="I618" s="11">
        <v>1254.1111109999999</v>
      </c>
      <c r="J618" s="11">
        <v>3.5257117999999998</v>
      </c>
      <c r="K618" s="11" t="str">
        <f>IF(Table1[[#This Row],[Solar 
Resource]]&lt;3,"Low", IF(Table1[[#This Row],[Solar 
Resource]]&lt;4, "Moderate","High"))</f>
        <v>Moderate</v>
      </c>
      <c r="L618" s="11">
        <v>0.98362123999999995</v>
      </c>
      <c r="M618" s="11">
        <v>5.0177878419999997</v>
      </c>
      <c r="N618" s="11">
        <v>161.0185731</v>
      </c>
      <c r="O618" s="11">
        <v>215.7648772</v>
      </c>
      <c r="P618" s="11">
        <f>Table1[[#This Row],[Installed Capacity 
(AC -MW)]]/Table1[[#This Row],[Installed Capacity 
(DC -MW)]]</f>
        <v>0.74626869391141104</v>
      </c>
      <c r="Q618" s="12">
        <v>0.20353177</v>
      </c>
      <c r="R618" s="12">
        <v>0.15188940000000001</v>
      </c>
      <c r="S618" s="13">
        <v>47.012368789999996</v>
      </c>
      <c r="T618" s="11">
        <v>1.9863961029999999</v>
      </c>
      <c r="U618" s="11">
        <v>271.43125309999999</v>
      </c>
      <c r="V618" s="13">
        <v>1119774.9739999999</v>
      </c>
      <c r="W618" s="13">
        <v>1187580.8</v>
      </c>
      <c r="X618" s="13">
        <v>53.885925</v>
      </c>
      <c r="Y618" s="14">
        <f>+Table1[[#This Row],[Generation Cost 
LCOE (USD/MWh)]]+Table1[[#This Row],[Transmission Cost
LCOT (USD/MWh)]]</f>
        <v>100.89829379</v>
      </c>
    </row>
    <row r="619" spans="1:25" x14ac:dyDescent="0.3">
      <c r="A619" s="7">
        <v>618</v>
      </c>
      <c r="B619" s="8">
        <v>6920</v>
      </c>
      <c r="C619" s="9">
        <v>48.406593000000001</v>
      </c>
      <c r="D619" s="9">
        <v>-114.98202499999999</v>
      </c>
      <c r="E619" s="10" t="s">
        <v>42</v>
      </c>
      <c r="F619" s="10" t="s">
        <v>3</v>
      </c>
      <c r="G619" s="10" t="s">
        <v>27</v>
      </c>
      <c r="H619" s="10">
        <v>-7</v>
      </c>
      <c r="I619" s="11">
        <v>1299.333333</v>
      </c>
      <c r="J619" s="11">
        <v>3.4975328000000001</v>
      </c>
      <c r="K619" s="11" t="str">
        <f>IF(Table1[[#This Row],[Solar 
Resource]]&lt;3,"Low", IF(Table1[[#This Row],[Solar 
Resource]]&lt;4, "Moderate","High"))</f>
        <v>Moderate</v>
      </c>
      <c r="L619" s="11">
        <v>0.98375994</v>
      </c>
      <c r="M619" s="11">
        <v>9.437472949</v>
      </c>
      <c r="N619" s="11">
        <v>302.84422419999999</v>
      </c>
      <c r="O619" s="11">
        <v>405.81133679999999</v>
      </c>
      <c r="P619" s="11">
        <f>Table1[[#This Row],[Installed Capacity 
(AC -MW)]]/Table1[[#This Row],[Installed Capacity 
(DC -MW)]]</f>
        <v>0.74626851627177115</v>
      </c>
      <c r="Q619" s="12">
        <v>0.20134735000000001</v>
      </c>
      <c r="R619" s="12">
        <v>0.15025921</v>
      </c>
      <c r="S619" s="13">
        <v>47.527665130000003</v>
      </c>
      <c r="T619" s="11">
        <v>9.8302857069999998</v>
      </c>
      <c r="U619" s="11">
        <v>265.87838950000003</v>
      </c>
      <c r="V619" s="13">
        <v>1098692.1140000001</v>
      </c>
      <c r="W619" s="13">
        <v>1222340.8</v>
      </c>
      <c r="X619" s="13">
        <v>56.064869999999999</v>
      </c>
      <c r="Y619" s="14">
        <f>+Table1[[#This Row],[Generation Cost 
LCOE (USD/MWh)]]+Table1[[#This Row],[Transmission Cost
LCOT (USD/MWh)]]</f>
        <v>103.59253513</v>
      </c>
    </row>
    <row r="620" spans="1:25" x14ac:dyDescent="0.3">
      <c r="A620" s="7">
        <v>619</v>
      </c>
      <c r="B620" s="8">
        <v>6921</v>
      </c>
      <c r="C620" s="9">
        <v>48.42597</v>
      </c>
      <c r="D620" s="9">
        <v>-114.820465</v>
      </c>
      <c r="E620" s="10" t="s">
        <v>42</v>
      </c>
      <c r="F620" s="10" t="s">
        <v>3</v>
      </c>
      <c r="G620" s="10" t="s">
        <v>15</v>
      </c>
      <c r="H620" s="10">
        <v>-7</v>
      </c>
      <c r="I620" s="11">
        <v>1465</v>
      </c>
      <c r="J620" s="11">
        <v>3.4830874999999999</v>
      </c>
      <c r="K620" s="11" t="str">
        <f>IF(Table1[[#This Row],[Solar 
Resource]]&lt;3,"Low", IF(Table1[[#This Row],[Solar 
Resource]]&lt;4, "Moderate","High"))</f>
        <v>Moderate</v>
      </c>
      <c r="L620" s="11">
        <v>0.98353380000000001</v>
      </c>
      <c r="M620" s="11">
        <v>0.75718796499999996</v>
      </c>
      <c r="N620" s="11">
        <v>24.29782398</v>
      </c>
      <c r="O620" s="11">
        <v>32.559082510000003</v>
      </c>
      <c r="P620" s="11">
        <f>Table1[[#This Row],[Installed Capacity 
(AC -MW)]]/Table1[[#This Row],[Installed Capacity 
(DC -MW)]]</f>
        <v>0.74626869392088402</v>
      </c>
      <c r="Q620" s="12">
        <v>0.20273979</v>
      </c>
      <c r="R620" s="12">
        <v>0.15129833000000001</v>
      </c>
      <c r="S620" s="13">
        <v>52.84024496</v>
      </c>
      <c r="T620" s="11">
        <v>22.68329219</v>
      </c>
      <c r="U620" s="11">
        <v>265.87838950000003</v>
      </c>
      <c r="V620" s="13">
        <v>1098692.1140000001</v>
      </c>
      <c r="W620" s="13">
        <v>1284249.2</v>
      </c>
      <c r="X620" s="13">
        <v>58.499847000000003</v>
      </c>
      <c r="Y620" s="14">
        <f>+Table1[[#This Row],[Generation Cost 
LCOE (USD/MWh)]]+Table1[[#This Row],[Transmission Cost
LCOT (USD/MWh)]]</f>
        <v>111.34009196</v>
      </c>
    </row>
    <row r="621" spans="1:25" x14ac:dyDescent="0.3">
      <c r="A621" s="7">
        <v>620</v>
      </c>
      <c r="B621" s="8">
        <v>6922</v>
      </c>
      <c r="C621" s="9">
        <v>48.445180000000001</v>
      </c>
      <c r="D621" s="9">
        <v>-114.6588</v>
      </c>
      <c r="E621" s="10" t="s">
        <v>42</v>
      </c>
      <c r="F621" s="10" t="s">
        <v>3</v>
      </c>
      <c r="G621" s="10" t="s">
        <v>15</v>
      </c>
      <c r="H621" s="10">
        <v>-7</v>
      </c>
      <c r="I621" s="11">
        <v>1284.272727</v>
      </c>
      <c r="J621" s="11">
        <v>3.4669797</v>
      </c>
      <c r="K621" s="11" t="str">
        <f>IF(Table1[[#This Row],[Solar 
Resource]]&lt;3,"Low", IF(Table1[[#This Row],[Solar 
Resource]]&lt;4, "Moderate","High"))</f>
        <v>Moderate</v>
      </c>
      <c r="L621" s="11">
        <v>0.98138579999999997</v>
      </c>
      <c r="M621" s="11">
        <v>20.052358810000001</v>
      </c>
      <c r="N621" s="11">
        <v>643.47124759999997</v>
      </c>
      <c r="O621" s="11">
        <v>862.25142900000003</v>
      </c>
      <c r="P621" s="11">
        <f>Table1[[#This Row],[Installed Capacity 
(AC -MW)]]/Table1[[#This Row],[Installed Capacity 
(DC -MW)]]</f>
        <v>0.74626869374547589</v>
      </c>
      <c r="Q621" s="12">
        <v>0.201211</v>
      </c>
      <c r="R621" s="12">
        <v>0.15015748000000001</v>
      </c>
      <c r="S621" s="13">
        <v>47.469730370000001</v>
      </c>
      <c r="T621" s="11">
        <v>14.61947402</v>
      </c>
      <c r="U621" s="11">
        <v>230.44177909999999</v>
      </c>
      <c r="V621" s="13">
        <v>847960.74</v>
      </c>
      <c r="W621" s="13">
        <v>991570.94</v>
      </c>
      <c r="X621" s="13">
        <v>45.511009999999999</v>
      </c>
      <c r="Y621" s="14">
        <f>+Table1[[#This Row],[Generation Cost 
LCOE (USD/MWh)]]+Table1[[#This Row],[Transmission Cost
LCOT (USD/MWh)]]</f>
        <v>92.980740370000007</v>
      </c>
    </row>
    <row r="622" spans="1:25" x14ac:dyDescent="0.3">
      <c r="A622" s="7">
        <v>621</v>
      </c>
      <c r="B622" s="8">
        <v>6923</v>
      </c>
      <c r="C622" s="9">
        <v>48.464230000000001</v>
      </c>
      <c r="D622" s="9">
        <v>-114.49702499999999</v>
      </c>
      <c r="E622" s="10" t="s">
        <v>42</v>
      </c>
      <c r="F622" s="10" t="s">
        <v>3</v>
      </c>
      <c r="G622" s="10" t="s">
        <v>15</v>
      </c>
      <c r="H622" s="10">
        <v>-7</v>
      </c>
      <c r="I622" s="11">
        <v>1038.2777779999999</v>
      </c>
      <c r="J622" s="11">
        <v>3.4288846999999998</v>
      </c>
      <c r="K622" s="11" t="str">
        <f>IF(Table1[[#This Row],[Solar 
Resource]]&lt;3,"Low", IF(Table1[[#This Row],[Solar 
Resource]]&lt;4, "Moderate","High"))</f>
        <v>Moderate</v>
      </c>
      <c r="L622" s="11">
        <v>0.98124504000000001</v>
      </c>
      <c r="M622" s="11">
        <v>54.427787840000001</v>
      </c>
      <c r="N622" s="11">
        <v>1746.563013</v>
      </c>
      <c r="O622" s="11">
        <v>2340.3948770000002</v>
      </c>
      <c r="P622" s="11">
        <f>Table1[[#This Row],[Installed Capacity 
(AC -MW)]]/Table1[[#This Row],[Installed Capacity 
(DC -MW)]]</f>
        <v>0.74626851654999582</v>
      </c>
      <c r="Q622" s="12">
        <v>0.19729804000000001</v>
      </c>
      <c r="R622" s="12">
        <v>0.14723736000000001</v>
      </c>
      <c r="S622" s="13">
        <v>48.405737530000003</v>
      </c>
      <c r="T622" s="11">
        <v>1.753675324</v>
      </c>
      <c r="U622" s="11">
        <v>233.13273369999999</v>
      </c>
      <c r="V622" s="13">
        <v>859215.15280000004</v>
      </c>
      <c r="W622" s="13">
        <v>909890.75</v>
      </c>
      <c r="X622" s="13">
        <v>42.590319999999998</v>
      </c>
      <c r="Y622" s="14">
        <f>+Table1[[#This Row],[Generation Cost 
LCOE (USD/MWh)]]+Table1[[#This Row],[Transmission Cost
LCOT (USD/MWh)]]</f>
        <v>90.996057530000002</v>
      </c>
    </row>
    <row r="623" spans="1:25" x14ac:dyDescent="0.3">
      <c r="A623" s="7">
        <v>622</v>
      </c>
      <c r="B623" s="8">
        <v>6924</v>
      </c>
      <c r="C623" s="9">
        <v>48.483111999999998</v>
      </c>
      <c r="D623" s="9">
        <v>-114.335144</v>
      </c>
      <c r="E623" s="10" t="s">
        <v>42</v>
      </c>
      <c r="F623" s="10" t="s">
        <v>3</v>
      </c>
      <c r="G623" s="10" t="s">
        <v>15</v>
      </c>
      <c r="H623" s="10">
        <v>-7</v>
      </c>
      <c r="I623" s="11">
        <v>1341.9</v>
      </c>
      <c r="J623" s="11">
        <v>3.4228481999999998</v>
      </c>
      <c r="K623" s="11" t="str">
        <f>IF(Table1[[#This Row],[Solar 
Resource]]&lt;3,"Low", IF(Table1[[#This Row],[Solar 
Resource]]&lt;4, "Moderate","High"))</f>
        <v>Moderate</v>
      </c>
      <c r="L623" s="11">
        <v>0.98128780000000004</v>
      </c>
      <c r="M623" s="11">
        <v>5.9389200989999997</v>
      </c>
      <c r="N623" s="11">
        <v>190.5772509</v>
      </c>
      <c r="O623" s="11">
        <v>255.3735643</v>
      </c>
      <c r="P623" s="11">
        <f>Table1[[#This Row],[Installed Capacity 
(AC -MW)]]/Table1[[#This Row],[Installed Capacity 
(DC -MW)]]</f>
        <v>0.74626851617311274</v>
      </c>
      <c r="Q623" s="12">
        <v>0.19776645000000001</v>
      </c>
      <c r="R623" s="12">
        <v>0.14758690999999999</v>
      </c>
      <c r="S623" s="13">
        <v>48.292728789999998</v>
      </c>
      <c r="T623" s="11">
        <v>12.31035713</v>
      </c>
      <c r="U623" s="11">
        <v>218.94516870000001</v>
      </c>
      <c r="V623" s="13">
        <v>788975.05949999997</v>
      </c>
      <c r="W623" s="13">
        <v>923553.75</v>
      </c>
      <c r="X623" s="13">
        <v>43.127471999999997</v>
      </c>
      <c r="Y623" s="14">
        <f>+Table1[[#This Row],[Generation Cost 
LCOE (USD/MWh)]]+Table1[[#This Row],[Transmission Cost
LCOT (USD/MWh)]]</f>
        <v>91.420200789999996</v>
      </c>
    </row>
    <row r="624" spans="1:25" x14ac:dyDescent="0.3">
      <c r="A624" s="7">
        <v>623</v>
      </c>
      <c r="B624" s="8">
        <v>6925</v>
      </c>
      <c r="C624" s="9">
        <v>48.501840000000001</v>
      </c>
      <c r="D624" s="9">
        <v>-114.17316</v>
      </c>
      <c r="E624" s="10" t="s">
        <v>42</v>
      </c>
      <c r="F624" s="10" t="s">
        <v>3</v>
      </c>
      <c r="G624" s="10" t="s">
        <v>15</v>
      </c>
      <c r="H624" s="10">
        <v>-7</v>
      </c>
      <c r="I624" s="11">
        <v>1234.666667</v>
      </c>
      <c r="J624" s="11">
        <v>3.3954399</v>
      </c>
      <c r="K624" s="11" t="str">
        <f>IF(Table1[[#This Row],[Solar 
Resource]]&lt;3,"Low", IF(Table1[[#This Row],[Solar 
Resource]]&lt;4, "Moderate","High"))</f>
        <v>Moderate</v>
      </c>
      <c r="L624" s="11">
        <v>0.98136789999999996</v>
      </c>
      <c r="M624" s="11">
        <v>6.7797000000000001</v>
      </c>
      <c r="N624" s="11">
        <v>217.55754809999999</v>
      </c>
      <c r="O624" s="11">
        <v>291.52710000000002</v>
      </c>
      <c r="P624" s="11">
        <f>Table1[[#This Row],[Installed Capacity 
(AC -MW)]]/Table1[[#This Row],[Installed Capacity 
(DC -MW)]]</f>
        <v>0.74626869371663895</v>
      </c>
      <c r="Q624" s="12">
        <v>0.19467646</v>
      </c>
      <c r="R624" s="12">
        <v>0.14528094</v>
      </c>
      <c r="S624" s="13">
        <v>49.062404690000001</v>
      </c>
      <c r="T624" s="11">
        <v>15.37035713</v>
      </c>
      <c r="U624" s="11">
        <v>204.14304540000001</v>
      </c>
      <c r="V624" s="13">
        <v>740732.24109999998</v>
      </c>
      <c r="W624" s="13">
        <v>894727.4</v>
      </c>
      <c r="X624" s="13">
        <v>42.44453</v>
      </c>
      <c r="Y624" s="14">
        <f>+Table1[[#This Row],[Generation Cost 
LCOE (USD/MWh)]]+Table1[[#This Row],[Transmission Cost
LCOT (USD/MWh)]]</f>
        <v>91.506934690000008</v>
      </c>
    </row>
    <row r="625" spans="1:25" x14ac:dyDescent="0.3">
      <c r="A625" s="7">
        <v>624</v>
      </c>
      <c r="B625" s="8">
        <v>6926</v>
      </c>
      <c r="C625" s="9">
        <v>48.520392999999999</v>
      </c>
      <c r="D625" s="9">
        <v>-114.011055</v>
      </c>
      <c r="E625" s="10" t="s">
        <v>42</v>
      </c>
      <c r="F625" s="10" t="s">
        <v>3</v>
      </c>
      <c r="G625" s="10" t="s">
        <v>15</v>
      </c>
      <c r="H625" s="10">
        <v>-7</v>
      </c>
      <c r="I625" s="11">
        <v>1060.5999999999999</v>
      </c>
      <c r="J625" s="11">
        <v>3.408477</v>
      </c>
      <c r="K625" s="11" t="str">
        <f>IF(Table1[[#This Row],[Solar 
Resource]]&lt;3,"Low", IF(Table1[[#This Row],[Solar 
Resource]]&lt;4, "Moderate","High"))</f>
        <v>Moderate</v>
      </c>
      <c r="L625" s="11">
        <v>0.98144620000000005</v>
      </c>
      <c r="M625" s="11">
        <v>4.0014000000000003</v>
      </c>
      <c r="N625" s="11">
        <v>128.40312539999999</v>
      </c>
      <c r="O625" s="11">
        <v>172.06020000000001</v>
      </c>
      <c r="P625" s="11">
        <f>Table1[[#This Row],[Installed Capacity 
(AC -MW)]]/Table1[[#This Row],[Installed Capacity 
(DC -MW)]]</f>
        <v>0.74626860482552027</v>
      </c>
      <c r="Q625" s="12">
        <v>0.19502776999999999</v>
      </c>
      <c r="R625" s="12">
        <v>0.14554311</v>
      </c>
      <c r="S625" s="13">
        <v>48.977093979999999</v>
      </c>
      <c r="T625" s="11">
        <v>20.057850630000001</v>
      </c>
      <c r="U625" s="11">
        <v>205.8285583</v>
      </c>
      <c r="V625" s="13">
        <v>751165.98129999998</v>
      </c>
      <c r="W625" s="13">
        <v>926386.44</v>
      </c>
      <c r="X625" s="13">
        <v>43.867226000000002</v>
      </c>
      <c r="Y625" s="14">
        <f>+Table1[[#This Row],[Generation Cost 
LCOE (USD/MWh)]]+Table1[[#This Row],[Transmission Cost
LCOT (USD/MWh)]]</f>
        <v>92.844319979999995</v>
      </c>
    </row>
    <row r="626" spans="1:25" x14ac:dyDescent="0.3">
      <c r="A626" s="7">
        <v>625</v>
      </c>
      <c r="B626" s="8">
        <v>6930</v>
      </c>
      <c r="C626" s="9">
        <v>48.592995000000002</v>
      </c>
      <c r="D626" s="9">
        <v>-113.3616</v>
      </c>
      <c r="E626" s="10" t="s">
        <v>42</v>
      </c>
      <c r="F626" s="10" t="s">
        <v>3</v>
      </c>
      <c r="G626" s="10" t="s">
        <v>16</v>
      </c>
      <c r="H626" s="10">
        <v>-7</v>
      </c>
      <c r="I626" s="11">
        <v>1729.363636</v>
      </c>
      <c r="J626" s="11">
        <v>3.6839852</v>
      </c>
      <c r="K626" s="11" t="str">
        <f>IF(Table1[[#This Row],[Solar 
Resource]]&lt;3,"Low", IF(Table1[[#This Row],[Solar 
Resource]]&lt;4, "Moderate","High"))</f>
        <v>Moderate</v>
      </c>
      <c r="L626" s="11">
        <v>0.98183019999999999</v>
      </c>
      <c r="M626" s="11">
        <v>15.378659799999999</v>
      </c>
      <c r="N626" s="11">
        <v>493.49433160000001</v>
      </c>
      <c r="O626" s="11">
        <v>661.28237149999995</v>
      </c>
      <c r="P626" s="11">
        <f>Table1[[#This Row],[Installed Capacity 
(AC -MW)]]/Table1[[#This Row],[Installed Capacity 
(DC -MW)]]</f>
        <v>0.74626869378144323</v>
      </c>
      <c r="Q626" s="12">
        <v>0.22102306999999999</v>
      </c>
      <c r="R626" s="12">
        <v>0.16494258000000001</v>
      </c>
      <c r="S626" s="13">
        <v>43.230003930000002</v>
      </c>
      <c r="T626" s="11">
        <v>24.345870120000001</v>
      </c>
      <c r="U626" s="11">
        <v>250.19189600000001</v>
      </c>
      <c r="V626" s="13">
        <v>670054.93370000005</v>
      </c>
      <c r="W626" s="13">
        <v>837904.25</v>
      </c>
      <c r="X626" s="13">
        <v>35.010730000000002</v>
      </c>
      <c r="Y626" s="14">
        <f>+Table1[[#This Row],[Generation Cost 
LCOE (USD/MWh)]]+Table1[[#This Row],[Transmission Cost
LCOT (USD/MWh)]]</f>
        <v>78.240733930000005</v>
      </c>
    </row>
    <row r="627" spans="1:25" x14ac:dyDescent="0.3">
      <c r="A627" s="7">
        <v>626</v>
      </c>
      <c r="B627" s="8">
        <v>6931</v>
      </c>
      <c r="C627" s="9">
        <v>48.610729999999997</v>
      </c>
      <c r="D627" s="9">
        <v>-113.19898000000001</v>
      </c>
      <c r="E627" s="10" t="s">
        <v>42</v>
      </c>
      <c r="F627" s="10" t="s">
        <v>3</v>
      </c>
      <c r="G627" s="10" t="s">
        <v>16</v>
      </c>
      <c r="H627" s="10">
        <v>-7</v>
      </c>
      <c r="I627" s="11">
        <v>1517.8125</v>
      </c>
      <c r="J627" s="11">
        <v>3.7020062999999999</v>
      </c>
      <c r="K627" s="11" t="str">
        <f>IF(Table1[[#This Row],[Solar 
Resource]]&lt;3,"Low", IF(Table1[[#This Row],[Solar 
Resource]]&lt;4, "Moderate","High"))</f>
        <v>Moderate</v>
      </c>
      <c r="L627" s="11">
        <v>0.98192835000000001</v>
      </c>
      <c r="M627" s="11">
        <v>87.908975679999998</v>
      </c>
      <c r="N627" s="11">
        <v>2820.9591369999998</v>
      </c>
      <c r="O627" s="11">
        <v>3780.0859540000001</v>
      </c>
      <c r="P627" s="11">
        <f>Table1[[#This Row],[Installed Capacity 
(AC -MW)]]/Table1[[#This Row],[Installed Capacity 
(DC -MW)]]</f>
        <v>0.74626851646453318</v>
      </c>
      <c r="Q627" s="12">
        <v>0.22294565</v>
      </c>
      <c r="R627" s="12">
        <v>0.16637732</v>
      </c>
      <c r="S627" s="13">
        <v>42.860578869999998</v>
      </c>
      <c r="T627" s="11">
        <v>11.856610379999999</v>
      </c>
      <c r="U627" s="11">
        <v>250.19189600000001</v>
      </c>
      <c r="V627" s="13">
        <v>670054.93370000005</v>
      </c>
      <c r="W627" s="13">
        <v>766002.75</v>
      </c>
      <c r="X627" s="13">
        <v>31.730412999999999</v>
      </c>
      <c r="Y627" s="14">
        <f>+Table1[[#This Row],[Generation Cost 
LCOE (USD/MWh)]]+Table1[[#This Row],[Transmission Cost
LCOT (USD/MWh)]]</f>
        <v>74.590991869999996</v>
      </c>
    </row>
    <row r="628" spans="1:25" x14ac:dyDescent="0.3">
      <c r="A628" s="7">
        <v>627</v>
      </c>
      <c r="B628" s="8">
        <v>6932</v>
      </c>
      <c r="C628" s="9">
        <v>48.628304</v>
      </c>
      <c r="D628" s="9">
        <v>-113.036255</v>
      </c>
      <c r="E628" s="10" t="s">
        <v>42</v>
      </c>
      <c r="F628" s="10" t="s">
        <v>3</v>
      </c>
      <c r="G628" s="10" t="s">
        <v>16</v>
      </c>
      <c r="H628" s="10">
        <v>-7</v>
      </c>
      <c r="I628" s="11">
        <v>1355.380952</v>
      </c>
      <c r="J628" s="11">
        <v>3.7272536999999999</v>
      </c>
      <c r="K628" s="11" t="str">
        <f>IF(Table1[[#This Row],[Solar 
Resource]]&lt;3,"Low", IF(Table1[[#This Row],[Solar 
Resource]]&lt;4, "Moderate","High"))</f>
        <v>Moderate</v>
      </c>
      <c r="L628" s="11">
        <v>0.98204170000000002</v>
      </c>
      <c r="M628" s="11">
        <v>100.7962418</v>
      </c>
      <c r="N628" s="11">
        <v>3234.505658</v>
      </c>
      <c r="O628" s="11">
        <v>4334.2383970000001</v>
      </c>
      <c r="P628" s="11">
        <f>Table1[[#This Row],[Installed Capacity 
(AC -MW)]]/Table1[[#This Row],[Installed Capacity 
(DC -MW)]]</f>
        <v>0.74626851634160352</v>
      </c>
      <c r="Q628" s="12">
        <v>0.22529563</v>
      </c>
      <c r="R628" s="12">
        <v>0.16813106999999999</v>
      </c>
      <c r="S628" s="13">
        <v>42.417353460000001</v>
      </c>
      <c r="T628" s="11">
        <v>2.3245584410000002</v>
      </c>
      <c r="U628" s="11">
        <v>244.3780778</v>
      </c>
      <c r="V628" s="13">
        <v>654959.42469999997</v>
      </c>
      <c r="W628" s="13">
        <v>704850.2</v>
      </c>
      <c r="X628" s="13">
        <v>28.892721000000002</v>
      </c>
      <c r="Y628" s="14">
        <f>+Table1[[#This Row],[Generation Cost 
LCOE (USD/MWh)]]+Table1[[#This Row],[Transmission Cost
LCOT (USD/MWh)]]</f>
        <v>71.31007446000001</v>
      </c>
    </row>
    <row r="629" spans="1:25" x14ac:dyDescent="0.3">
      <c r="A629" s="7">
        <v>628</v>
      </c>
      <c r="B629" s="8">
        <v>6933</v>
      </c>
      <c r="C629" s="9">
        <v>48.645713999999998</v>
      </c>
      <c r="D629" s="9">
        <v>-112.87343</v>
      </c>
      <c r="E629" s="10" t="s">
        <v>42</v>
      </c>
      <c r="F629" s="10" t="s">
        <v>3</v>
      </c>
      <c r="G629" s="10" t="s">
        <v>16</v>
      </c>
      <c r="H629" s="10">
        <v>-7</v>
      </c>
      <c r="I629" s="11">
        <v>1271</v>
      </c>
      <c r="J629" s="11">
        <v>3.7370093</v>
      </c>
      <c r="K629" s="11" t="str">
        <f>IF(Table1[[#This Row],[Solar 
Resource]]&lt;3,"Low", IF(Table1[[#This Row],[Solar 
Resource]]&lt;4, "Moderate","High"))</f>
        <v>Moderate</v>
      </c>
      <c r="L629" s="11">
        <v>0.98215229999999998</v>
      </c>
      <c r="M629" s="11">
        <v>83.61200479</v>
      </c>
      <c r="N629" s="11">
        <v>2683.07161</v>
      </c>
      <c r="O629" s="11">
        <v>3595.316206</v>
      </c>
      <c r="P629" s="11">
        <f>Table1[[#This Row],[Installed Capacity 
(AC -MW)]]/Table1[[#This Row],[Installed Capacity 
(DC -MW)]]</f>
        <v>0.74626860511528537</v>
      </c>
      <c r="Q629" s="12">
        <v>0.22690167</v>
      </c>
      <c r="R629" s="12">
        <v>0.1693296</v>
      </c>
      <c r="S629" s="13">
        <v>42.120838300000003</v>
      </c>
      <c r="T629" s="11">
        <v>6.0955129860000001</v>
      </c>
      <c r="U629" s="11">
        <v>228.27602580000001</v>
      </c>
      <c r="V629" s="13">
        <v>614227.7243</v>
      </c>
      <c r="W629" s="13">
        <v>686779.44</v>
      </c>
      <c r="X629" s="13">
        <v>27.952717</v>
      </c>
      <c r="Y629" s="14">
        <f>+Table1[[#This Row],[Generation Cost 
LCOE (USD/MWh)]]+Table1[[#This Row],[Transmission Cost
LCOT (USD/MWh)]]</f>
        <v>70.07355530000001</v>
      </c>
    </row>
    <row r="630" spans="1:25" x14ac:dyDescent="0.3">
      <c r="A630" s="7">
        <v>629</v>
      </c>
      <c r="B630" s="8">
        <v>6934</v>
      </c>
      <c r="C630" s="9">
        <v>48.662956000000001</v>
      </c>
      <c r="D630" s="9">
        <v>-112.7105</v>
      </c>
      <c r="E630" s="10" t="s">
        <v>42</v>
      </c>
      <c r="F630" s="10" t="s">
        <v>3</v>
      </c>
      <c r="G630" s="10" t="s">
        <v>16</v>
      </c>
      <c r="H630" s="10">
        <v>-7</v>
      </c>
      <c r="I630" s="11">
        <v>1239.684211</v>
      </c>
      <c r="J630" s="11">
        <v>3.7428088000000002</v>
      </c>
      <c r="K630" s="11" t="str">
        <f>IF(Table1[[#This Row],[Solar 
Resource]]&lt;3,"Low", IF(Table1[[#This Row],[Solar 
Resource]]&lt;4, "Moderate","High"))</f>
        <v>Moderate</v>
      </c>
      <c r="L630" s="11">
        <v>0.98227315999999998</v>
      </c>
      <c r="M630" s="11">
        <v>71.898510939999994</v>
      </c>
      <c r="N630" s="11">
        <v>2307.1908629999998</v>
      </c>
      <c r="O630" s="11">
        <v>3091.6359699999998</v>
      </c>
      <c r="P630" s="11">
        <f>Table1[[#This Row],[Installed Capacity 
(AC -MW)]]/Table1[[#This Row],[Installed Capacity 
(DC -MW)]]</f>
        <v>0.74626860516181659</v>
      </c>
      <c r="Q630" s="12">
        <v>0.22821253999999999</v>
      </c>
      <c r="R630" s="12">
        <v>0.17030783999999999</v>
      </c>
      <c r="S630" s="13">
        <v>41.882941770000002</v>
      </c>
      <c r="T630" s="11">
        <v>8.2991883089999998</v>
      </c>
      <c r="U630" s="11">
        <v>216.295883</v>
      </c>
      <c r="V630" s="13">
        <v>582463.91729999997</v>
      </c>
      <c r="W630" s="13">
        <v>668017.80000000005</v>
      </c>
      <c r="X630" s="13">
        <v>27.032919</v>
      </c>
      <c r="Y630" s="14">
        <f>+Table1[[#This Row],[Generation Cost 
LCOE (USD/MWh)]]+Table1[[#This Row],[Transmission Cost
LCOT (USD/MWh)]]</f>
        <v>68.915860769999995</v>
      </c>
    </row>
    <row r="631" spans="1:25" x14ac:dyDescent="0.3">
      <c r="A631" s="7">
        <v>630</v>
      </c>
      <c r="B631" s="8">
        <v>6935</v>
      </c>
      <c r="C631" s="9">
        <v>48.680039999999998</v>
      </c>
      <c r="D631" s="9">
        <v>-112.54747</v>
      </c>
      <c r="E631" s="10" t="s">
        <v>42</v>
      </c>
      <c r="F631" s="10" t="s">
        <v>3</v>
      </c>
      <c r="G631" s="10" t="s">
        <v>16</v>
      </c>
      <c r="H631" s="10">
        <v>-7</v>
      </c>
      <c r="I631" s="11">
        <v>1200.0526319999999</v>
      </c>
      <c r="J631" s="11">
        <v>3.7275502999999999</v>
      </c>
      <c r="K631" s="11" t="str">
        <f>IF(Table1[[#This Row],[Solar 
Resource]]&lt;3,"Low", IF(Table1[[#This Row],[Solar 
Resource]]&lt;4, "Moderate","High"))</f>
        <v>Moderate</v>
      </c>
      <c r="L631" s="11">
        <v>0.98234456999999997</v>
      </c>
      <c r="M631" s="11">
        <v>37.552489889999997</v>
      </c>
      <c r="N631" s="11">
        <v>1205.0425029999999</v>
      </c>
      <c r="O631" s="11">
        <v>1614.757065</v>
      </c>
      <c r="P631" s="11">
        <f>Table1[[#This Row],[Installed Capacity 
(AC -MW)]]/Table1[[#This Row],[Installed Capacity 
(DC -MW)]]</f>
        <v>0.74626860542641438</v>
      </c>
      <c r="Q631" s="12">
        <v>0.22649652000000001</v>
      </c>
      <c r="R631" s="12">
        <v>0.16902724999999999</v>
      </c>
      <c r="S631" s="13">
        <v>42.202670959999999</v>
      </c>
      <c r="T631" s="11">
        <v>10.0863961</v>
      </c>
      <c r="U631" s="11">
        <v>203.16118169999999</v>
      </c>
      <c r="V631" s="13">
        <v>550850.91799999995</v>
      </c>
      <c r="W631" s="13">
        <v>640962.4</v>
      </c>
      <c r="X631" s="13">
        <v>26.134573</v>
      </c>
      <c r="Y631" s="14">
        <f>+Table1[[#This Row],[Generation Cost 
LCOE (USD/MWh)]]+Table1[[#This Row],[Transmission Cost
LCOT (USD/MWh)]]</f>
        <v>68.337243959999995</v>
      </c>
    </row>
    <row r="632" spans="1:25" x14ac:dyDescent="0.3">
      <c r="A632" s="7">
        <v>631</v>
      </c>
      <c r="B632" s="8">
        <v>6936</v>
      </c>
      <c r="C632" s="9">
        <v>48.696950000000001</v>
      </c>
      <c r="D632" s="9">
        <v>-112.38435</v>
      </c>
      <c r="E632" s="10" t="s">
        <v>42</v>
      </c>
      <c r="F632" s="10" t="s">
        <v>3</v>
      </c>
      <c r="G632" s="10" t="s">
        <v>16</v>
      </c>
      <c r="H632" s="10">
        <v>-7</v>
      </c>
      <c r="I632" s="11">
        <v>1170.941176</v>
      </c>
      <c r="J632" s="11">
        <v>3.7369667999999998</v>
      </c>
      <c r="K632" s="11" t="str">
        <f>IF(Table1[[#This Row],[Solar 
Resource]]&lt;3,"Low", IF(Table1[[#This Row],[Solar 
Resource]]&lt;4, "Moderate","High"))</f>
        <v>Moderate</v>
      </c>
      <c r="L632" s="11">
        <v>0.98245640000000001</v>
      </c>
      <c r="M632" s="11">
        <v>57.981904100000001</v>
      </c>
      <c r="N632" s="11">
        <v>1860.613212</v>
      </c>
      <c r="O632" s="11">
        <v>2493.2218760000001</v>
      </c>
      <c r="P632" s="11">
        <f>Table1[[#This Row],[Installed Capacity 
(AC -MW)]]/Table1[[#This Row],[Installed Capacity 
(DC -MW)]]</f>
        <v>0.74626860525749694</v>
      </c>
      <c r="Q632" s="12">
        <v>0.22753594999999999</v>
      </c>
      <c r="R632" s="12">
        <v>0.16980295000000001</v>
      </c>
      <c r="S632" s="13">
        <v>42.013634959999997</v>
      </c>
      <c r="T632" s="11">
        <v>8.0867532369999999</v>
      </c>
      <c r="U632" s="11">
        <v>189.40442849999999</v>
      </c>
      <c r="V632" s="13">
        <v>507963.73149999999</v>
      </c>
      <c r="W632" s="13">
        <v>588215.5</v>
      </c>
      <c r="X632" s="13">
        <v>23.874310000000001</v>
      </c>
      <c r="Y632" s="14">
        <f>+Table1[[#This Row],[Generation Cost 
LCOE (USD/MWh)]]+Table1[[#This Row],[Transmission Cost
LCOT (USD/MWh)]]</f>
        <v>65.887944959999999</v>
      </c>
    </row>
    <row r="633" spans="1:25" x14ac:dyDescent="0.3">
      <c r="A633" s="7">
        <v>632</v>
      </c>
      <c r="B633" s="8">
        <v>6937</v>
      </c>
      <c r="C633" s="9">
        <v>48.713700000000003</v>
      </c>
      <c r="D633" s="9">
        <v>-112.22113</v>
      </c>
      <c r="E633" s="10" t="s">
        <v>42</v>
      </c>
      <c r="F633" s="10" t="s">
        <v>3</v>
      </c>
      <c r="G633" s="10" t="s">
        <v>16</v>
      </c>
      <c r="H633" s="10">
        <v>-7</v>
      </c>
      <c r="I633" s="11">
        <v>1174.8947370000001</v>
      </c>
      <c r="J633" s="11">
        <v>3.7448359</v>
      </c>
      <c r="K633" s="11" t="str">
        <f>IF(Table1[[#This Row],[Solar 
Resource]]&lt;3,"Low", IF(Table1[[#This Row],[Solar 
Resource]]&lt;4, "Moderate","High"))</f>
        <v>Moderate</v>
      </c>
      <c r="L633" s="11">
        <v>0.98249580000000003</v>
      </c>
      <c r="M633" s="11">
        <v>42.272519680000002</v>
      </c>
      <c r="N633" s="11">
        <v>1356.506296</v>
      </c>
      <c r="O633" s="11">
        <v>1817.7183460000001</v>
      </c>
      <c r="P633" s="11">
        <f>Table1[[#This Row],[Installed Capacity 
(AC -MW)]]/Table1[[#This Row],[Installed Capacity 
(DC -MW)]]</f>
        <v>0.74626869392888873</v>
      </c>
      <c r="Q633" s="12">
        <v>0.22865365000000001</v>
      </c>
      <c r="R633" s="12">
        <v>0.17063706000000001</v>
      </c>
      <c r="S633" s="13">
        <v>41.809578360000003</v>
      </c>
      <c r="T633" s="11">
        <v>3.9882337649999999</v>
      </c>
      <c r="U633" s="11">
        <v>195.3172921</v>
      </c>
      <c r="V633" s="13">
        <v>521725.29340000002</v>
      </c>
      <c r="W633" s="13">
        <v>581178.25</v>
      </c>
      <c r="X633" s="13">
        <v>23.473379999999999</v>
      </c>
      <c r="Y633" s="14">
        <f>+Table1[[#This Row],[Generation Cost 
LCOE (USD/MWh)]]+Table1[[#This Row],[Transmission Cost
LCOT (USD/MWh)]]</f>
        <v>65.282958360000009</v>
      </c>
    </row>
    <row r="634" spans="1:25" x14ac:dyDescent="0.3">
      <c r="A634" s="7">
        <v>633</v>
      </c>
      <c r="B634" s="8">
        <v>6938</v>
      </c>
      <c r="C634" s="9">
        <v>48.73028</v>
      </c>
      <c r="D634" s="9">
        <v>-112.0578</v>
      </c>
      <c r="E634" s="10" t="s">
        <v>42</v>
      </c>
      <c r="F634" s="10" t="s">
        <v>3</v>
      </c>
      <c r="G634" s="10" t="s">
        <v>39</v>
      </c>
      <c r="H634" s="10">
        <v>-7</v>
      </c>
      <c r="I634" s="11">
        <v>1076.5999999999999</v>
      </c>
      <c r="J634" s="11">
        <v>3.7492684999999999</v>
      </c>
      <c r="K634" s="11" t="str">
        <f>IF(Table1[[#This Row],[Solar 
Resource]]&lt;3,"Low", IF(Table1[[#This Row],[Solar 
Resource]]&lt;4, "Moderate","High"))</f>
        <v>Moderate</v>
      </c>
      <c r="L634" s="11">
        <v>0.98255990000000004</v>
      </c>
      <c r="M634" s="11">
        <v>71.868222950000003</v>
      </c>
      <c r="N634" s="11">
        <v>2306.2189349999999</v>
      </c>
      <c r="O634" s="11">
        <v>3090.3335870000001</v>
      </c>
      <c r="P634" s="11">
        <f>Table1[[#This Row],[Installed Capacity 
(AC -MW)]]/Table1[[#This Row],[Installed Capacity 
(DC -MW)]]</f>
        <v>0.74626860501451742</v>
      </c>
      <c r="Q634" s="12">
        <v>0.22899786999999999</v>
      </c>
      <c r="R634" s="12">
        <v>0.17089394999999999</v>
      </c>
      <c r="S634" s="13">
        <v>41.748861009999999</v>
      </c>
      <c r="T634" s="11">
        <v>13.1421948</v>
      </c>
      <c r="U634" s="11">
        <v>217.2602986</v>
      </c>
      <c r="V634" s="13">
        <v>579755.02579999994</v>
      </c>
      <c r="W634" s="13">
        <v>666626.06000000006</v>
      </c>
      <c r="X634" s="13">
        <v>26.884084999999999</v>
      </c>
      <c r="Y634" s="14">
        <f>+Table1[[#This Row],[Generation Cost 
LCOE (USD/MWh)]]+Table1[[#This Row],[Transmission Cost
LCOT (USD/MWh)]]</f>
        <v>68.632946009999998</v>
      </c>
    </row>
    <row r="635" spans="1:25" x14ac:dyDescent="0.3">
      <c r="A635" s="7">
        <v>634</v>
      </c>
      <c r="B635" s="8">
        <v>6939</v>
      </c>
      <c r="C635" s="9">
        <v>48.746696</v>
      </c>
      <c r="D635" s="9">
        <v>-111.89438</v>
      </c>
      <c r="E635" s="10" t="s">
        <v>42</v>
      </c>
      <c r="F635" s="10" t="s">
        <v>3</v>
      </c>
      <c r="G635" s="10" t="s">
        <v>39</v>
      </c>
      <c r="H635" s="10">
        <v>-7</v>
      </c>
      <c r="I635" s="11">
        <v>1044.421053</v>
      </c>
      <c r="J635" s="11">
        <v>3.7282790000000001</v>
      </c>
      <c r="K635" s="11" t="str">
        <f>IF(Table1[[#This Row],[Solar 
Resource]]&lt;3,"Low", IF(Table1[[#This Row],[Solar 
Resource]]&lt;4, "Moderate","High"))</f>
        <v>Moderate</v>
      </c>
      <c r="L635" s="11">
        <v>0.98259156999999997</v>
      </c>
      <c r="M635" s="11">
        <v>62.158431010000001</v>
      </c>
      <c r="N635" s="11">
        <v>1994.6360810000001</v>
      </c>
      <c r="O635" s="11">
        <v>2672.8125329999998</v>
      </c>
      <c r="P635" s="11">
        <f>Table1[[#This Row],[Installed Capacity 
(AC -MW)]]/Table1[[#This Row],[Installed Capacity 
(DC -MW)]]</f>
        <v>0.7462686052138473</v>
      </c>
      <c r="Q635" s="12">
        <v>0.22705764000000001</v>
      </c>
      <c r="R635" s="12">
        <v>0.16944600000000001</v>
      </c>
      <c r="S635" s="13">
        <v>42.106681450000004</v>
      </c>
      <c r="T635" s="11">
        <v>16.942480499999999</v>
      </c>
      <c r="U635" s="11">
        <v>225.32411680000001</v>
      </c>
      <c r="V635" s="13">
        <v>600320.38060000003</v>
      </c>
      <c r="W635" s="13">
        <v>715888.56</v>
      </c>
      <c r="X635" s="13">
        <v>29.117476</v>
      </c>
      <c r="Y635" s="14">
        <f>+Table1[[#This Row],[Generation Cost 
LCOE (USD/MWh)]]+Table1[[#This Row],[Transmission Cost
LCOT (USD/MWh)]]</f>
        <v>71.224157450000007</v>
      </c>
    </row>
    <row r="636" spans="1:25" x14ac:dyDescent="0.3">
      <c r="A636" s="7">
        <v>635</v>
      </c>
      <c r="B636" s="8">
        <v>6940</v>
      </c>
      <c r="C636" s="9">
        <v>48.762946999999997</v>
      </c>
      <c r="D636" s="9">
        <v>-111.73086499999999</v>
      </c>
      <c r="E636" s="10" t="s">
        <v>42</v>
      </c>
      <c r="F636" s="10" t="s">
        <v>3</v>
      </c>
      <c r="G636" s="10" t="s">
        <v>39</v>
      </c>
      <c r="H636" s="10">
        <v>-7</v>
      </c>
      <c r="I636" s="11">
        <v>1071.941176</v>
      </c>
      <c r="J636" s="11">
        <v>3.7355193999999998</v>
      </c>
      <c r="K636" s="11" t="str">
        <f>IF(Table1[[#This Row],[Solar 
Resource]]&lt;3,"Low", IF(Table1[[#This Row],[Solar 
Resource]]&lt;4, "Moderate","High"))</f>
        <v>Moderate</v>
      </c>
      <c r="L636" s="11">
        <v>0.98258920000000005</v>
      </c>
      <c r="M636" s="11">
        <v>47.461139209999999</v>
      </c>
      <c r="N636" s="11">
        <v>1523.006601</v>
      </c>
      <c r="O636" s="11">
        <v>2040.828986</v>
      </c>
      <c r="P636" s="11">
        <f>Table1[[#This Row],[Installed Capacity 
(AC -MW)]]/Table1[[#This Row],[Installed Capacity 
(DC -MW)]]</f>
        <v>0.74626860528136385</v>
      </c>
      <c r="Q636" s="12">
        <v>0.22751895</v>
      </c>
      <c r="R636" s="12">
        <v>0.16979025</v>
      </c>
      <c r="S636" s="13">
        <v>42.021226290000001</v>
      </c>
      <c r="T636" s="11">
        <v>26.564532440000001</v>
      </c>
      <c r="U636" s="11">
        <v>225.32411680000001</v>
      </c>
      <c r="V636" s="13">
        <v>600320.38060000003</v>
      </c>
      <c r="W636" s="13">
        <v>757837.75</v>
      </c>
      <c r="X636" s="13">
        <v>30.761187</v>
      </c>
      <c r="Y636" s="14">
        <f>+Table1[[#This Row],[Generation Cost 
LCOE (USD/MWh)]]+Table1[[#This Row],[Transmission Cost
LCOT (USD/MWh)]]</f>
        <v>72.782413289999994</v>
      </c>
    </row>
    <row r="637" spans="1:25" x14ac:dyDescent="0.3">
      <c r="A637" s="7">
        <v>636</v>
      </c>
      <c r="B637" s="8">
        <v>6941</v>
      </c>
      <c r="C637" s="9">
        <v>48.779034000000003</v>
      </c>
      <c r="D637" s="9">
        <v>-111.56726</v>
      </c>
      <c r="E637" s="10" t="s">
        <v>42</v>
      </c>
      <c r="F637" s="10" t="s">
        <v>3</v>
      </c>
      <c r="G637" s="10" t="s">
        <v>39</v>
      </c>
      <c r="H637" s="10">
        <v>-7</v>
      </c>
      <c r="I637" s="11">
        <v>1074.736842</v>
      </c>
      <c r="J637" s="11">
        <v>3.7464385</v>
      </c>
      <c r="K637" s="11" t="str">
        <f>IF(Table1[[#This Row],[Solar 
Resource]]&lt;3,"Low", IF(Table1[[#This Row],[Solar 
Resource]]&lt;4, "Moderate","High"))</f>
        <v>Moderate</v>
      </c>
      <c r="L637" s="11">
        <v>0.98256089999999996</v>
      </c>
      <c r="M637" s="11">
        <v>52.998458200000002</v>
      </c>
      <c r="N637" s="11">
        <v>1700.6966749999999</v>
      </c>
      <c r="O637" s="11">
        <v>2278.9337030000002</v>
      </c>
      <c r="P637" s="11">
        <f>Table1[[#This Row],[Installed Capacity 
(AC -MW)]]/Table1[[#This Row],[Installed Capacity 
(DC -MW)]]</f>
        <v>0.74626860481338009</v>
      </c>
      <c r="Q637" s="12">
        <v>0.22858556999999999</v>
      </c>
      <c r="R637" s="12">
        <v>0.17058624</v>
      </c>
      <c r="S637" s="13">
        <v>41.824207250000001</v>
      </c>
      <c r="T637" s="11">
        <v>38.10637011</v>
      </c>
      <c r="U637" s="11">
        <v>225.32411680000001</v>
      </c>
      <c r="V637" s="13">
        <v>600320.38060000003</v>
      </c>
      <c r="W637" s="13">
        <v>807668.6</v>
      </c>
      <c r="X637" s="13">
        <v>32.630882</v>
      </c>
      <c r="Y637" s="14">
        <f>+Table1[[#This Row],[Generation Cost 
LCOE (USD/MWh)]]+Table1[[#This Row],[Transmission Cost
LCOT (USD/MWh)]]</f>
        <v>74.45508925</v>
      </c>
    </row>
    <row r="638" spans="1:25" x14ac:dyDescent="0.3">
      <c r="A638" s="7">
        <v>637</v>
      </c>
      <c r="B638" s="8">
        <v>6942</v>
      </c>
      <c r="C638" s="9">
        <v>48.794952000000002</v>
      </c>
      <c r="D638" s="9">
        <v>-111.403564</v>
      </c>
      <c r="E638" s="10" t="s">
        <v>42</v>
      </c>
      <c r="F638" s="10" t="s">
        <v>3</v>
      </c>
      <c r="G638" s="10" t="s">
        <v>39</v>
      </c>
      <c r="H638" s="10">
        <v>-7</v>
      </c>
      <c r="I638" s="11">
        <v>1166.1500000000001</v>
      </c>
      <c r="J638" s="11">
        <v>3.762165</v>
      </c>
      <c r="K638" s="11" t="str">
        <f>IF(Table1[[#This Row],[Solar 
Resource]]&lt;3,"Low", IF(Table1[[#This Row],[Solar 
Resource]]&lt;4, "Moderate","High"))</f>
        <v>Moderate</v>
      </c>
      <c r="L638" s="11">
        <v>0.98246383999999998</v>
      </c>
      <c r="M638" s="11">
        <v>94.470790429999994</v>
      </c>
      <c r="N638" s="11">
        <v>3031.5247939999999</v>
      </c>
      <c r="O638" s="11">
        <v>4062.2439880000002</v>
      </c>
      <c r="P638" s="11">
        <f>Table1[[#This Row],[Installed Capacity 
(AC -MW)]]/Table1[[#This Row],[Installed Capacity 
(DC -MW)]]</f>
        <v>0.74626851635579305</v>
      </c>
      <c r="Q638" s="12">
        <v>0.23035591999999999</v>
      </c>
      <c r="R638" s="12">
        <v>0.17190741000000001</v>
      </c>
      <c r="S638" s="13">
        <v>41.499549330000001</v>
      </c>
      <c r="T638" s="11">
        <v>42.832694779999997</v>
      </c>
      <c r="U638" s="11">
        <v>219.5155973</v>
      </c>
      <c r="V638" s="13">
        <v>572980.61820000003</v>
      </c>
      <c r="W638" s="13">
        <v>789743.94</v>
      </c>
      <c r="X638" s="13">
        <v>31.661490000000001</v>
      </c>
      <c r="Y638" s="14">
        <f>+Table1[[#This Row],[Generation Cost 
LCOE (USD/MWh)]]+Table1[[#This Row],[Transmission Cost
LCOT (USD/MWh)]]</f>
        <v>73.161039329999994</v>
      </c>
    </row>
    <row r="639" spans="1:25" x14ac:dyDescent="0.3">
      <c r="A639" s="7">
        <v>638</v>
      </c>
      <c r="B639" s="8">
        <v>6943</v>
      </c>
      <c r="C639" s="9">
        <v>48.810707000000001</v>
      </c>
      <c r="D639" s="9">
        <v>-111.23976999999999</v>
      </c>
      <c r="E639" s="10" t="s">
        <v>42</v>
      </c>
      <c r="F639" s="10" t="s">
        <v>3</v>
      </c>
      <c r="G639" s="10" t="s">
        <v>26</v>
      </c>
      <c r="H639" s="10">
        <v>-7</v>
      </c>
      <c r="I639" s="11">
        <v>1284.0625</v>
      </c>
      <c r="J639" s="11">
        <v>3.7454649999999998</v>
      </c>
      <c r="K639" s="11" t="str">
        <f>IF(Table1[[#This Row],[Solar 
Resource]]&lt;3,"Low", IF(Table1[[#This Row],[Solar 
Resource]]&lt;4, "Moderate","High"))</f>
        <v>Moderate</v>
      </c>
      <c r="L639" s="11">
        <v>0.98236935999999997</v>
      </c>
      <c r="M639" s="11">
        <v>71.825943159999994</v>
      </c>
      <c r="N639" s="11">
        <v>2304.862196</v>
      </c>
      <c r="O639" s="11">
        <v>3088.5155559999998</v>
      </c>
      <c r="P639" s="11">
        <f>Table1[[#This Row],[Installed Capacity 
(AC -MW)]]/Table1[[#This Row],[Installed Capacity 
(DC -MW)]]</f>
        <v>0.74626860516288762</v>
      </c>
      <c r="Q639" s="12">
        <v>0.22923513000000001</v>
      </c>
      <c r="R639" s="12">
        <v>0.17107098000000001</v>
      </c>
      <c r="S639" s="13">
        <v>41.699310339999997</v>
      </c>
      <c r="T639" s="11">
        <v>40.374915569999999</v>
      </c>
      <c r="U639" s="11">
        <v>222.70927259999999</v>
      </c>
      <c r="V639" s="13">
        <v>580943.85210000002</v>
      </c>
      <c r="W639" s="13">
        <v>769950.2</v>
      </c>
      <c r="X639" s="13">
        <v>31.018861999999999</v>
      </c>
      <c r="Y639" s="14">
        <f>+Table1[[#This Row],[Generation Cost 
LCOE (USD/MWh)]]+Table1[[#This Row],[Transmission Cost
LCOT (USD/MWh)]]</f>
        <v>72.718172339999995</v>
      </c>
    </row>
    <row r="640" spans="1:25" x14ac:dyDescent="0.3">
      <c r="A640" s="7">
        <v>639</v>
      </c>
      <c r="B640" s="8">
        <v>6944</v>
      </c>
      <c r="C640" s="9">
        <v>48.826286000000003</v>
      </c>
      <c r="D640" s="9">
        <v>-111.07588</v>
      </c>
      <c r="E640" s="10" t="s">
        <v>42</v>
      </c>
      <c r="F640" s="10" t="s">
        <v>3</v>
      </c>
      <c r="G640" s="10" t="s">
        <v>26</v>
      </c>
      <c r="H640" s="10">
        <v>-7</v>
      </c>
      <c r="I640" s="11">
        <v>1290</v>
      </c>
      <c r="J640" s="11">
        <v>3.752319</v>
      </c>
      <c r="K640" s="11" t="str">
        <f>IF(Table1[[#This Row],[Solar 
Resource]]&lt;3,"Low", IF(Table1[[#This Row],[Solar 
Resource]]&lt;4, "Moderate","High"))</f>
        <v>Moderate</v>
      </c>
      <c r="L640" s="11">
        <v>0.98223453999999999</v>
      </c>
      <c r="M640" s="11">
        <v>69.476128419999995</v>
      </c>
      <c r="N640" s="11">
        <v>2229.4576980000002</v>
      </c>
      <c r="O640" s="11">
        <v>2987.4735219999998</v>
      </c>
      <c r="P640" s="11">
        <f>Table1[[#This Row],[Installed Capacity 
(AC -MW)]]/Table1[[#This Row],[Installed Capacity 
(DC -MW)]]</f>
        <v>0.74626860508790827</v>
      </c>
      <c r="Q640" s="12">
        <v>0.22975886000000001</v>
      </c>
      <c r="R640" s="12">
        <v>0.17146185</v>
      </c>
      <c r="S640" s="13">
        <v>41.599773110000001</v>
      </c>
      <c r="T640" s="11">
        <v>41.695129860000002</v>
      </c>
      <c r="U640" s="11">
        <v>222.70927259999999</v>
      </c>
      <c r="V640" s="13">
        <v>580943.85210000002</v>
      </c>
      <c r="W640" s="13">
        <v>781780.25</v>
      </c>
      <c r="X640" s="13">
        <v>31.423663999999999</v>
      </c>
      <c r="Y640" s="14">
        <f>+Table1[[#This Row],[Generation Cost 
LCOE (USD/MWh)]]+Table1[[#This Row],[Transmission Cost
LCOT (USD/MWh)]]</f>
        <v>73.023437110000003</v>
      </c>
    </row>
    <row r="641" spans="1:25" x14ac:dyDescent="0.3">
      <c r="A641" s="7">
        <v>640</v>
      </c>
      <c r="B641" s="8">
        <v>6945</v>
      </c>
      <c r="C641" s="9">
        <v>48.841704999999997</v>
      </c>
      <c r="D641" s="9">
        <v>-110.9119</v>
      </c>
      <c r="E641" s="10" t="s">
        <v>42</v>
      </c>
      <c r="F641" s="10" t="s">
        <v>3</v>
      </c>
      <c r="G641" s="10" t="s">
        <v>26</v>
      </c>
      <c r="H641" s="10">
        <v>-7</v>
      </c>
      <c r="I641" s="11">
        <v>1070.526316</v>
      </c>
      <c r="J641" s="11">
        <v>3.7456697999999999</v>
      </c>
      <c r="K641" s="11" t="str">
        <f>IF(Table1[[#This Row],[Solar 
Resource]]&lt;3,"Low", IF(Table1[[#This Row],[Solar 
Resource]]&lt;4, "Moderate","High"))</f>
        <v>Moderate</v>
      </c>
      <c r="L641" s="11">
        <v>0.98198812999999996</v>
      </c>
      <c r="M641" s="11">
        <v>57.100787840000002</v>
      </c>
      <c r="N641" s="11">
        <v>1832.3385880000001</v>
      </c>
      <c r="O641" s="11">
        <v>2455.333877</v>
      </c>
      <c r="P641" s="11">
        <f>Table1[[#This Row],[Installed Capacity 
(AC -MW)]]/Table1[[#This Row],[Installed Capacity 
(DC -MW)]]</f>
        <v>0.74626860532662298</v>
      </c>
      <c r="Q641" s="12">
        <v>0.22886989999999999</v>
      </c>
      <c r="R641" s="12">
        <v>0.17079844999999999</v>
      </c>
      <c r="S641" s="13">
        <v>41.753131230000001</v>
      </c>
      <c r="T641" s="11">
        <v>40.522935060000002</v>
      </c>
      <c r="U641" s="11">
        <v>248.6803634</v>
      </c>
      <c r="V641" s="13">
        <v>622544.8077</v>
      </c>
      <c r="W641" s="13">
        <v>829226.5</v>
      </c>
      <c r="X641" s="13">
        <v>33.460228000000001</v>
      </c>
      <c r="Y641" s="14">
        <f>+Table1[[#This Row],[Generation Cost 
LCOE (USD/MWh)]]+Table1[[#This Row],[Transmission Cost
LCOT (USD/MWh)]]</f>
        <v>75.213359230000009</v>
      </c>
    </row>
    <row r="642" spans="1:25" x14ac:dyDescent="0.3">
      <c r="A642" s="7">
        <v>641</v>
      </c>
      <c r="B642" s="8">
        <v>6946</v>
      </c>
      <c r="C642" s="9">
        <v>48.856963999999998</v>
      </c>
      <c r="D642" s="9">
        <v>-110.74784</v>
      </c>
      <c r="E642" s="10" t="s">
        <v>42</v>
      </c>
      <c r="F642" s="10" t="s">
        <v>3</v>
      </c>
      <c r="G642" s="10" t="s">
        <v>19</v>
      </c>
      <c r="H642" s="10">
        <v>-7</v>
      </c>
      <c r="I642" s="11">
        <v>967.77777779999997</v>
      </c>
      <c r="J642" s="11">
        <v>3.7429009999999998</v>
      </c>
      <c r="K642" s="11" t="str">
        <f>IF(Table1[[#This Row],[Solar 
Resource]]&lt;3,"Low", IF(Table1[[#This Row],[Solar 
Resource]]&lt;4, "Moderate","High"))</f>
        <v>Moderate</v>
      </c>
      <c r="L642" s="11">
        <v>0.98070824000000001</v>
      </c>
      <c r="M642" s="11">
        <v>57.379909570000002</v>
      </c>
      <c r="N642" s="11">
        <v>1841.295697</v>
      </c>
      <c r="O642" s="11">
        <v>2467.336112</v>
      </c>
      <c r="P642" s="11">
        <f>Table1[[#This Row],[Installed Capacity 
(AC -MW)]]/Table1[[#This Row],[Installed Capacity 
(DC -MW)]]</f>
        <v>0.7462686936103986</v>
      </c>
      <c r="Q642" s="12">
        <v>0.22863244999999999</v>
      </c>
      <c r="R642" s="12">
        <v>0.17062121999999999</v>
      </c>
      <c r="S642" s="13">
        <v>41.75373467</v>
      </c>
      <c r="T642" s="11">
        <v>42.543961029999998</v>
      </c>
      <c r="U642" s="11">
        <v>239.42845439999999</v>
      </c>
      <c r="V642" s="13">
        <v>600424.26329999999</v>
      </c>
      <c r="W642" s="13">
        <v>811620.56</v>
      </c>
      <c r="X642" s="13">
        <v>32.783819999999999</v>
      </c>
      <c r="Y642" s="14">
        <f>+Table1[[#This Row],[Generation Cost 
LCOE (USD/MWh)]]+Table1[[#This Row],[Transmission Cost
LCOT (USD/MWh)]]</f>
        <v>74.537554669999992</v>
      </c>
    </row>
    <row r="643" spans="1:25" x14ac:dyDescent="0.3">
      <c r="A643" s="7">
        <v>642</v>
      </c>
      <c r="B643" s="8">
        <v>6947</v>
      </c>
      <c r="C643" s="9">
        <v>48.872047000000002</v>
      </c>
      <c r="D643" s="9">
        <v>-110.58368</v>
      </c>
      <c r="E643" s="10" t="s">
        <v>42</v>
      </c>
      <c r="F643" s="10" t="s">
        <v>3</v>
      </c>
      <c r="G643" s="10" t="s">
        <v>19</v>
      </c>
      <c r="H643" s="10">
        <v>-7</v>
      </c>
      <c r="I643" s="11">
        <v>923.35</v>
      </c>
      <c r="J643" s="11">
        <v>3.7346745000000001</v>
      </c>
      <c r="K643" s="11" t="str">
        <f>IF(Table1[[#This Row],[Solar 
Resource]]&lt;3,"Low", IF(Table1[[#This Row],[Solar 
Resource]]&lt;4, "Moderate","High"))</f>
        <v>Moderate</v>
      </c>
      <c r="L643" s="11">
        <v>0.98031520000000005</v>
      </c>
      <c r="M643" s="11">
        <v>57.71030889</v>
      </c>
      <c r="N643" s="11">
        <v>1851.8978440000001</v>
      </c>
      <c r="O643" s="11">
        <v>2481.5432820000001</v>
      </c>
      <c r="P643" s="11">
        <f>Table1[[#This Row],[Installed Capacity 
(AC -MW)]]/Table1[[#This Row],[Installed Capacity 
(DC -MW)]]</f>
        <v>0.74626860527996219</v>
      </c>
      <c r="Q643" s="12">
        <v>0.22787403000000001</v>
      </c>
      <c r="R643" s="12">
        <v>0.17005526000000001</v>
      </c>
      <c r="S643" s="13">
        <v>41.879525399999999</v>
      </c>
      <c r="T643" s="11">
        <v>44.234772720000002</v>
      </c>
      <c r="U643" s="11">
        <v>223.87919460000001</v>
      </c>
      <c r="V643" s="13">
        <v>563673.65949999995</v>
      </c>
      <c r="W643" s="13">
        <v>782256.75</v>
      </c>
      <c r="X643" s="13">
        <v>31.702891999999999</v>
      </c>
      <c r="Y643" s="14">
        <f>+Table1[[#This Row],[Generation Cost 
LCOE (USD/MWh)]]+Table1[[#This Row],[Transmission Cost
LCOT (USD/MWh)]]</f>
        <v>73.582417399999997</v>
      </c>
    </row>
    <row r="644" spans="1:25" x14ac:dyDescent="0.3">
      <c r="A644" s="7">
        <v>643</v>
      </c>
      <c r="B644" s="8">
        <v>6948</v>
      </c>
      <c r="C644" s="9">
        <v>48.886966999999999</v>
      </c>
      <c r="D644" s="9">
        <v>-110.41943000000001</v>
      </c>
      <c r="E644" s="10" t="s">
        <v>42</v>
      </c>
      <c r="F644" s="10" t="s">
        <v>3</v>
      </c>
      <c r="G644" s="10" t="s">
        <v>19</v>
      </c>
      <c r="H644" s="10">
        <v>-7</v>
      </c>
      <c r="I644" s="11">
        <v>890.33333330000005</v>
      </c>
      <c r="J644" s="11">
        <v>3.7421844000000002</v>
      </c>
      <c r="K644" s="11" t="str">
        <f>IF(Table1[[#This Row],[Solar 
Resource]]&lt;3,"Low", IF(Table1[[#This Row],[Solar 
Resource]]&lt;4, "Moderate","High"))</f>
        <v>Moderate</v>
      </c>
      <c r="L644" s="11">
        <v>0.97998629999999998</v>
      </c>
      <c r="M644" s="11">
        <v>63.301579099999998</v>
      </c>
      <c r="N644" s="11">
        <v>2031.3191890000001</v>
      </c>
      <c r="O644" s="11">
        <v>2721.967901</v>
      </c>
      <c r="P644" s="11">
        <f>Table1[[#This Row],[Installed Capacity 
(AC -MW)]]/Table1[[#This Row],[Installed Capacity 
(DC -MW)]]</f>
        <v>0.74626860524465832</v>
      </c>
      <c r="Q644" s="12">
        <v>0.22842656</v>
      </c>
      <c r="R644" s="12">
        <v>0.17046759</v>
      </c>
      <c r="S644" s="13">
        <v>41.767218909999997</v>
      </c>
      <c r="T644" s="11">
        <v>45.982051939999998</v>
      </c>
      <c r="U644" s="11">
        <v>212.1008894</v>
      </c>
      <c r="V644" s="13">
        <v>535678.96059999999</v>
      </c>
      <c r="W644" s="13">
        <v>764083</v>
      </c>
      <c r="X644" s="13">
        <v>30.891452999999998</v>
      </c>
      <c r="Y644" s="14">
        <f>+Table1[[#This Row],[Generation Cost 
LCOE (USD/MWh)]]+Table1[[#This Row],[Transmission Cost
LCOT (USD/MWh)]]</f>
        <v>72.658671909999995</v>
      </c>
    </row>
    <row r="645" spans="1:25" x14ac:dyDescent="0.3">
      <c r="A645" s="7">
        <v>644</v>
      </c>
      <c r="B645" s="8">
        <v>6949</v>
      </c>
      <c r="C645" s="9">
        <v>48.901713999999998</v>
      </c>
      <c r="D645" s="9">
        <v>-110.25511</v>
      </c>
      <c r="E645" s="10" t="s">
        <v>42</v>
      </c>
      <c r="F645" s="10" t="s">
        <v>3</v>
      </c>
      <c r="G645" s="10" t="s">
        <v>19</v>
      </c>
      <c r="H645" s="10">
        <v>-7</v>
      </c>
      <c r="I645" s="11">
        <v>848.11111110000002</v>
      </c>
      <c r="J645" s="11">
        <v>3.7313342</v>
      </c>
      <c r="K645" s="11" t="str">
        <f>IF(Table1[[#This Row],[Solar 
Resource]]&lt;3,"Low", IF(Table1[[#This Row],[Solar 
Resource]]&lt;4, "Moderate","High"))</f>
        <v>Moderate</v>
      </c>
      <c r="L645" s="11">
        <v>0.97962150000000003</v>
      </c>
      <c r="M645" s="11">
        <v>49.074818989999997</v>
      </c>
      <c r="N645" s="11">
        <v>1574.7890460000001</v>
      </c>
      <c r="O645" s="11">
        <v>2110.2172169999999</v>
      </c>
      <c r="P645" s="11">
        <f>Table1[[#This Row],[Installed Capacity 
(AC -MW)]]/Table1[[#This Row],[Installed Capacity 
(DC -MW)]]</f>
        <v>0.74626869372187488</v>
      </c>
      <c r="Q645" s="12">
        <v>0.22745551</v>
      </c>
      <c r="R645" s="12">
        <v>0.16974292999999999</v>
      </c>
      <c r="S645" s="13">
        <v>41.933282040000002</v>
      </c>
      <c r="T645" s="11">
        <v>47.972194799999997</v>
      </c>
      <c r="U645" s="11">
        <v>204.0562596</v>
      </c>
      <c r="V645" s="13">
        <v>514912.26809999999</v>
      </c>
      <c r="W645" s="13">
        <v>753875.9</v>
      </c>
      <c r="X645" s="13">
        <v>30.608906000000001</v>
      </c>
      <c r="Y645" s="14">
        <f>+Table1[[#This Row],[Generation Cost 
LCOE (USD/MWh)]]+Table1[[#This Row],[Transmission Cost
LCOT (USD/MWh)]]</f>
        <v>72.542188039999999</v>
      </c>
    </row>
    <row r="646" spans="1:25" x14ac:dyDescent="0.3">
      <c r="A646" s="7">
        <v>645</v>
      </c>
      <c r="B646" s="8">
        <v>6950</v>
      </c>
      <c r="C646" s="9">
        <v>48.916297999999998</v>
      </c>
      <c r="D646" s="9">
        <v>-110.09068000000001</v>
      </c>
      <c r="E646" s="10" t="s">
        <v>42</v>
      </c>
      <c r="F646" s="10" t="s">
        <v>3</v>
      </c>
      <c r="G646" s="10" t="s">
        <v>19</v>
      </c>
      <c r="H646" s="10">
        <v>-7</v>
      </c>
      <c r="I646" s="11">
        <v>852.85</v>
      </c>
      <c r="J646" s="11">
        <v>3.7202654000000002</v>
      </c>
      <c r="K646" s="11" t="str">
        <f>IF(Table1[[#This Row],[Solar 
Resource]]&lt;3,"Low", IF(Table1[[#This Row],[Solar 
Resource]]&lt;4, "Moderate","High"))</f>
        <v>Moderate</v>
      </c>
      <c r="L646" s="11">
        <v>0.97915039999999998</v>
      </c>
      <c r="M646" s="11">
        <v>89.062497949999994</v>
      </c>
      <c r="N646" s="11">
        <v>2857.9754830000002</v>
      </c>
      <c r="O646" s="11">
        <v>3829.6874120000002</v>
      </c>
      <c r="P646" s="11">
        <f>Table1[[#This Row],[Installed Capacity 
(AC -MW)]]/Table1[[#This Row],[Installed Capacity 
(DC -MW)]]</f>
        <v>0.74626860512029691</v>
      </c>
      <c r="Q646" s="12">
        <v>0.22696252</v>
      </c>
      <c r="R646" s="12">
        <v>0.16937501999999999</v>
      </c>
      <c r="S646" s="13">
        <v>42.008509750000002</v>
      </c>
      <c r="T646" s="11">
        <v>50.163077909999998</v>
      </c>
      <c r="U646" s="11">
        <v>187.78699979999999</v>
      </c>
      <c r="V646" s="13">
        <v>473855.58519999997</v>
      </c>
      <c r="W646" s="13">
        <v>721825.06</v>
      </c>
      <c r="X646" s="13">
        <v>29.371237000000001</v>
      </c>
      <c r="Y646" s="14">
        <f>+Table1[[#This Row],[Generation Cost 
LCOE (USD/MWh)]]+Table1[[#This Row],[Transmission Cost
LCOT (USD/MWh)]]</f>
        <v>71.37974675000001</v>
      </c>
    </row>
    <row r="647" spans="1:25" x14ac:dyDescent="0.3">
      <c r="A647" s="7">
        <v>646</v>
      </c>
      <c r="B647" s="8">
        <v>6951</v>
      </c>
      <c r="C647" s="9">
        <v>48.930714000000002</v>
      </c>
      <c r="D647" s="9">
        <v>-109.92618</v>
      </c>
      <c r="E647" s="10" t="s">
        <v>42</v>
      </c>
      <c r="F647" s="10" t="s">
        <v>3</v>
      </c>
      <c r="G647" s="10" t="s">
        <v>19</v>
      </c>
      <c r="H647" s="10">
        <v>-7</v>
      </c>
      <c r="I647" s="11">
        <v>866.58823529999995</v>
      </c>
      <c r="J647" s="11">
        <v>3.7221549999999999</v>
      </c>
      <c r="K647" s="11" t="str">
        <f>IF(Table1[[#This Row],[Solar 
Resource]]&lt;3,"Low", IF(Table1[[#This Row],[Solar 
Resource]]&lt;4, "Moderate","High"))</f>
        <v>Moderate</v>
      </c>
      <c r="L647" s="11">
        <v>0.97867124999999999</v>
      </c>
      <c r="M647" s="11">
        <v>79.484817480000004</v>
      </c>
      <c r="N647" s="11">
        <v>2550.6320260000002</v>
      </c>
      <c r="O647" s="11">
        <v>3417.8471519999998</v>
      </c>
      <c r="P647" s="11">
        <f>Table1[[#This Row],[Installed Capacity 
(AC -MW)]]/Table1[[#This Row],[Installed Capacity 
(DC -MW)]]</f>
        <v>0.74626860493379965</v>
      </c>
      <c r="Q647" s="12">
        <v>0.2270596</v>
      </c>
      <c r="R647" s="12">
        <v>0.16944746999999999</v>
      </c>
      <c r="S647" s="13">
        <v>41.974424740000003</v>
      </c>
      <c r="T647" s="11">
        <v>50.239831150000001</v>
      </c>
      <c r="U647" s="11">
        <v>204.8439673</v>
      </c>
      <c r="V647" s="13">
        <v>523869.80869999999</v>
      </c>
      <c r="W647" s="13">
        <v>774585.9</v>
      </c>
      <c r="X647" s="13">
        <v>31.50461</v>
      </c>
      <c r="Y647" s="14">
        <f>+Table1[[#This Row],[Generation Cost 
LCOE (USD/MWh)]]+Table1[[#This Row],[Transmission Cost
LCOT (USD/MWh)]]</f>
        <v>73.479034740000003</v>
      </c>
    </row>
    <row r="648" spans="1:25" x14ac:dyDescent="0.3">
      <c r="A648" s="7">
        <v>647</v>
      </c>
      <c r="B648" s="8">
        <v>6952</v>
      </c>
      <c r="C648" s="9">
        <v>48.944960000000002</v>
      </c>
      <c r="D648" s="9">
        <v>-109.7616</v>
      </c>
      <c r="E648" s="10" t="s">
        <v>42</v>
      </c>
      <c r="F648" s="10" t="s">
        <v>3</v>
      </c>
      <c r="G648" s="10" t="s">
        <v>19</v>
      </c>
      <c r="H648" s="10">
        <v>-7</v>
      </c>
      <c r="I648" s="11">
        <v>854.64705879999997</v>
      </c>
      <c r="J648" s="11">
        <v>3.7194626</v>
      </c>
      <c r="K648" s="11" t="str">
        <f>IF(Table1[[#This Row],[Solar 
Resource]]&lt;3,"Low", IF(Table1[[#This Row],[Solar 
Resource]]&lt;4, "Moderate","High"))</f>
        <v>Moderate</v>
      </c>
      <c r="L648" s="11">
        <v>0.97814000000000001</v>
      </c>
      <c r="M648" s="11">
        <v>91.609544529999994</v>
      </c>
      <c r="N648" s="11">
        <v>2939.709061</v>
      </c>
      <c r="O648" s="11">
        <v>3939.210415</v>
      </c>
      <c r="P648" s="11">
        <f>Table1[[#This Row],[Installed Capacity 
(AC -MW)]]/Table1[[#This Row],[Installed Capacity 
(DC -MW)]]</f>
        <v>0.74626860494833458</v>
      </c>
      <c r="Q648" s="12">
        <v>0.22694491999999999</v>
      </c>
      <c r="R648" s="12">
        <v>0.16936187</v>
      </c>
      <c r="S648" s="13">
        <v>41.977742079999999</v>
      </c>
      <c r="T648" s="11">
        <v>47.845746699999999</v>
      </c>
      <c r="U648" s="11">
        <v>234.42471420000001</v>
      </c>
      <c r="V648" s="13">
        <v>610161.39439999999</v>
      </c>
      <c r="W648" s="13">
        <v>828541.75</v>
      </c>
      <c r="X648" s="13">
        <v>33.716180000000001</v>
      </c>
      <c r="Y648" s="14">
        <f>+Table1[[#This Row],[Generation Cost 
LCOE (USD/MWh)]]+Table1[[#This Row],[Transmission Cost
LCOT (USD/MWh)]]</f>
        <v>75.693922079999993</v>
      </c>
    </row>
    <row r="649" spans="1:25" x14ac:dyDescent="0.3">
      <c r="A649" s="7">
        <v>648</v>
      </c>
      <c r="B649" s="8">
        <v>6953</v>
      </c>
      <c r="C649" s="9">
        <v>48.959040000000002</v>
      </c>
      <c r="D649" s="9">
        <v>-109.596924</v>
      </c>
      <c r="E649" s="10" t="s">
        <v>42</v>
      </c>
      <c r="F649" s="10" t="s">
        <v>3</v>
      </c>
      <c r="G649" s="10" t="s">
        <v>19</v>
      </c>
      <c r="H649" s="10">
        <v>-7</v>
      </c>
      <c r="I649" s="11">
        <v>833.64285710000001</v>
      </c>
      <c r="J649" s="11">
        <v>3.6933646000000002</v>
      </c>
      <c r="K649" s="11" t="str">
        <f>IF(Table1[[#This Row],[Solar 
Resource]]&lt;3,"Low", IF(Table1[[#This Row],[Solar 
Resource]]&lt;4, "Moderate","High"))</f>
        <v>Moderate</v>
      </c>
      <c r="L649" s="11">
        <v>0.97753257000000005</v>
      </c>
      <c r="M649" s="11">
        <v>72.933048630000002</v>
      </c>
      <c r="N649" s="11">
        <v>2340.3887119999999</v>
      </c>
      <c r="O649" s="11">
        <v>3136.121091</v>
      </c>
      <c r="P649" s="11">
        <f>Table1[[#This Row],[Installed Capacity 
(AC -MW)]]/Table1[[#This Row],[Installed Capacity 
(DC -MW)]]</f>
        <v>0.74626860509832271</v>
      </c>
      <c r="Q649" s="12">
        <v>0.22484990999999999</v>
      </c>
      <c r="R649" s="12">
        <v>0.16779843</v>
      </c>
      <c r="S649" s="13">
        <v>42.348241489999999</v>
      </c>
      <c r="T649" s="11">
        <v>42.164961009999999</v>
      </c>
      <c r="U649" s="11">
        <v>234.42471420000001</v>
      </c>
      <c r="V649" s="13">
        <v>610161.39439999999</v>
      </c>
      <c r="W649" s="13">
        <v>798050.56</v>
      </c>
      <c r="X649" s="13">
        <v>32.777973000000003</v>
      </c>
      <c r="Y649" s="14">
        <f>+Table1[[#This Row],[Generation Cost 
LCOE (USD/MWh)]]+Table1[[#This Row],[Transmission Cost
LCOT (USD/MWh)]]</f>
        <v>75.126214489999995</v>
      </c>
    </row>
    <row r="650" spans="1:25" x14ac:dyDescent="0.3">
      <c r="A650" s="7">
        <v>649</v>
      </c>
      <c r="B650" s="8">
        <v>6954</v>
      </c>
      <c r="C650" s="9">
        <v>48.972949999999997</v>
      </c>
      <c r="D650" s="9">
        <v>-109.432175</v>
      </c>
      <c r="E650" s="10" t="s">
        <v>42</v>
      </c>
      <c r="F650" s="10" t="s">
        <v>3</v>
      </c>
      <c r="G650" s="10" t="s">
        <v>8</v>
      </c>
      <c r="H650" s="10">
        <v>-7</v>
      </c>
      <c r="I650" s="11">
        <v>836.6</v>
      </c>
      <c r="J650" s="11">
        <v>3.7015397999999999</v>
      </c>
      <c r="K650" s="11" t="str">
        <f>IF(Table1[[#This Row],[Solar 
Resource]]&lt;3,"Low", IF(Table1[[#This Row],[Solar 
Resource]]&lt;4, "Moderate","High"))</f>
        <v>Moderate</v>
      </c>
      <c r="L650" s="11">
        <v>0.97697069999999997</v>
      </c>
      <c r="M650" s="11">
        <v>43.44904863</v>
      </c>
      <c r="N650" s="11">
        <v>1394.260419</v>
      </c>
      <c r="O650" s="11">
        <v>1868.3090910000001</v>
      </c>
      <c r="P650" s="11">
        <f>Table1[[#This Row],[Installed Capacity 
(AC -MW)]]/Table1[[#This Row],[Installed Capacity 
(DC -MW)]]</f>
        <v>0.74626860497356529</v>
      </c>
      <c r="Q650" s="12">
        <v>0.22568848999999999</v>
      </c>
      <c r="R650" s="12">
        <v>0.16842423000000001</v>
      </c>
      <c r="S650" s="13">
        <v>42.171868779999997</v>
      </c>
      <c r="T650" s="11">
        <v>37.54233765</v>
      </c>
      <c r="U650" s="11">
        <v>234.42471420000001</v>
      </c>
      <c r="V650" s="13">
        <v>610161.39439999999</v>
      </c>
      <c r="W650" s="13">
        <v>782388.8</v>
      </c>
      <c r="X650" s="13">
        <v>32.015304999999998</v>
      </c>
      <c r="Y650" s="14">
        <f>+Table1[[#This Row],[Generation Cost 
LCOE (USD/MWh)]]+Table1[[#This Row],[Transmission Cost
LCOT (USD/MWh)]]</f>
        <v>74.187173779999995</v>
      </c>
    </row>
    <row r="651" spans="1:25" x14ac:dyDescent="0.3">
      <c r="A651" s="7">
        <v>650</v>
      </c>
      <c r="B651" s="8">
        <v>6955</v>
      </c>
      <c r="C651" s="9">
        <v>48.986694</v>
      </c>
      <c r="D651" s="9">
        <v>-109.26733400000001</v>
      </c>
      <c r="E651" s="10" t="s">
        <v>42</v>
      </c>
      <c r="F651" s="10" t="s">
        <v>3</v>
      </c>
      <c r="G651" s="10" t="s">
        <v>8</v>
      </c>
      <c r="H651" s="10">
        <v>-7</v>
      </c>
      <c r="I651" s="11">
        <v>839.1</v>
      </c>
      <c r="J651" s="11">
        <v>3.6849916</v>
      </c>
      <c r="K651" s="11" t="str">
        <f>IF(Table1[[#This Row],[Solar 
Resource]]&lt;3,"Low", IF(Table1[[#This Row],[Solar 
Resource]]&lt;4, "Moderate","High"))</f>
        <v>Moderate</v>
      </c>
      <c r="L651" s="11">
        <v>0.97635656999999998</v>
      </c>
      <c r="M651" s="11">
        <v>41.996071579999999</v>
      </c>
      <c r="N651" s="11">
        <v>1347.6350399999999</v>
      </c>
      <c r="O651" s="11">
        <v>1805.8310779999999</v>
      </c>
      <c r="P651" s="11">
        <f>Table1[[#This Row],[Installed Capacity 
(AC -MW)]]/Table1[[#This Row],[Installed Capacity 
(DC -MW)]]</f>
        <v>0.74626860530750039</v>
      </c>
      <c r="Q651" s="12">
        <v>0.22462359000000001</v>
      </c>
      <c r="R651" s="12">
        <v>0.16762953999999999</v>
      </c>
      <c r="S651" s="13">
        <v>42.350912399999999</v>
      </c>
      <c r="T651" s="11">
        <v>36.796753240000001</v>
      </c>
      <c r="U651" s="11">
        <v>234.42471420000001</v>
      </c>
      <c r="V651" s="13">
        <v>610161.39439999999</v>
      </c>
      <c r="W651" s="13">
        <v>780581.5</v>
      </c>
      <c r="X651" s="13">
        <v>32.092776999999998</v>
      </c>
      <c r="Y651" s="14">
        <f>+Table1[[#This Row],[Generation Cost 
LCOE (USD/MWh)]]+Table1[[#This Row],[Transmission Cost
LCOT (USD/MWh)]]</f>
        <v>74.443689399999997</v>
      </c>
    </row>
    <row r="652" spans="1:25" x14ac:dyDescent="0.3">
      <c r="A652" s="7">
        <v>651</v>
      </c>
      <c r="B652" s="8">
        <v>7197</v>
      </c>
      <c r="C652" s="9">
        <v>47.284619999999997</v>
      </c>
      <c r="D652" s="9">
        <v>-69.384749999999997</v>
      </c>
      <c r="E652" s="10" t="s">
        <v>42</v>
      </c>
      <c r="F652" s="10" t="s">
        <v>2</v>
      </c>
      <c r="G652" s="10" t="s">
        <v>7</v>
      </c>
      <c r="H652" s="10">
        <v>-5</v>
      </c>
      <c r="I652" s="11">
        <v>329.36363640000002</v>
      </c>
      <c r="J652" s="11">
        <v>3.5631564</v>
      </c>
      <c r="K652" s="11" t="str">
        <f>IF(Table1[[#This Row],[Solar 
Resource]]&lt;3,"Low", IF(Table1[[#This Row],[Solar 
Resource]]&lt;4, "Moderate","High"))</f>
        <v>Moderate</v>
      </c>
      <c r="L652" s="11">
        <v>1.0293213000000001</v>
      </c>
      <c r="M652" s="11">
        <v>54.28263647</v>
      </c>
      <c r="N652" s="11">
        <v>1741.9051710000001</v>
      </c>
      <c r="O652" s="11">
        <v>2334.1533679999998</v>
      </c>
      <c r="P652" s="11">
        <f>Table1[[#This Row],[Installed Capacity 
(AC -MW)]]/Table1[[#This Row],[Installed Capacity 
(DC -MW)]]</f>
        <v>0.74626851640538827</v>
      </c>
      <c r="Q652" s="12">
        <v>0.20831432999999999</v>
      </c>
      <c r="R652" s="12">
        <v>0.15545844</v>
      </c>
      <c r="S652" s="13">
        <v>47.608950309999997</v>
      </c>
      <c r="T652" s="11">
        <v>333.13673349999999</v>
      </c>
      <c r="U652" s="11">
        <v>330.28651930000001</v>
      </c>
      <c r="V652" s="13">
        <v>2700472.0260000001</v>
      </c>
      <c r="W652" s="13">
        <v>5528355</v>
      </c>
      <c r="X652" s="13">
        <v>245.08751000000001</v>
      </c>
      <c r="Y652" s="14">
        <f>+Table1[[#This Row],[Generation Cost 
LCOE (USD/MWh)]]+Table1[[#This Row],[Transmission Cost
LCOT (USD/MWh)]]</f>
        <v>292.69646031000002</v>
      </c>
    </row>
    <row r="653" spans="1:25" x14ac:dyDescent="0.3">
      <c r="A653" s="7">
        <v>652</v>
      </c>
      <c r="B653" s="8">
        <v>7198</v>
      </c>
      <c r="C653" s="9">
        <v>47.257480000000001</v>
      </c>
      <c r="D653" s="9">
        <v>-69.229579999999999</v>
      </c>
      <c r="E653" s="10" t="s">
        <v>42</v>
      </c>
      <c r="F653" s="10" t="s">
        <v>2</v>
      </c>
      <c r="G653" s="10" t="s">
        <v>7</v>
      </c>
      <c r="H653" s="10">
        <v>-5</v>
      </c>
      <c r="I653" s="11">
        <v>318.05263159999998</v>
      </c>
      <c r="J653" s="11">
        <v>3.5515742000000001</v>
      </c>
      <c r="K653" s="11" t="str">
        <f>IF(Table1[[#This Row],[Solar 
Resource]]&lt;3,"Low", IF(Table1[[#This Row],[Solar 
Resource]]&lt;4, "Moderate","High"))</f>
        <v>Moderate</v>
      </c>
      <c r="L653" s="11">
        <v>1.0292971</v>
      </c>
      <c r="M653" s="11">
        <v>81.674894530000003</v>
      </c>
      <c r="N653" s="11">
        <v>2620.9103019999998</v>
      </c>
      <c r="O653" s="11">
        <v>3512.0204650000001</v>
      </c>
      <c r="P653" s="11">
        <f>Table1[[#This Row],[Installed Capacity 
(AC -MW)]]/Table1[[#This Row],[Installed Capacity 
(DC -MW)]]</f>
        <v>0.74626851640512859</v>
      </c>
      <c r="Q653" s="12">
        <v>0.20724148000000001</v>
      </c>
      <c r="R653" s="12">
        <v>0.15465781000000001</v>
      </c>
      <c r="S653" s="13">
        <v>47.854514459999997</v>
      </c>
      <c r="T653" s="11">
        <v>323.5195258</v>
      </c>
      <c r="U653" s="11">
        <v>335.14761670000001</v>
      </c>
      <c r="V653" s="13">
        <v>2737709.35</v>
      </c>
      <c r="W653" s="13">
        <v>5309239.5</v>
      </c>
      <c r="X653" s="13">
        <v>236.59200000000001</v>
      </c>
      <c r="Y653" s="14">
        <f>+Table1[[#This Row],[Generation Cost 
LCOE (USD/MWh)]]+Table1[[#This Row],[Transmission Cost
LCOT (USD/MWh)]]</f>
        <v>284.44651446</v>
      </c>
    </row>
    <row r="654" spans="1:25" x14ac:dyDescent="0.3">
      <c r="A654" s="7">
        <v>653</v>
      </c>
      <c r="B654" s="8">
        <v>7199</v>
      </c>
      <c r="C654" s="9">
        <v>47.230193999999997</v>
      </c>
      <c r="D654" s="9">
        <v>-69.074560000000005</v>
      </c>
      <c r="E654" s="10" t="s">
        <v>42</v>
      </c>
      <c r="F654" s="10" t="s">
        <v>2</v>
      </c>
      <c r="G654" s="10" t="s">
        <v>7</v>
      </c>
      <c r="H654" s="10">
        <v>-5</v>
      </c>
      <c r="I654" s="11">
        <v>315.25</v>
      </c>
      <c r="J654" s="11">
        <v>3.5486597999999998</v>
      </c>
      <c r="K654" s="11" t="str">
        <f>IF(Table1[[#This Row],[Solar 
Resource]]&lt;3,"Low", IF(Table1[[#This Row],[Solar 
Resource]]&lt;4, "Moderate","High"))</f>
        <v>Moderate</v>
      </c>
      <c r="L654" s="11">
        <v>1.0294719999999999</v>
      </c>
      <c r="M654" s="11">
        <v>57.319167479999997</v>
      </c>
      <c r="N654" s="11">
        <v>1839.3460729999999</v>
      </c>
      <c r="O654" s="11">
        <v>2464.7242019999999</v>
      </c>
      <c r="P654" s="11">
        <f>Table1[[#This Row],[Installed Capacity 
(AC -MW)]]/Table1[[#This Row],[Installed Capacity 
(DC -MW)]]</f>
        <v>0.74626851617209866</v>
      </c>
      <c r="Q654" s="12">
        <v>0.20669477</v>
      </c>
      <c r="R654" s="12">
        <v>0.15424983</v>
      </c>
      <c r="S654" s="13">
        <v>47.987545279999999</v>
      </c>
      <c r="T654" s="11">
        <v>304.83881150000002</v>
      </c>
      <c r="U654" s="11">
        <v>331.14019459999997</v>
      </c>
      <c r="V654" s="13">
        <v>2707776.8029999998</v>
      </c>
      <c r="W654" s="13">
        <v>5028612</v>
      </c>
      <c r="X654" s="13">
        <v>224.67930000000001</v>
      </c>
      <c r="Y654" s="14">
        <f>+Table1[[#This Row],[Generation Cost 
LCOE (USD/MWh)]]+Table1[[#This Row],[Transmission Cost
LCOT (USD/MWh)]]</f>
        <v>272.66684528000002</v>
      </c>
    </row>
    <row r="655" spans="1:25" x14ac:dyDescent="0.3">
      <c r="A655" s="7">
        <v>654</v>
      </c>
      <c r="B655" s="8">
        <v>7201</v>
      </c>
      <c r="C655" s="9">
        <v>47.175156000000001</v>
      </c>
      <c r="D655" s="9">
        <v>-68.764970000000005</v>
      </c>
      <c r="E655" s="10" t="s">
        <v>42</v>
      </c>
      <c r="F655" s="10" t="s">
        <v>2</v>
      </c>
      <c r="G655" s="10" t="s">
        <v>7</v>
      </c>
      <c r="H655" s="10">
        <v>-5</v>
      </c>
      <c r="I655" s="11">
        <v>308.53333329999998</v>
      </c>
      <c r="J655" s="11">
        <v>3.5640450000000001</v>
      </c>
      <c r="K655" s="11" t="str">
        <f>IF(Table1[[#This Row],[Solar 
Resource]]&lt;3,"Low", IF(Table1[[#This Row],[Solar 
Resource]]&lt;4, "Moderate","High"))</f>
        <v>Moderate</v>
      </c>
      <c r="L655" s="11">
        <v>1.0298050999999999</v>
      </c>
      <c r="M655" s="11">
        <v>35.724563529999998</v>
      </c>
      <c r="N655" s="11">
        <v>1146.385168</v>
      </c>
      <c r="O655" s="11">
        <v>1536.156232</v>
      </c>
      <c r="P655" s="11">
        <f>Table1[[#This Row],[Installed Capacity 
(AC -MW)]]/Table1[[#This Row],[Installed Capacity 
(DC -MW)]]</f>
        <v>0.74626860479383839</v>
      </c>
      <c r="Q655" s="12">
        <v>0.20782402</v>
      </c>
      <c r="R655" s="12">
        <v>0.15509255</v>
      </c>
      <c r="S655" s="13">
        <v>47.739056069999997</v>
      </c>
      <c r="T655" s="11">
        <v>288.27396729999998</v>
      </c>
      <c r="U655" s="11">
        <v>337.08129200000002</v>
      </c>
      <c r="V655" s="13">
        <v>2749877.8250000002</v>
      </c>
      <c r="W655" s="13">
        <v>4960471</v>
      </c>
      <c r="X655" s="13">
        <v>220.43044</v>
      </c>
      <c r="Y655" s="14">
        <f>+Table1[[#This Row],[Generation Cost 
LCOE (USD/MWh)]]+Table1[[#This Row],[Transmission Cost
LCOT (USD/MWh)]]</f>
        <v>268.16949606999998</v>
      </c>
    </row>
    <row r="656" spans="1:25" x14ac:dyDescent="0.3">
      <c r="A656" s="7">
        <v>655</v>
      </c>
      <c r="B656" s="8">
        <v>7202</v>
      </c>
      <c r="C656" s="9">
        <v>47.147410000000001</v>
      </c>
      <c r="D656" s="9">
        <v>-68.610399999999998</v>
      </c>
      <c r="E656" s="10" t="s">
        <v>42</v>
      </c>
      <c r="F656" s="10" t="s">
        <v>2</v>
      </c>
      <c r="G656" s="10" t="s">
        <v>7</v>
      </c>
      <c r="H656" s="10">
        <v>-5</v>
      </c>
      <c r="I656" s="11">
        <v>278.55555559999999</v>
      </c>
      <c r="J656" s="11">
        <v>3.5643593999999998</v>
      </c>
      <c r="K656" s="11" t="str">
        <f>IF(Table1[[#This Row],[Solar 
Resource]]&lt;3,"Low", IF(Table1[[#This Row],[Solar 
Resource]]&lt;4, "Moderate","High"))</f>
        <v>Moderate</v>
      </c>
      <c r="L656" s="11">
        <v>1.0299662000000001</v>
      </c>
      <c r="M656" s="11">
        <v>53.759858199999996</v>
      </c>
      <c r="N656" s="11">
        <v>1725.1296589999999</v>
      </c>
      <c r="O656" s="11">
        <v>2311.6739029999999</v>
      </c>
      <c r="P656" s="11">
        <f>Table1[[#This Row],[Installed Capacity 
(AC -MW)]]/Table1[[#This Row],[Installed Capacity 
(DC -MW)]]</f>
        <v>0.74626860508361248</v>
      </c>
      <c r="Q656" s="12">
        <v>0.20817551000000001</v>
      </c>
      <c r="R656" s="12">
        <v>0.15535483999999999</v>
      </c>
      <c r="S656" s="13">
        <v>47.66437123</v>
      </c>
      <c r="T656" s="11">
        <v>282.07191540000002</v>
      </c>
      <c r="U656" s="11">
        <v>335.85217510000001</v>
      </c>
      <c r="V656" s="13">
        <v>2741246.1749999998</v>
      </c>
      <c r="W656" s="13">
        <v>4955958.5</v>
      </c>
      <c r="X656" s="13">
        <v>219.85808</v>
      </c>
      <c r="Y656" s="14">
        <f>+Table1[[#This Row],[Generation Cost 
LCOE (USD/MWh)]]+Table1[[#This Row],[Transmission Cost
LCOT (USD/MWh)]]</f>
        <v>267.52245123</v>
      </c>
    </row>
    <row r="657" spans="1:25" x14ac:dyDescent="0.3">
      <c r="A657" s="7">
        <v>656</v>
      </c>
      <c r="B657" s="8">
        <v>7203</v>
      </c>
      <c r="C657" s="9">
        <v>47.119509999999998</v>
      </c>
      <c r="D657" s="9">
        <v>-68.455979999999997</v>
      </c>
      <c r="E657" s="10" t="s">
        <v>42</v>
      </c>
      <c r="F657" s="10" t="s">
        <v>2</v>
      </c>
      <c r="G657" s="10" t="s">
        <v>7</v>
      </c>
      <c r="H657" s="10">
        <v>-5</v>
      </c>
      <c r="I657" s="11">
        <v>224.63157889999999</v>
      </c>
      <c r="J657" s="11">
        <v>3.5615929999999998</v>
      </c>
      <c r="K657" s="11" t="str">
        <f>IF(Table1[[#This Row],[Solar 
Resource]]&lt;3,"Low", IF(Table1[[#This Row],[Solar 
Resource]]&lt;4, "Moderate","High"))</f>
        <v>Moderate</v>
      </c>
      <c r="L657" s="11">
        <v>1.0302210000000001</v>
      </c>
      <c r="M657" s="11">
        <v>74.88546504</v>
      </c>
      <c r="N657" s="11">
        <v>2403.0405900000001</v>
      </c>
      <c r="O657" s="11">
        <v>3220.0749970000002</v>
      </c>
      <c r="P657" s="11">
        <f>Table1[[#This Row],[Installed Capacity 
(AC -MW)]]/Table1[[#This Row],[Installed Capacity 
(DC -MW)]]</f>
        <v>0.74626851618015277</v>
      </c>
      <c r="Q657" s="12">
        <v>0.20941109999999999</v>
      </c>
      <c r="R657" s="12">
        <v>0.15627694</v>
      </c>
      <c r="S657" s="13">
        <v>47.392421910000003</v>
      </c>
      <c r="T657" s="11">
        <v>271.5615583</v>
      </c>
      <c r="U657" s="11">
        <v>336.24945430000002</v>
      </c>
      <c r="V657" s="13">
        <v>2743189.7850000001</v>
      </c>
      <c r="W657" s="13">
        <v>4963297.5</v>
      </c>
      <c r="X657" s="13">
        <v>218.88449</v>
      </c>
      <c r="Y657" s="14">
        <f>+Table1[[#This Row],[Generation Cost 
LCOE (USD/MWh)]]+Table1[[#This Row],[Transmission Cost
LCOT (USD/MWh)]]</f>
        <v>266.27691191000002</v>
      </c>
    </row>
    <row r="658" spans="1:25" x14ac:dyDescent="0.3">
      <c r="A658" s="7">
        <v>657</v>
      </c>
      <c r="B658" s="8">
        <v>7204</v>
      </c>
      <c r="C658" s="9">
        <v>47.091459999999998</v>
      </c>
      <c r="D658" s="9">
        <v>-68.301699999999997</v>
      </c>
      <c r="E658" s="10" t="s">
        <v>42</v>
      </c>
      <c r="F658" s="10" t="s">
        <v>2</v>
      </c>
      <c r="G658" s="10" t="s">
        <v>7</v>
      </c>
      <c r="H658" s="10">
        <v>-5</v>
      </c>
      <c r="I658" s="11">
        <v>216</v>
      </c>
      <c r="J658" s="11">
        <v>3.5549580000000001</v>
      </c>
      <c r="K658" s="11" t="str">
        <f>IF(Table1[[#This Row],[Solar 
Resource]]&lt;3,"Low", IF(Table1[[#This Row],[Solar 
Resource]]&lt;4, "Moderate","High"))</f>
        <v>Moderate</v>
      </c>
      <c r="L658" s="11">
        <v>1.0306085</v>
      </c>
      <c r="M658" s="11">
        <v>55.54947568</v>
      </c>
      <c r="N658" s="11">
        <v>1782.5576779999999</v>
      </c>
      <c r="O658" s="11">
        <v>2388.6274539999999</v>
      </c>
      <c r="P658" s="11">
        <f>Table1[[#This Row],[Installed Capacity 
(AC -MW)]]/Table1[[#This Row],[Installed Capacity 
(DC -MW)]]</f>
        <v>0.7462686050162094</v>
      </c>
      <c r="Q658" s="12">
        <v>0.2106527</v>
      </c>
      <c r="R658" s="12">
        <v>0.15720348000000001</v>
      </c>
      <c r="S658" s="13">
        <v>47.1271463</v>
      </c>
      <c r="T658" s="11">
        <v>190.13256480000001</v>
      </c>
      <c r="U658" s="11">
        <v>334.22577899999999</v>
      </c>
      <c r="V658" s="13">
        <v>2732097.3960000002</v>
      </c>
      <c r="W658" s="13">
        <v>4785062.5</v>
      </c>
      <c r="X658" s="13">
        <v>209.78046000000001</v>
      </c>
      <c r="Y658" s="14">
        <f>+Table1[[#This Row],[Generation Cost 
LCOE (USD/MWh)]]+Table1[[#This Row],[Transmission Cost
LCOT (USD/MWh)]]</f>
        <v>256.9076063</v>
      </c>
    </row>
    <row r="659" spans="1:25" x14ac:dyDescent="0.3">
      <c r="A659" s="7">
        <v>658</v>
      </c>
      <c r="B659" s="8">
        <v>7205</v>
      </c>
      <c r="C659" s="9">
        <v>47.063262999999999</v>
      </c>
      <c r="D659" s="9">
        <v>-68.147580000000005</v>
      </c>
      <c r="E659" s="10" t="s">
        <v>42</v>
      </c>
      <c r="F659" s="10" t="s">
        <v>2</v>
      </c>
      <c r="G659" s="10" t="s">
        <v>7</v>
      </c>
      <c r="H659" s="10">
        <v>-5</v>
      </c>
      <c r="I659" s="11">
        <v>233.8947368</v>
      </c>
      <c r="J659" s="11">
        <v>3.5713903999999999</v>
      </c>
      <c r="K659" s="11" t="str">
        <f>IF(Table1[[#This Row],[Solar 
Resource]]&lt;3,"Low", IF(Table1[[#This Row],[Solar 
Resource]]&lt;4, "Moderate","High"))</f>
        <v>Moderate</v>
      </c>
      <c r="L659" s="11">
        <v>1.0307850999999999</v>
      </c>
      <c r="M659" s="11">
        <v>77.189274319999996</v>
      </c>
      <c r="N659" s="11">
        <v>2476.968785</v>
      </c>
      <c r="O659" s="11">
        <v>3319.1387960000002</v>
      </c>
      <c r="P659" s="11">
        <f>Table1[[#This Row],[Installed Capacity 
(AC -MW)]]/Table1[[#This Row],[Installed Capacity 
(DC -MW)]]</f>
        <v>0.74626851639499803</v>
      </c>
      <c r="Q659" s="12">
        <v>0.21212766</v>
      </c>
      <c r="R659" s="12">
        <v>0.15830421</v>
      </c>
      <c r="S659" s="13">
        <v>46.805823369999999</v>
      </c>
      <c r="T659" s="11">
        <v>169.63375959999999</v>
      </c>
      <c r="U659" s="11">
        <v>344.12422700000002</v>
      </c>
      <c r="V659" s="13">
        <v>2806523.0419999999</v>
      </c>
      <c r="W659" s="13">
        <v>4489439</v>
      </c>
      <c r="X659" s="13">
        <v>195.45157</v>
      </c>
      <c r="Y659" s="14">
        <f>+Table1[[#This Row],[Generation Cost 
LCOE (USD/MWh)]]+Table1[[#This Row],[Transmission Cost
LCOT (USD/MWh)]]</f>
        <v>242.25739336999999</v>
      </c>
    </row>
    <row r="660" spans="1:25" x14ac:dyDescent="0.3">
      <c r="A660" s="7">
        <v>659</v>
      </c>
      <c r="B660" s="8">
        <v>7206</v>
      </c>
      <c r="C660" s="9">
        <v>47.034911999999998</v>
      </c>
      <c r="D660" s="9">
        <v>-67.993610000000004</v>
      </c>
      <c r="E660" s="10" t="s">
        <v>42</v>
      </c>
      <c r="F660" s="10" t="s">
        <v>2</v>
      </c>
      <c r="G660" s="10" t="s">
        <v>7</v>
      </c>
      <c r="H660" s="10">
        <v>-5</v>
      </c>
      <c r="I660" s="11">
        <v>225</v>
      </c>
      <c r="J660" s="11">
        <v>3.5716874999999999</v>
      </c>
      <c r="K660" s="11" t="str">
        <f>IF(Table1[[#This Row],[Solar 
Resource]]&lt;3,"Low", IF(Table1[[#This Row],[Solar 
Resource]]&lt;4, "Moderate","High"))</f>
        <v>Moderate</v>
      </c>
      <c r="L660" s="11">
        <v>1.0310975</v>
      </c>
      <c r="M660" s="11">
        <v>74.978622950000002</v>
      </c>
      <c r="N660" s="11">
        <v>2406.0296990000002</v>
      </c>
      <c r="O660" s="11">
        <v>3224.0807869999999</v>
      </c>
      <c r="P660" s="11">
        <f>Table1[[#This Row],[Installed Capacity 
(AC -MW)]]/Table1[[#This Row],[Installed Capacity 
(DC -MW)]]</f>
        <v>0.74626842748528199</v>
      </c>
      <c r="Q660" s="12">
        <v>0.21252692000000001</v>
      </c>
      <c r="R660" s="12">
        <v>0.1586022</v>
      </c>
      <c r="S660" s="13">
        <v>46.729109819999998</v>
      </c>
      <c r="T660" s="11">
        <v>161.57149340000001</v>
      </c>
      <c r="U660" s="11">
        <v>344.12422700000002</v>
      </c>
      <c r="V660" s="13">
        <v>2806523.0419999999</v>
      </c>
      <c r="W660" s="13">
        <v>4383531</v>
      </c>
      <c r="X660" s="13">
        <v>190.48227</v>
      </c>
      <c r="Y660" s="14">
        <f>+Table1[[#This Row],[Generation Cost 
LCOE (USD/MWh)]]+Table1[[#This Row],[Transmission Cost
LCOT (USD/MWh)]]</f>
        <v>237.21137981999999</v>
      </c>
    </row>
    <row r="661" spans="1:25" x14ac:dyDescent="0.3">
      <c r="A661" s="7">
        <v>660</v>
      </c>
      <c r="B661" s="8">
        <v>7207</v>
      </c>
      <c r="C661" s="9">
        <v>47.006413000000002</v>
      </c>
      <c r="D661" s="9">
        <v>-67.839780000000005</v>
      </c>
      <c r="E661" s="10" t="s">
        <v>42</v>
      </c>
      <c r="F661" s="10" t="s">
        <v>2</v>
      </c>
      <c r="G661" s="10" t="s">
        <v>7</v>
      </c>
      <c r="H661" s="10">
        <v>-5</v>
      </c>
      <c r="I661" s="11">
        <v>228</v>
      </c>
      <c r="J661" s="11">
        <v>3.5636969000000001</v>
      </c>
      <c r="K661" s="11" t="str">
        <f>IF(Table1[[#This Row],[Solar 
Resource]]&lt;3,"Low", IF(Table1[[#This Row],[Solar 
Resource]]&lt;4, "Moderate","High"))</f>
        <v>Moderate</v>
      </c>
      <c r="L661" s="11">
        <v>1.0312950000000001</v>
      </c>
      <c r="M661" s="11">
        <v>36.850301369999997</v>
      </c>
      <c r="N661" s="11">
        <v>1182.509589</v>
      </c>
      <c r="O661" s="11">
        <v>1584.5629590000001</v>
      </c>
      <c r="P661" s="11">
        <f>Table1[[#This Row],[Installed Capacity 
(AC -MW)]]/Table1[[#This Row],[Installed Capacity 
(DC -MW)]]</f>
        <v>0.74626860503306758</v>
      </c>
      <c r="Q661" s="12">
        <v>0.21189366000000001</v>
      </c>
      <c r="R661" s="12">
        <v>0.15812958999999999</v>
      </c>
      <c r="S661" s="13">
        <v>46.875891590000002</v>
      </c>
      <c r="T661" s="11">
        <v>161.2529739</v>
      </c>
      <c r="U661" s="11">
        <v>344.12422700000002</v>
      </c>
      <c r="V661" s="13">
        <v>2806523.0419999999</v>
      </c>
      <c r="W661" s="13">
        <v>4191812.5</v>
      </c>
      <c r="X661" s="13">
        <v>182.69568000000001</v>
      </c>
      <c r="Y661" s="14">
        <f>+Table1[[#This Row],[Generation Cost 
LCOE (USD/MWh)]]+Table1[[#This Row],[Transmission Cost
LCOT (USD/MWh)]]</f>
        <v>229.57157159000002</v>
      </c>
    </row>
    <row r="662" spans="1:25" x14ac:dyDescent="0.3">
      <c r="A662" s="7">
        <v>661</v>
      </c>
      <c r="B662" s="8">
        <v>7242</v>
      </c>
      <c r="C662" s="9">
        <v>46.917521999999998</v>
      </c>
      <c r="D662" s="9">
        <v>-124.08916000000001</v>
      </c>
      <c r="E662" s="10" t="s">
        <v>42</v>
      </c>
      <c r="F662" s="10" t="s">
        <v>4</v>
      </c>
      <c r="G662" s="10" t="s">
        <v>18</v>
      </c>
      <c r="H662" s="10">
        <v>-8</v>
      </c>
      <c r="I662" s="11">
        <v>9.4</v>
      </c>
      <c r="J662" s="11">
        <v>3.209489</v>
      </c>
      <c r="K662" s="11" t="str">
        <f>IF(Table1[[#This Row],[Solar 
Resource]]&lt;3,"Low", IF(Table1[[#This Row],[Solar 
Resource]]&lt;4, "Moderate","High"))</f>
        <v>Moderate</v>
      </c>
      <c r="L662" s="11">
        <v>1.0206443999999999</v>
      </c>
      <c r="M662" s="11">
        <v>3.3053670589999999</v>
      </c>
      <c r="N662" s="11">
        <v>106.0677542</v>
      </c>
      <c r="O662" s="11">
        <v>142.1307836</v>
      </c>
      <c r="P662" s="11">
        <f>Table1[[#This Row],[Installed Capacity 
(AC -MW)]]/Table1[[#This Row],[Installed Capacity 
(DC -MW)]]</f>
        <v>0.74626869361747472</v>
      </c>
      <c r="Q662" s="12">
        <v>0.18368362999999999</v>
      </c>
      <c r="R662" s="12">
        <v>0.13707734999999999</v>
      </c>
      <c r="S662" s="13">
        <v>53.632096959999998</v>
      </c>
      <c r="T662" s="11">
        <v>4.9356558389999998</v>
      </c>
      <c r="U662" s="11">
        <v>229.69683749999999</v>
      </c>
      <c r="V662" s="13">
        <v>789782.69539999997</v>
      </c>
      <c r="W662" s="13">
        <v>825244</v>
      </c>
      <c r="X662" s="13">
        <v>41.491233999999999</v>
      </c>
      <c r="Y662" s="14">
        <f>+Table1[[#This Row],[Generation Cost 
LCOE (USD/MWh)]]+Table1[[#This Row],[Transmission Cost
LCOT (USD/MWh)]]</f>
        <v>95.123330960000004</v>
      </c>
    </row>
    <row r="663" spans="1:25" x14ac:dyDescent="0.3">
      <c r="A663" s="7">
        <v>662</v>
      </c>
      <c r="B663" s="8">
        <v>7243</v>
      </c>
      <c r="C663" s="9">
        <v>46.945953000000003</v>
      </c>
      <c r="D663" s="9">
        <v>-123.93555000000001</v>
      </c>
      <c r="E663" s="10" t="s">
        <v>42</v>
      </c>
      <c r="F663" s="10" t="s">
        <v>4</v>
      </c>
      <c r="G663" s="10" t="s">
        <v>18</v>
      </c>
      <c r="H663" s="10">
        <v>-8</v>
      </c>
      <c r="I663" s="11">
        <v>51.833333330000002</v>
      </c>
      <c r="J663" s="11">
        <v>3.1666987</v>
      </c>
      <c r="K663" s="11" t="str">
        <f>IF(Table1[[#This Row],[Solar 
Resource]]&lt;3,"Low", IF(Table1[[#This Row],[Solar 
Resource]]&lt;4, "Moderate","High"))</f>
        <v>Moderate</v>
      </c>
      <c r="L663" s="11">
        <v>1.0205599999999999</v>
      </c>
      <c r="M663" s="11">
        <v>13.047641560000001</v>
      </c>
      <c r="N663" s="11">
        <v>418.69299640000003</v>
      </c>
      <c r="O663" s="11">
        <v>561.04858730000001</v>
      </c>
      <c r="P663" s="11">
        <f>Table1[[#This Row],[Installed Capacity 
(AC -MW)]]/Table1[[#This Row],[Installed Capacity 
(DC -MW)]]</f>
        <v>0.74626869379517646</v>
      </c>
      <c r="Q663" s="12">
        <v>0.18049459000000001</v>
      </c>
      <c r="R663" s="12">
        <v>0.13469748000000001</v>
      </c>
      <c r="S663" s="13">
        <v>54.57611138</v>
      </c>
      <c r="T663" s="11">
        <v>7.8774220740000001</v>
      </c>
      <c r="U663" s="11">
        <v>211.66750640000001</v>
      </c>
      <c r="V663" s="13">
        <v>707166.68030000001</v>
      </c>
      <c r="W663" s="13">
        <v>743401.7</v>
      </c>
      <c r="X663" s="13">
        <v>38.03678</v>
      </c>
      <c r="Y663" s="14">
        <f>+Table1[[#This Row],[Generation Cost 
LCOE (USD/MWh)]]+Table1[[#This Row],[Transmission Cost
LCOT (USD/MWh)]]</f>
        <v>92.612891380000008</v>
      </c>
    </row>
    <row r="664" spans="1:25" x14ac:dyDescent="0.3">
      <c r="A664" s="7">
        <v>663</v>
      </c>
      <c r="B664" s="8">
        <v>7244</v>
      </c>
      <c r="C664" s="9">
        <v>46.974229999999999</v>
      </c>
      <c r="D664" s="9">
        <v>-123.78178</v>
      </c>
      <c r="E664" s="10" t="s">
        <v>42</v>
      </c>
      <c r="F664" s="10" t="s">
        <v>4</v>
      </c>
      <c r="G664" s="10" t="s">
        <v>18</v>
      </c>
      <c r="H664" s="10">
        <v>-8</v>
      </c>
      <c r="I664" s="11">
        <v>58.9375</v>
      </c>
      <c r="J664" s="11">
        <v>3.1197059999999999</v>
      </c>
      <c r="K664" s="11" t="str">
        <f>IF(Table1[[#This Row],[Solar 
Resource]]&lt;3,"Low", IF(Table1[[#This Row],[Solar 
Resource]]&lt;4, "Moderate","High"))</f>
        <v>Moderate</v>
      </c>
      <c r="L664" s="11">
        <v>1.0204572999999999</v>
      </c>
      <c r="M664" s="11">
        <v>12.95805509</v>
      </c>
      <c r="N664" s="11">
        <v>415.81820640000001</v>
      </c>
      <c r="O664" s="11">
        <v>557.19636890000004</v>
      </c>
      <c r="P664" s="11">
        <f>Table1[[#This Row],[Installed Capacity 
(AC -MW)]]/Table1[[#This Row],[Installed Capacity 
(DC -MW)]]</f>
        <v>0.74626869378365757</v>
      </c>
      <c r="Q664" s="12">
        <v>0.17785875000000001</v>
      </c>
      <c r="R664" s="12">
        <v>0.13273040999999999</v>
      </c>
      <c r="S664" s="13">
        <v>55.380523109999999</v>
      </c>
      <c r="T664" s="11">
        <v>0.48727922099999998</v>
      </c>
      <c r="U664" s="11">
        <v>207.1099414</v>
      </c>
      <c r="V664" s="13">
        <v>707690.50879999995</v>
      </c>
      <c r="W664" s="13">
        <v>754019.44</v>
      </c>
      <c r="X664" s="13">
        <v>39.151800000000001</v>
      </c>
      <c r="Y664" s="14">
        <f>+Table1[[#This Row],[Generation Cost 
LCOE (USD/MWh)]]+Table1[[#This Row],[Transmission Cost
LCOT (USD/MWh)]]</f>
        <v>94.532323109999993</v>
      </c>
    </row>
    <row r="665" spans="1:25" x14ac:dyDescent="0.3">
      <c r="A665" s="7">
        <v>664</v>
      </c>
      <c r="B665" s="8">
        <v>7245</v>
      </c>
      <c r="C665" s="9">
        <v>47.002357000000003</v>
      </c>
      <c r="D665" s="9">
        <v>-123.62785</v>
      </c>
      <c r="E665" s="10" t="s">
        <v>42</v>
      </c>
      <c r="F665" s="10" t="s">
        <v>4</v>
      </c>
      <c r="G665" s="10" t="s">
        <v>18</v>
      </c>
      <c r="H665" s="10">
        <v>-8</v>
      </c>
      <c r="I665" s="11">
        <v>72.58823529</v>
      </c>
      <c r="J665" s="11">
        <v>3.1210387000000002</v>
      </c>
      <c r="K665" s="11" t="str">
        <f>IF(Table1[[#This Row],[Solar 
Resource]]&lt;3,"Low", IF(Table1[[#This Row],[Solar 
Resource]]&lt;4, "Moderate","High"))</f>
        <v>Moderate</v>
      </c>
      <c r="L665" s="11">
        <v>1.020394</v>
      </c>
      <c r="M665" s="11">
        <v>22.506012160000001</v>
      </c>
      <c r="N665" s="11">
        <v>722.20780290000005</v>
      </c>
      <c r="O665" s="11">
        <v>967.75852280000004</v>
      </c>
      <c r="P665" s="11">
        <f>Table1[[#This Row],[Installed Capacity 
(AC -MW)]]/Table1[[#This Row],[Installed Capacity 
(DC -MW)]]</f>
        <v>0.74626860511695414</v>
      </c>
      <c r="Q665" s="12">
        <v>0.17830715</v>
      </c>
      <c r="R665" s="12">
        <v>0.13306504</v>
      </c>
      <c r="S665" s="13">
        <v>55.2385345</v>
      </c>
      <c r="T665" s="11">
        <v>6.9092597360000001</v>
      </c>
      <c r="U665" s="11">
        <v>187.825909</v>
      </c>
      <c r="V665" s="13">
        <v>610155.97549999994</v>
      </c>
      <c r="W665" s="13">
        <v>684083.6</v>
      </c>
      <c r="X665" s="13">
        <v>35.431117999999998</v>
      </c>
      <c r="Y665" s="14">
        <f>+Table1[[#This Row],[Generation Cost 
LCOE (USD/MWh)]]+Table1[[#This Row],[Transmission Cost
LCOT (USD/MWh)]]</f>
        <v>90.669652499999998</v>
      </c>
    </row>
    <row r="666" spans="1:25" x14ac:dyDescent="0.3">
      <c r="A666" s="7">
        <v>665</v>
      </c>
      <c r="B666" s="8">
        <v>7246</v>
      </c>
      <c r="C666" s="9">
        <v>47.030334000000003</v>
      </c>
      <c r="D666" s="9">
        <v>-123.47378500000001</v>
      </c>
      <c r="E666" s="10" t="s">
        <v>42</v>
      </c>
      <c r="F666" s="10" t="s">
        <v>4</v>
      </c>
      <c r="G666" s="10" t="s">
        <v>18</v>
      </c>
      <c r="H666" s="10">
        <v>-8</v>
      </c>
      <c r="I666" s="11">
        <v>73.157894740000003</v>
      </c>
      <c r="J666" s="11">
        <v>3.1375196000000001</v>
      </c>
      <c r="K666" s="11" t="str">
        <f>IF(Table1[[#This Row],[Solar 
Resource]]&lt;3,"Low", IF(Table1[[#This Row],[Solar 
Resource]]&lt;4, "Moderate","High"))</f>
        <v>Moderate</v>
      </c>
      <c r="L666" s="11">
        <v>1.0203660000000001</v>
      </c>
      <c r="M666" s="11">
        <v>27.928799999999999</v>
      </c>
      <c r="N666" s="11">
        <v>896.22262460000002</v>
      </c>
      <c r="O666" s="11">
        <v>1200.9384</v>
      </c>
      <c r="P666" s="11">
        <f>Table1[[#This Row],[Installed Capacity 
(AC -MW)]]/Table1[[#This Row],[Installed Capacity 
(DC -MW)]]</f>
        <v>0.74626860511746484</v>
      </c>
      <c r="Q666" s="12">
        <v>0.17803975999999999</v>
      </c>
      <c r="R666" s="12">
        <v>0.1328655</v>
      </c>
      <c r="S666" s="13">
        <v>55.320287290000003</v>
      </c>
      <c r="T666" s="11">
        <v>2.9763961029999999</v>
      </c>
      <c r="U666" s="11">
        <v>203.13340249999999</v>
      </c>
      <c r="V666" s="13">
        <v>659136.43700000003</v>
      </c>
      <c r="W666" s="13">
        <v>722537.8</v>
      </c>
      <c r="X666" s="13">
        <v>37.478999999999999</v>
      </c>
      <c r="Y666" s="14">
        <f>+Table1[[#This Row],[Generation Cost 
LCOE (USD/MWh)]]+Table1[[#This Row],[Transmission Cost
LCOT (USD/MWh)]]</f>
        <v>92.799287289999995</v>
      </c>
    </row>
    <row r="667" spans="1:25" x14ac:dyDescent="0.3">
      <c r="A667" s="7">
        <v>666</v>
      </c>
      <c r="B667" s="8">
        <v>7247</v>
      </c>
      <c r="C667" s="9">
        <v>47.058160000000001</v>
      </c>
      <c r="D667" s="9">
        <v>-123.31957</v>
      </c>
      <c r="E667" s="10" t="s">
        <v>42</v>
      </c>
      <c r="F667" s="10" t="s">
        <v>4</v>
      </c>
      <c r="G667" s="10" t="s">
        <v>18</v>
      </c>
      <c r="H667" s="10">
        <v>-8</v>
      </c>
      <c r="I667" s="11">
        <v>116.94444439999999</v>
      </c>
      <c r="J667" s="11">
        <v>3.1343920000000001</v>
      </c>
      <c r="K667" s="11" t="str">
        <f>IF(Table1[[#This Row],[Solar 
Resource]]&lt;3,"Low", IF(Table1[[#This Row],[Solar 
Resource]]&lt;4, "Moderate","High"))</f>
        <v>Moderate</v>
      </c>
      <c r="L667" s="11">
        <v>1.0203742</v>
      </c>
      <c r="M667" s="11">
        <v>37.560593849999997</v>
      </c>
      <c r="N667" s="11">
        <v>1205.302555</v>
      </c>
      <c r="O667" s="11">
        <v>1615.1055349999999</v>
      </c>
      <c r="P667" s="11">
        <f>Table1[[#This Row],[Installed Capacity 
(AC -MW)]]/Table1[[#This Row],[Installed Capacity 
(DC -MW)]]</f>
        <v>0.7462686052896228</v>
      </c>
      <c r="Q667" s="12">
        <v>0.17620126999999999</v>
      </c>
      <c r="R667" s="12">
        <v>0.13149348</v>
      </c>
      <c r="S667" s="13">
        <v>55.897865860000003</v>
      </c>
      <c r="T667" s="11">
        <v>10.932123369999999</v>
      </c>
      <c r="U667" s="11">
        <v>170.5101817</v>
      </c>
      <c r="V667" s="13">
        <v>546241.38679999998</v>
      </c>
      <c r="W667" s="13">
        <v>644218.19999999995</v>
      </c>
      <c r="X667" s="13">
        <v>33.765124999999998</v>
      </c>
      <c r="Y667" s="14">
        <f>+Table1[[#This Row],[Generation Cost 
LCOE (USD/MWh)]]+Table1[[#This Row],[Transmission Cost
LCOT (USD/MWh)]]</f>
        <v>89.662990860000008</v>
      </c>
    </row>
    <row r="668" spans="1:25" x14ac:dyDescent="0.3">
      <c r="A668" s="7">
        <v>667</v>
      </c>
      <c r="B668" s="8">
        <v>7248</v>
      </c>
      <c r="C668" s="9">
        <v>47.085835000000003</v>
      </c>
      <c r="D668" s="9">
        <v>-123.16521</v>
      </c>
      <c r="E668" s="10" t="s">
        <v>42</v>
      </c>
      <c r="F668" s="10" t="s">
        <v>4</v>
      </c>
      <c r="G668" s="10" t="s">
        <v>28</v>
      </c>
      <c r="H668" s="10">
        <v>-8</v>
      </c>
      <c r="I668" s="11">
        <v>189.94444440000001</v>
      </c>
      <c r="J668" s="11">
        <v>3.2322479999999998</v>
      </c>
      <c r="K668" s="11" t="str">
        <f>IF(Table1[[#This Row],[Solar 
Resource]]&lt;3,"Low", IF(Table1[[#This Row],[Solar 
Resource]]&lt;4, "Moderate","High"))</f>
        <v>Moderate</v>
      </c>
      <c r="L668" s="11">
        <v>1.0204473000000001</v>
      </c>
      <c r="M668" s="11">
        <v>27.76704324</v>
      </c>
      <c r="N668" s="11">
        <v>891.03192279999996</v>
      </c>
      <c r="O668" s="11">
        <v>1193.982859</v>
      </c>
      <c r="P668" s="11">
        <f>Table1[[#This Row],[Installed Capacity 
(AC -MW)]]/Table1[[#This Row],[Installed Capacity 
(DC -MW)]]</f>
        <v>0.74626860518438987</v>
      </c>
      <c r="Q668" s="12">
        <v>0.1828661</v>
      </c>
      <c r="R668" s="12">
        <v>0.13646722999999999</v>
      </c>
      <c r="S668" s="13">
        <v>53.863640750000002</v>
      </c>
      <c r="T668" s="11">
        <v>5.4500714270000001</v>
      </c>
      <c r="U668" s="11">
        <v>153.07731810000001</v>
      </c>
      <c r="V668" s="13">
        <v>486033.83610000001</v>
      </c>
      <c r="W668" s="13">
        <v>573178.19999999995</v>
      </c>
      <c r="X668" s="13">
        <v>28.946819999999999</v>
      </c>
      <c r="Y668" s="14">
        <f>+Table1[[#This Row],[Generation Cost 
LCOE (USD/MWh)]]+Table1[[#This Row],[Transmission Cost
LCOT (USD/MWh)]]</f>
        <v>82.810460750000004</v>
      </c>
    </row>
    <row r="669" spans="1:25" x14ac:dyDescent="0.3">
      <c r="A669" s="7">
        <v>668</v>
      </c>
      <c r="B669" s="8">
        <v>7249</v>
      </c>
      <c r="C669" s="9">
        <v>47.113354000000001</v>
      </c>
      <c r="D669" s="9">
        <v>-123.0107</v>
      </c>
      <c r="E669" s="10" t="s">
        <v>42</v>
      </c>
      <c r="F669" s="10" t="s">
        <v>4</v>
      </c>
      <c r="G669" s="10" t="s">
        <v>38</v>
      </c>
      <c r="H669" s="10">
        <v>-8</v>
      </c>
      <c r="I669" s="11">
        <v>76.857142859999996</v>
      </c>
      <c r="J669" s="11">
        <v>3.32057</v>
      </c>
      <c r="K669" s="11" t="str">
        <f>IF(Table1[[#This Row],[Solar 
Resource]]&lt;3,"Low", IF(Table1[[#This Row],[Solar 
Resource]]&lt;4, "Moderate","High"))</f>
        <v>Moderate</v>
      </c>
      <c r="L669" s="11">
        <v>1.0205078000000001</v>
      </c>
      <c r="M669" s="11">
        <v>18.58796147</v>
      </c>
      <c r="N669" s="11">
        <v>596.47931949999997</v>
      </c>
      <c r="O669" s="11">
        <v>799.28234339999995</v>
      </c>
      <c r="P669" s="11">
        <f>Table1[[#This Row],[Installed Capacity 
(AC -MW)]]/Table1[[#This Row],[Installed Capacity 
(DC -MW)]]</f>
        <v>0.74626860511228954</v>
      </c>
      <c r="Q669" s="12">
        <v>0.1884557</v>
      </c>
      <c r="R669" s="12">
        <v>0.14063856999999999</v>
      </c>
      <c r="S669" s="13">
        <v>52.268496900000002</v>
      </c>
      <c r="T669" s="11">
        <v>2.8027922059999999</v>
      </c>
      <c r="U669" s="11">
        <v>159.2974609</v>
      </c>
      <c r="V669" s="13">
        <v>504842.09989999997</v>
      </c>
      <c r="W669" s="13">
        <v>550383</v>
      </c>
      <c r="X669" s="13">
        <v>26.971191000000001</v>
      </c>
      <c r="Y669" s="14">
        <f>+Table1[[#This Row],[Generation Cost 
LCOE (USD/MWh)]]+Table1[[#This Row],[Transmission Cost
LCOT (USD/MWh)]]</f>
        <v>79.239687900000007</v>
      </c>
    </row>
    <row r="670" spans="1:25" x14ac:dyDescent="0.3">
      <c r="A670" s="7">
        <v>669</v>
      </c>
      <c r="B670" s="8">
        <v>7250</v>
      </c>
      <c r="C670" s="9">
        <v>47.140723999999999</v>
      </c>
      <c r="D670" s="9">
        <v>-122.85602</v>
      </c>
      <c r="E670" s="10" t="s">
        <v>42</v>
      </c>
      <c r="F670" s="10" t="s">
        <v>4</v>
      </c>
      <c r="G670" s="10" t="s">
        <v>38</v>
      </c>
      <c r="H670" s="10">
        <v>-8</v>
      </c>
      <c r="I670" s="11">
        <v>34.666666669999998</v>
      </c>
      <c r="J670" s="11">
        <v>3.353367</v>
      </c>
      <c r="K670" s="11" t="str">
        <f>IF(Table1[[#This Row],[Solar 
Resource]]&lt;3,"Low", IF(Table1[[#This Row],[Solar 
Resource]]&lt;4, "Moderate","High"))</f>
        <v>Moderate</v>
      </c>
      <c r="L670" s="11">
        <v>1.0206127</v>
      </c>
      <c r="M670" s="11">
        <v>13.16168921</v>
      </c>
      <c r="N670" s="11">
        <v>422.35273439999997</v>
      </c>
      <c r="O670" s="11">
        <v>565.95263599999998</v>
      </c>
      <c r="P670" s="11">
        <f>Table1[[#This Row],[Installed Capacity 
(AC -MW)]]/Table1[[#This Row],[Installed Capacity 
(DC -MW)]]</f>
        <v>0.74626869376397775</v>
      </c>
      <c r="Q670" s="12">
        <v>0.18960689</v>
      </c>
      <c r="R670" s="12">
        <v>0.14149766999999999</v>
      </c>
      <c r="S670" s="13">
        <v>51.955385839999998</v>
      </c>
      <c r="T670" s="11">
        <v>16.394987</v>
      </c>
      <c r="U670" s="11">
        <v>106.3042662</v>
      </c>
      <c r="V670" s="13">
        <v>357991.22249999997</v>
      </c>
      <c r="W670" s="13">
        <v>395892.47</v>
      </c>
      <c r="X670" s="13">
        <v>19.282686000000002</v>
      </c>
      <c r="Y670" s="14">
        <f>+Table1[[#This Row],[Generation Cost 
LCOE (USD/MWh)]]+Table1[[#This Row],[Transmission Cost
LCOT (USD/MWh)]]</f>
        <v>71.238071840000003</v>
      </c>
    </row>
    <row r="671" spans="1:25" x14ac:dyDescent="0.3">
      <c r="A671" s="7">
        <v>670</v>
      </c>
      <c r="B671" s="8">
        <v>7251</v>
      </c>
      <c r="C671" s="9">
        <v>47.167946000000001</v>
      </c>
      <c r="D671" s="9">
        <v>-122.70122000000001</v>
      </c>
      <c r="E671" s="10" t="s">
        <v>42</v>
      </c>
      <c r="F671" s="10" t="s">
        <v>4</v>
      </c>
      <c r="G671" s="10" t="s">
        <v>32</v>
      </c>
      <c r="H671" s="10">
        <v>-8</v>
      </c>
      <c r="I671" s="11">
        <v>42.5</v>
      </c>
      <c r="J671" s="11">
        <v>3.3822990000000002</v>
      </c>
      <c r="K671" s="11" t="str">
        <f>IF(Table1[[#This Row],[Solar 
Resource]]&lt;3,"Low", IF(Table1[[#This Row],[Solar 
Resource]]&lt;4, "Moderate","High"))</f>
        <v>Moderate</v>
      </c>
      <c r="L671" s="11">
        <v>1.0207223000000001</v>
      </c>
      <c r="M671" s="11">
        <v>3.7059121579999998</v>
      </c>
      <c r="N671" s="11">
        <v>118.92105359999999</v>
      </c>
      <c r="O671" s="11">
        <v>159.3542228</v>
      </c>
      <c r="P671" s="11">
        <f>Table1[[#This Row],[Installed Capacity 
(AC -MW)]]/Table1[[#This Row],[Installed Capacity 
(DC -MW)]]</f>
        <v>0.74626860531492611</v>
      </c>
      <c r="Q671" s="12">
        <v>0.19163730000000001</v>
      </c>
      <c r="R671" s="12">
        <v>0.14301293000000001</v>
      </c>
      <c r="S671" s="13">
        <v>51.409267120000003</v>
      </c>
      <c r="T671" s="11">
        <v>38.289019459999999</v>
      </c>
      <c r="U671" s="11">
        <v>222.51712319999999</v>
      </c>
      <c r="V671" s="13">
        <v>749858.32440000004</v>
      </c>
      <c r="W671" s="13">
        <v>903668.6</v>
      </c>
      <c r="X671" s="13">
        <v>43.548533999999997</v>
      </c>
      <c r="Y671" s="14">
        <f>+Table1[[#This Row],[Generation Cost 
LCOE (USD/MWh)]]+Table1[[#This Row],[Transmission Cost
LCOT (USD/MWh)]]</f>
        <v>94.957801119999999</v>
      </c>
    </row>
    <row r="672" spans="1:25" x14ac:dyDescent="0.3">
      <c r="A672" s="7">
        <v>671</v>
      </c>
      <c r="B672" s="8">
        <v>7252</v>
      </c>
      <c r="C672" s="9">
        <v>47.195010000000003</v>
      </c>
      <c r="D672" s="9">
        <v>-122.54626500000001</v>
      </c>
      <c r="E672" s="10" t="s">
        <v>42</v>
      </c>
      <c r="F672" s="10" t="s">
        <v>4</v>
      </c>
      <c r="G672" s="10" t="s">
        <v>32</v>
      </c>
      <c r="H672" s="10">
        <v>-8</v>
      </c>
      <c r="I672" s="11">
        <v>82.38461538</v>
      </c>
      <c r="J672" s="11">
        <v>3.3854410000000001</v>
      </c>
      <c r="K672" s="11" t="str">
        <f>IF(Table1[[#This Row],[Solar 
Resource]]&lt;3,"Low", IF(Table1[[#This Row],[Solar 
Resource]]&lt;4, "Moderate","High"))</f>
        <v>Moderate</v>
      </c>
      <c r="L672" s="11">
        <v>1.0208088</v>
      </c>
      <c r="M672" s="11">
        <v>9.0973530399999998</v>
      </c>
      <c r="N672" s="11">
        <v>291.92996540000001</v>
      </c>
      <c r="O672" s="11">
        <v>391.18618070000002</v>
      </c>
      <c r="P672" s="11">
        <f>Table1[[#This Row],[Installed Capacity 
(AC -MW)]]/Table1[[#This Row],[Installed Capacity 
(DC -MW)]]</f>
        <v>0.74626860508623283</v>
      </c>
      <c r="Q672" s="12">
        <v>0.19197813999999999</v>
      </c>
      <c r="R672" s="12">
        <v>0.14326727</v>
      </c>
      <c r="S672" s="13">
        <v>51.321439030000001</v>
      </c>
      <c r="T672" s="11">
        <v>0.63</v>
      </c>
      <c r="U672" s="11">
        <v>73.889733730000003</v>
      </c>
      <c r="V672" s="13">
        <v>250974.07560000001</v>
      </c>
      <c r="W672" s="13">
        <v>292196</v>
      </c>
      <c r="X672" s="13">
        <v>14.056167</v>
      </c>
      <c r="Y672" s="14">
        <f>+Table1[[#This Row],[Generation Cost 
LCOE (USD/MWh)]]+Table1[[#This Row],[Transmission Cost
LCOT (USD/MWh)]]</f>
        <v>65.377606029999995</v>
      </c>
    </row>
    <row r="673" spans="1:25" x14ac:dyDescent="0.3">
      <c r="A673" s="7">
        <v>672</v>
      </c>
      <c r="B673" s="8">
        <v>7253</v>
      </c>
      <c r="C673" s="9">
        <v>47.221924000000001</v>
      </c>
      <c r="D673" s="9">
        <v>-122.39116</v>
      </c>
      <c r="E673" s="10" t="s">
        <v>42</v>
      </c>
      <c r="F673" s="10" t="s">
        <v>4</v>
      </c>
      <c r="G673" s="10" t="s">
        <v>32</v>
      </c>
      <c r="H673" s="10">
        <v>-8</v>
      </c>
      <c r="I673" s="11">
        <v>71.555555560000002</v>
      </c>
      <c r="J673" s="11">
        <v>3.3042590000000001</v>
      </c>
      <c r="K673" s="11" t="str">
        <f>IF(Table1[[#This Row],[Solar 
Resource]]&lt;3,"Low", IF(Table1[[#This Row],[Solar 
Resource]]&lt;4, "Moderate","High"))</f>
        <v>Moderate</v>
      </c>
      <c r="L673" s="11">
        <v>1.0208997</v>
      </c>
      <c r="M673" s="11">
        <v>11.966615880000001</v>
      </c>
      <c r="N673" s="11">
        <v>384.00331890000001</v>
      </c>
      <c r="O673" s="11">
        <v>514.56448290000003</v>
      </c>
      <c r="P673" s="11">
        <f>Table1[[#This Row],[Installed Capacity 
(AC -MW)]]/Table1[[#This Row],[Installed Capacity 
(DC -MW)]]</f>
        <v>0.74626860512373694</v>
      </c>
      <c r="Q673" s="12">
        <v>0.18615129999999999</v>
      </c>
      <c r="R673" s="12">
        <v>0.13891887999999999</v>
      </c>
      <c r="S673" s="13">
        <v>52.931617690000003</v>
      </c>
      <c r="T673" s="11">
        <v>3.3555844119999998</v>
      </c>
      <c r="U673" s="11">
        <v>62.849519450000003</v>
      </c>
      <c r="V673" s="13">
        <v>213890.18890000001</v>
      </c>
      <c r="W673" s="13">
        <v>262887.34000000003</v>
      </c>
      <c r="X673" s="13">
        <v>13.042115000000001</v>
      </c>
      <c r="Y673" s="14">
        <f>+Table1[[#This Row],[Generation Cost 
LCOE (USD/MWh)]]+Table1[[#This Row],[Transmission Cost
LCOT (USD/MWh)]]</f>
        <v>65.973732690000006</v>
      </c>
    </row>
    <row r="674" spans="1:25" x14ac:dyDescent="0.3">
      <c r="A674" s="7">
        <v>673</v>
      </c>
      <c r="B674" s="8">
        <v>7254</v>
      </c>
      <c r="C674" s="9">
        <v>47.248683999999997</v>
      </c>
      <c r="D674" s="9">
        <v>-122.235916</v>
      </c>
      <c r="E674" s="10" t="s">
        <v>42</v>
      </c>
      <c r="F674" s="10" t="s">
        <v>4</v>
      </c>
      <c r="G674" s="10" t="s">
        <v>32</v>
      </c>
      <c r="H674" s="10">
        <v>-8</v>
      </c>
      <c r="I674" s="11">
        <v>105.875</v>
      </c>
      <c r="J674" s="11">
        <v>3.214483</v>
      </c>
      <c r="K674" s="11" t="str">
        <f>IF(Table1[[#This Row],[Solar 
Resource]]&lt;3,"Low", IF(Table1[[#This Row],[Solar 
Resource]]&lt;4, "Moderate","High"))</f>
        <v>Moderate</v>
      </c>
      <c r="L674" s="11">
        <v>1.0209056000000001</v>
      </c>
      <c r="M674" s="11">
        <v>14.79238176</v>
      </c>
      <c r="N674" s="11">
        <v>474.68087450000002</v>
      </c>
      <c r="O674" s="11">
        <v>636.07241580000004</v>
      </c>
      <c r="P674" s="11">
        <f>Table1[[#This Row],[Installed Capacity 
(AC -MW)]]/Table1[[#This Row],[Installed Capacity 
(DC -MW)]]</f>
        <v>0.74626860512884385</v>
      </c>
      <c r="Q674" s="12">
        <v>0.18098243</v>
      </c>
      <c r="R674" s="12">
        <v>0.13506151999999999</v>
      </c>
      <c r="S674" s="13">
        <v>54.443603549999999</v>
      </c>
      <c r="T674" s="11">
        <v>0.127279221</v>
      </c>
      <c r="U674" s="11">
        <v>47.448279200000002</v>
      </c>
      <c r="V674" s="13">
        <v>150032.80540000001</v>
      </c>
      <c r="W674" s="13">
        <v>166302.32999999999</v>
      </c>
      <c r="X674" s="13">
        <v>8.486065</v>
      </c>
      <c r="Y674" s="14">
        <f>+Table1[[#This Row],[Generation Cost 
LCOE (USD/MWh)]]+Table1[[#This Row],[Transmission Cost
LCOT (USD/MWh)]]</f>
        <v>62.929668550000002</v>
      </c>
    </row>
    <row r="675" spans="1:25" x14ac:dyDescent="0.3">
      <c r="A675" s="7">
        <v>674</v>
      </c>
      <c r="B675" s="8">
        <v>7255</v>
      </c>
      <c r="C675" s="9">
        <v>47.275289999999998</v>
      </c>
      <c r="D675" s="9">
        <v>-122.08052000000001</v>
      </c>
      <c r="E675" s="10" t="s">
        <v>42</v>
      </c>
      <c r="F675" s="10" t="s">
        <v>4</v>
      </c>
      <c r="G675" s="10" t="s">
        <v>22</v>
      </c>
      <c r="H675" s="10">
        <v>-8</v>
      </c>
      <c r="I675" s="11">
        <v>151.15</v>
      </c>
      <c r="J675" s="11">
        <v>3.1559051999999999</v>
      </c>
      <c r="K675" s="11" t="str">
        <f>IF(Table1[[#This Row],[Solar 
Resource]]&lt;3,"Low", IF(Table1[[#This Row],[Solar 
Resource]]&lt;4, "Moderate","High"))</f>
        <v>Moderate</v>
      </c>
      <c r="L675" s="11">
        <v>1.0208484</v>
      </c>
      <c r="M675" s="11">
        <v>28.52982158</v>
      </c>
      <c r="N675" s="11">
        <v>915.50902780000001</v>
      </c>
      <c r="O675" s="11">
        <v>1226.782328</v>
      </c>
      <c r="P675" s="11">
        <f>Table1[[#This Row],[Installed Capacity 
(AC -MW)]]/Table1[[#This Row],[Installed Capacity 
(DC -MW)]]</f>
        <v>0.7462685163492182</v>
      </c>
      <c r="Q675" s="12">
        <v>0.17691272</v>
      </c>
      <c r="R675" s="12">
        <v>0.13202442</v>
      </c>
      <c r="S675" s="13">
        <v>55.693552590000003</v>
      </c>
      <c r="T675" s="11">
        <v>4.345584412</v>
      </c>
      <c r="U675" s="11">
        <v>65.314149310000005</v>
      </c>
      <c r="V675" s="13">
        <v>221977.96669999999</v>
      </c>
      <c r="W675" s="13">
        <v>287634.12</v>
      </c>
      <c r="X675" s="13">
        <v>15.015014000000001</v>
      </c>
      <c r="Y675" s="14">
        <f>+Table1[[#This Row],[Generation Cost 
LCOE (USD/MWh)]]+Table1[[#This Row],[Transmission Cost
LCOT (USD/MWh)]]</f>
        <v>70.708566590000004</v>
      </c>
    </row>
    <row r="676" spans="1:25" x14ac:dyDescent="0.3">
      <c r="A676" s="7">
        <v>675</v>
      </c>
      <c r="B676" s="8">
        <v>7256</v>
      </c>
      <c r="C676" s="9">
        <v>47.301746000000001</v>
      </c>
      <c r="D676" s="9">
        <v>-121.92498999999999</v>
      </c>
      <c r="E676" s="10" t="s">
        <v>42</v>
      </c>
      <c r="F676" s="10" t="s">
        <v>4</v>
      </c>
      <c r="G676" s="10" t="s">
        <v>22</v>
      </c>
      <c r="H676" s="10">
        <v>-8</v>
      </c>
      <c r="I676" s="11">
        <v>405.83333329999999</v>
      </c>
      <c r="J676" s="11">
        <v>3.0636988000000001</v>
      </c>
      <c r="K676" s="11" t="str">
        <f>IF(Table1[[#This Row],[Solar 
Resource]]&lt;3,"Low", IF(Table1[[#This Row],[Solar 
Resource]]&lt;4, "Moderate","High"))</f>
        <v>Moderate</v>
      </c>
      <c r="L676" s="11">
        <v>1.0207033000000001</v>
      </c>
      <c r="M676" s="11">
        <v>30.14091079</v>
      </c>
      <c r="N676" s="11">
        <v>967.20826439999996</v>
      </c>
      <c r="O676" s="11">
        <v>1296.059164</v>
      </c>
      <c r="P676" s="11">
        <f>Table1[[#This Row],[Installed Capacity 
(AC -MW)]]/Table1[[#This Row],[Installed Capacity 
(DC -MW)]]</f>
        <v>0.74626860506500758</v>
      </c>
      <c r="Q676" s="12">
        <v>0.17166518</v>
      </c>
      <c r="R676" s="12">
        <v>0.12810835000000001</v>
      </c>
      <c r="S676" s="13">
        <v>57.389557959999998</v>
      </c>
      <c r="T676" s="11">
        <v>0.757279221</v>
      </c>
      <c r="U676" s="11">
        <v>53.003792179999998</v>
      </c>
      <c r="V676" s="13">
        <v>190801.86429999999</v>
      </c>
      <c r="W676" s="13">
        <v>237906.7</v>
      </c>
      <c r="X676" s="13">
        <v>12.798788999999999</v>
      </c>
      <c r="Y676" s="14">
        <f>+Table1[[#This Row],[Generation Cost 
LCOE (USD/MWh)]]+Table1[[#This Row],[Transmission Cost
LCOT (USD/MWh)]]</f>
        <v>70.18834695999999</v>
      </c>
    </row>
    <row r="677" spans="1:25" x14ac:dyDescent="0.3">
      <c r="A677" s="7">
        <v>676</v>
      </c>
      <c r="B677" s="8">
        <v>7257</v>
      </c>
      <c r="C677" s="9">
        <v>47.328045000000003</v>
      </c>
      <c r="D677" s="9">
        <v>-121.7693</v>
      </c>
      <c r="E677" s="10" t="s">
        <v>42</v>
      </c>
      <c r="F677" s="10" t="s">
        <v>4</v>
      </c>
      <c r="G677" s="10" t="s">
        <v>22</v>
      </c>
      <c r="H677" s="10">
        <v>-8</v>
      </c>
      <c r="I677" s="11">
        <v>643.9</v>
      </c>
      <c r="J677" s="11">
        <v>3.0771608000000001</v>
      </c>
      <c r="K677" s="11" t="str">
        <f>IF(Table1[[#This Row],[Solar 
Resource]]&lt;3,"Low", IF(Table1[[#This Row],[Solar 
Resource]]&lt;4, "Moderate","High"))</f>
        <v>Moderate</v>
      </c>
      <c r="L677" s="11">
        <v>1.0204542000000001</v>
      </c>
      <c r="M677" s="11">
        <v>5.4061023559999999</v>
      </c>
      <c r="N677" s="11">
        <v>173.4793713</v>
      </c>
      <c r="O677" s="11">
        <v>232.46240130000001</v>
      </c>
      <c r="P677" s="11">
        <f>Table1[[#This Row],[Installed Capacity 
(AC -MW)]]/Table1[[#This Row],[Installed Capacity 
(DC -MW)]]</f>
        <v>0.74626851624112511</v>
      </c>
      <c r="Q677" s="12">
        <v>0.17502288999999999</v>
      </c>
      <c r="R677" s="12">
        <v>0.13061410000000001</v>
      </c>
      <c r="S677" s="13">
        <v>56.277706510000002</v>
      </c>
      <c r="T677" s="11">
        <v>2.1946298679999998</v>
      </c>
      <c r="U677" s="11">
        <v>64.625032430000005</v>
      </c>
      <c r="V677" s="13">
        <v>220370.01850000001</v>
      </c>
      <c r="W677" s="13">
        <v>291528.28000000003</v>
      </c>
      <c r="X677" s="13">
        <v>15.382618000000001</v>
      </c>
      <c r="Y677" s="14">
        <f>+Table1[[#This Row],[Generation Cost 
LCOE (USD/MWh)]]+Table1[[#This Row],[Transmission Cost
LCOT (USD/MWh)]]</f>
        <v>71.660324510000009</v>
      </c>
    </row>
    <row r="678" spans="1:25" x14ac:dyDescent="0.3">
      <c r="A678" s="7">
        <v>677</v>
      </c>
      <c r="B678" s="8">
        <v>7258</v>
      </c>
      <c r="C678" s="9">
        <v>47.354190000000003</v>
      </c>
      <c r="D678" s="9">
        <v>-121.61348</v>
      </c>
      <c r="E678" s="10" t="s">
        <v>42</v>
      </c>
      <c r="F678" s="10" t="s">
        <v>4</v>
      </c>
      <c r="G678" s="10" t="s">
        <v>22</v>
      </c>
      <c r="H678" s="10">
        <v>-8</v>
      </c>
      <c r="I678" s="11">
        <v>926</v>
      </c>
      <c r="J678" s="11">
        <v>3.2077637000000001</v>
      </c>
      <c r="K678" s="11" t="str">
        <f>IF(Table1[[#This Row],[Solar 
Resource]]&lt;3,"Low", IF(Table1[[#This Row],[Solar 
Resource]]&lt;4, "Moderate","High"))</f>
        <v>Moderate</v>
      </c>
      <c r="L678" s="11">
        <v>1.0193584</v>
      </c>
      <c r="M678" s="11">
        <v>2.3328001000000001E-2</v>
      </c>
      <c r="N678" s="11">
        <v>0.74858496399999996</v>
      </c>
      <c r="O678" s="11">
        <v>1.00310404</v>
      </c>
      <c r="P678" s="11">
        <f>Table1[[#This Row],[Installed Capacity 
(AC -MW)]]/Table1[[#This Row],[Installed Capacity 
(DC -MW)]]</f>
        <v>0.7462685166735048</v>
      </c>
      <c r="Q678" s="12">
        <v>0.18362456999999999</v>
      </c>
      <c r="R678" s="12">
        <v>0.13703325</v>
      </c>
      <c r="S678" s="13">
        <v>89.228471429999999</v>
      </c>
      <c r="T678" s="11">
        <v>6.6893311630000003</v>
      </c>
      <c r="U678" s="11">
        <v>75.236629820000005</v>
      </c>
      <c r="V678" s="13">
        <v>360059.70909999998</v>
      </c>
      <c r="W678" s="13">
        <v>475017.8</v>
      </c>
      <c r="X678" s="13">
        <v>23.890408000000001</v>
      </c>
      <c r="Y678" s="14">
        <f>+Table1[[#This Row],[Generation Cost 
LCOE (USD/MWh)]]+Table1[[#This Row],[Transmission Cost
LCOT (USD/MWh)]]</f>
        <v>113.11887942999999</v>
      </c>
    </row>
    <row r="679" spans="1:25" x14ac:dyDescent="0.3">
      <c r="A679" s="7">
        <v>678</v>
      </c>
      <c r="B679" s="8">
        <v>7259</v>
      </c>
      <c r="C679" s="9">
        <v>47.380184</v>
      </c>
      <c r="D679" s="9">
        <v>-121.45752</v>
      </c>
      <c r="E679" s="10" t="s">
        <v>42</v>
      </c>
      <c r="F679" s="10" t="s">
        <v>4</v>
      </c>
      <c r="G679" s="10" t="s">
        <v>24</v>
      </c>
      <c r="H679" s="10">
        <v>-8</v>
      </c>
      <c r="I679" s="11">
        <v>1015</v>
      </c>
      <c r="J679" s="11">
        <v>3.2762937999999999</v>
      </c>
      <c r="K679" s="11" t="str">
        <f>IF(Table1[[#This Row],[Solar 
Resource]]&lt;3,"Low", IF(Table1[[#This Row],[Solar 
Resource]]&lt;4, "Moderate","High"))</f>
        <v>Moderate</v>
      </c>
      <c r="L679" s="11">
        <v>1.0184355</v>
      </c>
      <c r="M679" s="11">
        <v>0.54075601699999998</v>
      </c>
      <c r="N679" s="11">
        <v>17.352617259999999</v>
      </c>
      <c r="O679" s="11">
        <v>23.25250874</v>
      </c>
      <c r="P679" s="11">
        <f>Table1[[#This Row],[Installed Capacity 
(AC -MW)]]/Table1[[#This Row],[Installed Capacity 
(DC -MW)]]</f>
        <v>0.74626860499354442</v>
      </c>
      <c r="Q679" s="12">
        <v>0.18774809000000001</v>
      </c>
      <c r="R679" s="12">
        <v>0.14011051999999999</v>
      </c>
      <c r="S679" s="13">
        <v>60.907972950000001</v>
      </c>
      <c r="T679" s="11">
        <v>2.5546298680000001</v>
      </c>
      <c r="U679" s="11">
        <v>83.682285660000005</v>
      </c>
      <c r="V679" s="13">
        <v>424927.19</v>
      </c>
      <c r="W679" s="13">
        <v>470917.66</v>
      </c>
      <c r="X679" s="13">
        <v>23.164017000000001</v>
      </c>
      <c r="Y679" s="14">
        <f>+Table1[[#This Row],[Generation Cost 
LCOE (USD/MWh)]]+Table1[[#This Row],[Transmission Cost
LCOT (USD/MWh)]]</f>
        <v>84.071989950000003</v>
      </c>
    </row>
    <row r="680" spans="1:25" x14ac:dyDescent="0.3">
      <c r="A680" s="7">
        <v>679</v>
      </c>
      <c r="B680" s="8">
        <v>7260</v>
      </c>
      <c r="C680" s="9">
        <v>47.406025</v>
      </c>
      <c r="D680" s="9">
        <v>-121.30141399999999</v>
      </c>
      <c r="E680" s="10" t="s">
        <v>42</v>
      </c>
      <c r="F680" s="10" t="s">
        <v>4</v>
      </c>
      <c r="G680" s="10" t="s">
        <v>24</v>
      </c>
      <c r="H680" s="10">
        <v>-8</v>
      </c>
      <c r="I680" s="11">
        <v>1038.25</v>
      </c>
      <c r="J680" s="11">
        <v>3.5913496</v>
      </c>
      <c r="K680" s="11" t="str">
        <f>IF(Table1[[#This Row],[Solar 
Resource]]&lt;3,"Low", IF(Table1[[#This Row],[Solar 
Resource]]&lt;4, "Moderate","High"))</f>
        <v>Moderate</v>
      </c>
      <c r="L680" s="11">
        <v>1.017784</v>
      </c>
      <c r="M680" s="11">
        <v>0.149363989</v>
      </c>
      <c r="N680" s="11">
        <v>4.7930237619999998</v>
      </c>
      <c r="O680" s="11">
        <v>6.4226515219999998</v>
      </c>
      <c r="P680" s="11">
        <f>Table1[[#This Row],[Installed Capacity 
(AC -MW)]]/Table1[[#This Row],[Installed Capacity 
(DC -MW)]]</f>
        <v>0.7462686937913553</v>
      </c>
      <c r="Q680" s="12">
        <v>0.20880151</v>
      </c>
      <c r="R680" s="12">
        <v>0.15582202000000001</v>
      </c>
      <c r="S680" s="13">
        <v>63.22024545</v>
      </c>
      <c r="T680" s="11">
        <v>11.22396103</v>
      </c>
      <c r="U680" s="11">
        <v>88.186032409999996</v>
      </c>
      <c r="V680" s="13">
        <v>452911.28629999998</v>
      </c>
      <c r="W680" s="13">
        <v>585402</v>
      </c>
      <c r="X680" s="13">
        <v>25.891961999999999</v>
      </c>
      <c r="Y680" s="14">
        <f>+Table1[[#This Row],[Generation Cost 
LCOE (USD/MWh)]]+Table1[[#This Row],[Transmission Cost
LCOT (USD/MWh)]]</f>
        <v>89.11220745</v>
      </c>
    </row>
    <row r="681" spans="1:25" x14ac:dyDescent="0.3">
      <c r="A681" s="7">
        <v>680</v>
      </c>
      <c r="B681" s="8">
        <v>7261</v>
      </c>
      <c r="C681" s="9">
        <v>47.431705000000001</v>
      </c>
      <c r="D681" s="9">
        <v>-121.14516399999999</v>
      </c>
      <c r="E681" s="10" t="s">
        <v>42</v>
      </c>
      <c r="F681" s="10" t="s">
        <v>4</v>
      </c>
      <c r="G681" s="10" t="s">
        <v>24</v>
      </c>
      <c r="H681" s="10">
        <v>-8</v>
      </c>
      <c r="I681" s="11">
        <v>1397</v>
      </c>
      <c r="J681" s="11">
        <v>3.6740002999999999</v>
      </c>
      <c r="K681" s="11" t="str">
        <f>IF(Table1[[#This Row],[Solar 
Resource]]&lt;3,"Low", IF(Table1[[#This Row],[Solar 
Resource]]&lt;4, "Moderate","High"))</f>
        <v>Moderate</v>
      </c>
      <c r="L681" s="11">
        <v>1.0167090000000001</v>
      </c>
      <c r="M681" s="11">
        <v>5.1840000000000002E-3</v>
      </c>
      <c r="N681" s="11">
        <v>0.16635222399999999</v>
      </c>
      <c r="O681" s="11">
        <v>0.222911995</v>
      </c>
      <c r="P681" s="11">
        <f>Table1[[#This Row],[Installed Capacity 
(AC -MW)]]/Table1[[#This Row],[Installed Capacity 
(DC -MW)]]</f>
        <v>0.74626860703480757</v>
      </c>
      <c r="Q681" s="12">
        <v>0.2145804</v>
      </c>
      <c r="R681" s="12">
        <v>0.16013463999999999</v>
      </c>
      <c r="S681" s="13">
        <v>91.117151410000005</v>
      </c>
      <c r="T681" s="11">
        <v>22.984175310000001</v>
      </c>
      <c r="U681" s="11">
        <v>88.186032409999996</v>
      </c>
      <c r="V681" s="13">
        <v>452911.28629999998</v>
      </c>
      <c r="W681" s="13">
        <v>675196.4</v>
      </c>
      <c r="X681" s="13">
        <v>29.059253999999999</v>
      </c>
      <c r="Y681" s="14">
        <f>+Table1[[#This Row],[Generation Cost 
LCOE (USD/MWh)]]+Table1[[#This Row],[Transmission Cost
LCOT (USD/MWh)]]</f>
        <v>120.17640541</v>
      </c>
    </row>
    <row r="682" spans="1:25" x14ac:dyDescent="0.3">
      <c r="A682" s="7">
        <v>681</v>
      </c>
      <c r="B682" s="8">
        <v>7264</v>
      </c>
      <c r="C682" s="9">
        <v>47.507828000000003</v>
      </c>
      <c r="D682" s="9">
        <v>-120.6756</v>
      </c>
      <c r="E682" s="10" t="s">
        <v>42</v>
      </c>
      <c r="F682" s="10" t="s">
        <v>4</v>
      </c>
      <c r="G682" s="10" t="s">
        <v>11</v>
      </c>
      <c r="H682" s="10">
        <v>-8</v>
      </c>
      <c r="I682" s="11">
        <v>663.5</v>
      </c>
      <c r="J682" s="11">
        <v>3.8941127999999998</v>
      </c>
      <c r="K682" s="11" t="str">
        <f>IF(Table1[[#This Row],[Solar 
Resource]]&lt;3,"Low", IF(Table1[[#This Row],[Solar 
Resource]]&lt;4, "Moderate","High"))</f>
        <v>Moderate</v>
      </c>
      <c r="L682" s="11">
        <v>1.0122812000000001</v>
      </c>
      <c r="M682" s="11">
        <v>0.55355396999999995</v>
      </c>
      <c r="N682" s="11">
        <v>17.763299929999999</v>
      </c>
      <c r="O682" s="11">
        <v>23.80282072</v>
      </c>
      <c r="P682" s="11">
        <f>Table1[[#This Row],[Installed Capacity 
(AC -MW)]]/Table1[[#This Row],[Installed Capacity 
(DC -MW)]]</f>
        <v>0.74626869390629091</v>
      </c>
      <c r="Q682" s="12">
        <v>0.23088539999999999</v>
      </c>
      <c r="R682" s="12">
        <v>0.17230250999999999</v>
      </c>
      <c r="S682" s="13">
        <v>49.15591577</v>
      </c>
      <c r="T682" s="11">
        <v>10.01028571</v>
      </c>
      <c r="U682" s="11">
        <v>137.66703240000001</v>
      </c>
      <c r="V682" s="13">
        <v>428321.94099999999</v>
      </c>
      <c r="W682" s="13">
        <v>546242.80000000005</v>
      </c>
      <c r="X682" s="13">
        <v>21.849105999999999</v>
      </c>
      <c r="Y682" s="14">
        <f>+Table1[[#This Row],[Generation Cost 
LCOE (USD/MWh)]]+Table1[[#This Row],[Transmission Cost
LCOT (USD/MWh)]]</f>
        <v>71.005021769999999</v>
      </c>
    </row>
    <row r="683" spans="1:25" x14ac:dyDescent="0.3">
      <c r="A683" s="7">
        <v>682</v>
      </c>
      <c r="B683" s="8">
        <v>7265</v>
      </c>
      <c r="C683" s="9">
        <v>47.532893999999999</v>
      </c>
      <c r="D683" s="9">
        <v>-120.51879</v>
      </c>
      <c r="E683" s="10" t="s">
        <v>42</v>
      </c>
      <c r="F683" s="10" t="s">
        <v>4</v>
      </c>
      <c r="G683" s="10" t="s">
        <v>11</v>
      </c>
      <c r="H683" s="10">
        <v>-8</v>
      </c>
      <c r="I683" s="11">
        <v>533.375</v>
      </c>
      <c r="J683" s="11">
        <v>3.9740647999999998</v>
      </c>
      <c r="K683" s="11" t="str">
        <f>IF(Table1[[#This Row],[Solar 
Resource]]&lt;3,"Low", IF(Table1[[#This Row],[Solar 
Resource]]&lt;4, "Moderate","High"))</f>
        <v>Moderate</v>
      </c>
      <c r="L683" s="11">
        <v>1.0107481</v>
      </c>
      <c r="M683" s="11">
        <v>3.6660600489999999</v>
      </c>
      <c r="N683" s="11">
        <v>117.6422173</v>
      </c>
      <c r="O683" s="11">
        <v>157.64058209999999</v>
      </c>
      <c r="P683" s="11">
        <f>Table1[[#This Row],[Installed Capacity 
(AC -MW)]]/Table1[[#This Row],[Installed Capacity 
(DC -MW)]]</f>
        <v>0.74626860503073467</v>
      </c>
      <c r="Q683" s="12">
        <v>0.23590934</v>
      </c>
      <c r="R683" s="12">
        <v>0.17605175000000001</v>
      </c>
      <c r="S683" s="13">
        <v>41.438545670000003</v>
      </c>
      <c r="T683" s="11">
        <v>0.45</v>
      </c>
      <c r="U683" s="11">
        <v>129.66498039999999</v>
      </c>
      <c r="V683" s="13">
        <v>399869.20899999997</v>
      </c>
      <c r="W683" s="13">
        <v>439932.56</v>
      </c>
      <c r="X683" s="13">
        <v>17.222069999999999</v>
      </c>
      <c r="Y683" s="14">
        <f>+Table1[[#This Row],[Generation Cost 
LCOE (USD/MWh)]]+Table1[[#This Row],[Transmission Cost
LCOT (USD/MWh)]]</f>
        <v>58.660615669999999</v>
      </c>
    </row>
    <row r="684" spans="1:25" x14ac:dyDescent="0.3">
      <c r="A684" s="7">
        <v>683</v>
      </c>
      <c r="B684" s="8">
        <v>7266</v>
      </c>
      <c r="C684" s="9">
        <v>47.557803999999997</v>
      </c>
      <c r="D684" s="9">
        <v>-120.36185500000001</v>
      </c>
      <c r="E684" s="10" t="s">
        <v>42</v>
      </c>
      <c r="F684" s="10" t="s">
        <v>4</v>
      </c>
      <c r="G684" s="10" t="s">
        <v>11</v>
      </c>
      <c r="H684" s="10">
        <v>-8</v>
      </c>
      <c r="I684" s="11">
        <v>593.5</v>
      </c>
      <c r="J684" s="11">
        <v>4.0436544000000003</v>
      </c>
      <c r="K684" s="11" t="str">
        <f>IF(Table1[[#This Row],[Solar 
Resource]]&lt;3,"Low", IF(Table1[[#This Row],[Solar 
Resource]]&lt;4, "Moderate","High"))</f>
        <v>High</v>
      </c>
      <c r="L684" s="11">
        <v>1.0085541</v>
      </c>
      <c r="M684" s="11">
        <v>1.1051638960000001</v>
      </c>
      <c r="N684" s="11">
        <v>35.464212119999999</v>
      </c>
      <c r="O684" s="11">
        <v>47.522047540000003</v>
      </c>
      <c r="P684" s="11">
        <f>Table1[[#This Row],[Installed Capacity 
(AC -MW)]]/Table1[[#This Row],[Installed Capacity 
(DC -MW)]]</f>
        <v>0.74626860490700142</v>
      </c>
      <c r="Q684" s="12">
        <v>0.24351074</v>
      </c>
      <c r="R684" s="12">
        <v>0.18172442999999999</v>
      </c>
      <c r="S684" s="13">
        <v>43.089712349999999</v>
      </c>
      <c r="T684" s="11">
        <v>3.8364675300000002</v>
      </c>
      <c r="U684" s="11">
        <v>119.2872012</v>
      </c>
      <c r="V684" s="13">
        <v>363898.64809999999</v>
      </c>
      <c r="W684" s="13">
        <v>443331.22</v>
      </c>
      <c r="X684" s="13">
        <v>16.813364</v>
      </c>
      <c r="Y684" s="14">
        <f>+Table1[[#This Row],[Generation Cost 
LCOE (USD/MWh)]]+Table1[[#This Row],[Transmission Cost
LCOT (USD/MWh)]]</f>
        <v>59.903076349999999</v>
      </c>
    </row>
    <row r="685" spans="1:25" x14ac:dyDescent="0.3">
      <c r="A685" s="7">
        <v>684</v>
      </c>
      <c r="B685" s="8">
        <v>7267</v>
      </c>
      <c r="C685" s="9">
        <v>47.582557999999999</v>
      </c>
      <c r="D685" s="9">
        <v>-120.20477</v>
      </c>
      <c r="E685" s="10" t="s">
        <v>42</v>
      </c>
      <c r="F685" s="10" t="s">
        <v>4</v>
      </c>
      <c r="G685" s="10" t="s">
        <v>13</v>
      </c>
      <c r="H685" s="10">
        <v>-8</v>
      </c>
      <c r="I685" s="11">
        <v>833.41176470000005</v>
      </c>
      <c r="J685" s="11">
        <v>4.0994052999999999</v>
      </c>
      <c r="K685" s="11" t="str">
        <f>IF(Table1[[#This Row],[Solar 
Resource]]&lt;3,"Low", IF(Table1[[#This Row],[Solar 
Resource]]&lt;4, "Moderate","High"))</f>
        <v>High</v>
      </c>
      <c r="L685" s="11">
        <v>1.0066651</v>
      </c>
      <c r="M685" s="11">
        <v>15.14108716</v>
      </c>
      <c r="N685" s="11">
        <v>485.8706737</v>
      </c>
      <c r="O685" s="11">
        <v>651.06674780000003</v>
      </c>
      <c r="P685" s="11">
        <f>Table1[[#This Row],[Installed Capacity 
(AC -MW)]]/Table1[[#This Row],[Installed Capacity 
(DC -MW)]]</f>
        <v>0.74626860508817394</v>
      </c>
      <c r="Q685" s="12">
        <v>0.25129449999999998</v>
      </c>
      <c r="R685" s="12">
        <v>0.18753323</v>
      </c>
      <c r="S685" s="13">
        <v>38.777399819999999</v>
      </c>
      <c r="T685" s="11">
        <v>1.0709545439999999</v>
      </c>
      <c r="U685" s="11">
        <v>123.68550639999999</v>
      </c>
      <c r="V685" s="13">
        <v>371341.89110000001</v>
      </c>
      <c r="W685" s="13">
        <v>421474.2</v>
      </c>
      <c r="X685" s="13">
        <v>15.489322</v>
      </c>
      <c r="Y685" s="14">
        <f>+Table1[[#This Row],[Generation Cost 
LCOE (USD/MWh)]]+Table1[[#This Row],[Transmission Cost
LCOT (USD/MWh)]]</f>
        <v>54.266721820000001</v>
      </c>
    </row>
    <row r="686" spans="1:25" x14ac:dyDescent="0.3">
      <c r="A686" s="7">
        <v>685</v>
      </c>
      <c r="B686" s="8">
        <v>7268</v>
      </c>
      <c r="C686" s="9">
        <v>47.607154999999999</v>
      </c>
      <c r="D686" s="9">
        <v>-120.04756</v>
      </c>
      <c r="E686" s="10" t="s">
        <v>42</v>
      </c>
      <c r="F686" s="10" t="s">
        <v>4</v>
      </c>
      <c r="G686" s="10" t="s">
        <v>13</v>
      </c>
      <c r="H686" s="10">
        <v>-8</v>
      </c>
      <c r="I686" s="11">
        <v>870.83333330000005</v>
      </c>
      <c r="J686" s="11">
        <v>4.0301939999999998</v>
      </c>
      <c r="K686" s="11" t="str">
        <f>IF(Table1[[#This Row],[Solar 
Resource]]&lt;3,"Low", IF(Table1[[#This Row],[Solar 
Resource]]&lt;4, "Moderate","High"))</f>
        <v>High</v>
      </c>
      <c r="L686" s="11">
        <v>1.0046824000000001</v>
      </c>
      <c r="M686" s="11">
        <v>32.513399999999997</v>
      </c>
      <c r="N686" s="11">
        <v>1043.3403760000001</v>
      </c>
      <c r="O686" s="11">
        <v>1398.0762</v>
      </c>
      <c r="P686" s="11">
        <f>Table1[[#This Row],[Installed Capacity 
(AC -MW)]]/Table1[[#This Row],[Installed Capacity 
(DC -MW)]]</f>
        <v>0.74626860538788953</v>
      </c>
      <c r="Q686" s="12">
        <v>0.24580827</v>
      </c>
      <c r="R686" s="12">
        <v>0.18343902000000001</v>
      </c>
      <c r="S686" s="13">
        <v>39.581261019999999</v>
      </c>
      <c r="T686" s="11">
        <v>7.0647727209999998</v>
      </c>
      <c r="U686" s="11">
        <v>134.11225970000001</v>
      </c>
      <c r="V686" s="13">
        <v>417665.3112</v>
      </c>
      <c r="W686" s="13">
        <v>499683.53</v>
      </c>
      <c r="X686" s="13">
        <v>18.773401</v>
      </c>
      <c r="Y686" s="14">
        <f>+Table1[[#This Row],[Generation Cost 
LCOE (USD/MWh)]]+Table1[[#This Row],[Transmission Cost
LCOT (USD/MWh)]]</f>
        <v>58.354662019999999</v>
      </c>
    </row>
    <row r="687" spans="1:25" x14ac:dyDescent="0.3">
      <c r="A687" s="7">
        <v>686</v>
      </c>
      <c r="B687" s="8">
        <v>7269</v>
      </c>
      <c r="C687" s="9">
        <v>47.631596000000002</v>
      </c>
      <c r="D687" s="9">
        <v>-119.89021</v>
      </c>
      <c r="E687" s="10" t="s">
        <v>42</v>
      </c>
      <c r="F687" s="10" t="s">
        <v>4</v>
      </c>
      <c r="G687" s="10" t="s">
        <v>13</v>
      </c>
      <c r="H687" s="10">
        <v>-8</v>
      </c>
      <c r="I687" s="11">
        <v>754.95</v>
      </c>
      <c r="J687" s="11">
        <v>4.008661</v>
      </c>
      <c r="K687" s="11" t="str">
        <f>IF(Table1[[#This Row],[Solar 
Resource]]&lt;3,"Low", IF(Table1[[#This Row],[Solar 
Resource]]&lt;4, "Moderate","High"))</f>
        <v>High</v>
      </c>
      <c r="L687" s="11">
        <v>1.0024434</v>
      </c>
      <c r="M687" s="11">
        <v>54.290087839999998</v>
      </c>
      <c r="N687" s="11">
        <v>1742.144489</v>
      </c>
      <c r="O687" s="11">
        <v>2334.4737770000002</v>
      </c>
      <c r="P687" s="11">
        <f>Table1[[#This Row],[Installed Capacity 
(AC -MW)]]/Table1[[#This Row],[Installed Capacity 
(DC -MW)]]</f>
        <v>0.74626860501247771</v>
      </c>
      <c r="Q687" s="12">
        <v>0.24431618999999999</v>
      </c>
      <c r="R687" s="12">
        <v>0.18232551</v>
      </c>
      <c r="S687" s="13">
        <v>39.75298394</v>
      </c>
      <c r="T687" s="11">
        <v>14.030499989999999</v>
      </c>
      <c r="U687" s="11">
        <v>143.759896</v>
      </c>
      <c r="V687" s="13">
        <v>443228.43170000002</v>
      </c>
      <c r="W687" s="13">
        <v>549904.4</v>
      </c>
      <c r="X687" s="13">
        <v>20.786404000000001</v>
      </c>
      <c r="Y687" s="14">
        <f>+Table1[[#This Row],[Generation Cost 
LCOE (USD/MWh)]]+Table1[[#This Row],[Transmission Cost
LCOT (USD/MWh)]]</f>
        <v>60.539387939999997</v>
      </c>
    </row>
    <row r="688" spans="1:25" x14ac:dyDescent="0.3">
      <c r="A688" s="7">
        <v>687</v>
      </c>
      <c r="B688" s="8">
        <v>7270</v>
      </c>
      <c r="C688" s="9">
        <v>47.655884</v>
      </c>
      <c r="D688" s="9">
        <v>-119.73273500000001</v>
      </c>
      <c r="E688" s="10" t="s">
        <v>42</v>
      </c>
      <c r="F688" s="10" t="s">
        <v>4</v>
      </c>
      <c r="G688" s="10" t="s">
        <v>13</v>
      </c>
      <c r="H688" s="10">
        <v>-8</v>
      </c>
      <c r="I688" s="11">
        <v>725</v>
      </c>
      <c r="J688" s="11">
        <v>4.0048136999999997</v>
      </c>
      <c r="K688" s="11" t="str">
        <f>IF(Table1[[#This Row],[Solar 
Resource]]&lt;3,"Low", IF(Table1[[#This Row],[Solar 
Resource]]&lt;4, "Moderate","High"))</f>
        <v>High</v>
      </c>
      <c r="L688" s="11">
        <v>1.0001879</v>
      </c>
      <c r="M688" s="11">
        <v>46.06567295</v>
      </c>
      <c r="N688" s="11">
        <v>1478.2267159999999</v>
      </c>
      <c r="O688" s="11">
        <v>1980.8239369999999</v>
      </c>
      <c r="P688" s="11">
        <f>Table1[[#This Row],[Installed Capacity 
(AC -MW)]]/Table1[[#This Row],[Installed Capacity 
(DC -MW)]]</f>
        <v>0.74626860489115743</v>
      </c>
      <c r="Q688" s="12">
        <v>0.2444095</v>
      </c>
      <c r="R688" s="12">
        <v>0.18239516</v>
      </c>
      <c r="S688" s="13">
        <v>39.667303799999999</v>
      </c>
      <c r="T688" s="11">
        <v>9.8340324569999993</v>
      </c>
      <c r="U688" s="11">
        <v>163.3375064</v>
      </c>
      <c r="V688" s="13">
        <v>460797.04670000001</v>
      </c>
      <c r="W688" s="13">
        <v>555652.6</v>
      </c>
      <c r="X688" s="13">
        <v>20.995667000000001</v>
      </c>
      <c r="Y688" s="14">
        <f>+Table1[[#This Row],[Generation Cost 
LCOE (USD/MWh)]]+Table1[[#This Row],[Transmission Cost
LCOT (USD/MWh)]]</f>
        <v>60.662970799999997</v>
      </c>
    </row>
    <row r="689" spans="1:25" x14ac:dyDescent="0.3">
      <c r="A689" s="7">
        <v>688</v>
      </c>
      <c r="B689" s="8">
        <v>7271</v>
      </c>
      <c r="C689" s="9">
        <v>47.680008000000001</v>
      </c>
      <c r="D689" s="9">
        <v>-119.57512</v>
      </c>
      <c r="E689" s="10" t="s">
        <v>42</v>
      </c>
      <c r="F689" s="10" t="s">
        <v>4</v>
      </c>
      <c r="G689" s="10" t="s">
        <v>13</v>
      </c>
      <c r="H689" s="10">
        <v>-8</v>
      </c>
      <c r="I689" s="11">
        <v>676.94444439999995</v>
      </c>
      <c r="J689" s="11">
        <v>3.9904670000000002</v>
      </c>
      <c r="K689" s="11" t="str">
        <f>IF(Table1[[#This Row],[Solar 
Resource]]&lt;3,"Low", IF(Table1[[#This Row],[Solar 
Resource]]&lt;4, "Moderate","High"))</f>
        <v>Moderate</v>
      </c>
      <c r="L689" s="11">
        <v>0.99793829999999994</v>
      </c>
      <c r="M689" s="11">
        <v>52.167725679999997</v>
      </c>
      <c r="N689" s="11">
        <v>1674.038644</v>
      </c>
      <c r="O689" s="11">
        <v>2243.2122039999999</v>
      </c>
      <c r="P689" s="11">
        <f>Table1[[#This Row],[Installed Capacity 
(AC -MW)]]/Table1[[#This Row],[Installed Capacity 
(DC -MW)]]</f>
        <v>0.74626851664542748</v>
      </c>
      <c r="Q689" s="12">
        <v>0.24369979999999999</v>
      </c>
      <c r="R689" s="12">
        <v>0.18186553</v>
      </c>
      <c r="S689" s="13">
        <v>39.712309490000003</v>
      </c>
      <c r="T689" s="11">
        <v>1.924629868</v>
      </c>
      <c r="U689" s="11">
        <v>153.3697986</v>
      </c>
      <c r="V689" s="13">
        <v>432904.42200000002</v>
      </c>
      <c r="W689" s="13">
        <v>482593.28000000003</v>
      </c>
      <c r="X689" s="13">
        <v>18.288181000000002</v>
      </c>
      <c r="Y689" s="14">
        <f>+Table1[[#This Row],[Generation Cost 
LCOE (USD/MWh)]]+Table1[[#This Row],[Transmission Cost
LCOT (USD/MWh)]]</f>
        <v>58.000490490000004</v>
      </c>
    </row>
    <row r="690" spans="1:25" x14ac:dyDescent="0.3">
      <c r="A690" s="7">
        <v>689</v>
      </c>
      <c r="B690" s="8">
        <v>7272</v>
      </c>
      <c r="C690" s="9">
        <v>47.703980000000001</v>
      </c>
      <c r="D690" s="9">
        <v>-119.41737000000001</v>
      </c>
      <c r="E690" s="10" t="s">
        <v>42</v>
      </c>
      <c r="F690" s="10" t="s">
        <v>4</v>
      </c>
      <c r="G690" s="10" t="s">
        <v>13</v>
      </c>
      <c r="H690" s="10">
        <v>-8</v>
      </c>
      <c r="I690" s="11">
        <v>686.78947370000003</v>
      </c>
      <c r="J690" s="11">
        <v>3.9650397000000002</v>
      </c>
      <c r="K690" s="11" t="str">
        <f>IF(Table1[[#This Row],[Solar 
Resource]]&lt;3,"Low", IF(Table1[[#This Row],[Solar 
Resource]]&lt;4, "Moderate","High"))</f>
        <v>Moderate</v>
      </c>
      <c r="L690" s="11">
        <v>0.99539169999999999</v>
      </c>
      <c r="M690" s="11">
        <v>84.325540430000004</v>
      </c>
      <c r="N690" s="11">
        <v>2705.9686470000001</v>
      </c>
      <c r="O690" s="11">
        <v>3625.9982380000001</v>
      </c>
      <c r="P690" s="11">
        <f>Table1[[#This Row],[Installed Capacity 
(AC -MW)]]/Table1[[#This Row],[Installed Capacity 
(DC -MW)]]</f>
        <v>0.74626860505385606</v>
      </c>
      <c r="Q690" s="12">
        <v>0.24144883</v>
      </c>
      <c r="R690" s="12">
        <v>0.18018569000000001</v>
      </c>
      <c r="S690" s="13">
        <v>40.001962370000001</v>
      </c>
      <c r="T690" s="11">
        <v>5.9847727209999997</v>
      </c>
      <c r="U690" s="11">
        <v>145.28944150000001</v>
      </c>
      <c r="V690" s="13">
        <v>412267.73670000001</v>
      </c>
      <c r="W690" s="13">
        <v>481251.9</v>
      </c>
      <c r="X690" s="13">
        <v>18.40737</v>
      </c>
      <c r="Y690" s="14">
        <f>+Table1[[#This Row],[Generation Cost 
LCOE (USD/MWh)]]+Table1[[#This Row],[Transmission Cost
LCOT (USD/MWh)]]</f>
        <v>58.409332370000001</v>
      </c>
    </row>
    <row r="691" spans="1:25" x14ac:dyDescent="0.3">
      <c r="A691" s="7">
        <v>690</v>
      </c>
      <c r="B691" s="8">
        <v>7273</v>
      </c>
      <c r="C691" s="9">
        <v>47.727800000000002</v>
      </c>
      <c r="D691" s="9">
        <v>-119.25949</v>
      </c>
      <c r="E691" s="10" t="s">
        <v>42</v>
      </c>
      <c r="F691" s="10" t="s">
        <v>4</v>
      </c>
      <c r="G691" s="10" t="s">
        <v>13</v>
      </c>
      <c r="H691" s="10">
        <v>-8</v>
      </c>
      <c r="I691" s="11">
        <v>640.33333330000005</v>
      </c>
      <c r="J691" s="11">
        <v>3.9338549999999999</v>
      </c>
      <c r="K691" s="11" t="str">
        <f>IF(Table1[[#This Row],[Solar 
Resource]]&lt;3,"Low", IF(Table1[[#This Row],[Solar 
Resource]]&lt;4, "Moderate","High"))</f>
        <v>Moderate</v>
      </c>
      <c r="L691" s="11">
        <v>0.99325739999999996</v>
      </c>
      <c r="M691" s="11">
        <v>14.88488313</v>
      </c>
      <c r="N691" s="11">
        <v>477.64920169999999</v>
      </c>
      <c r="O691" s="11">
        <v>640.04997460000004</v>
      </c>
      <c r="P691" s="11">
        <f>Table1[[#This Row],[Installed Capacity 
(AC -MW)]]/Table1[[#This Row],[Installed Capacity 
(DC -MW)]]</f>
        <v>0.74626860503901649</v>
      </c>
      <c r="Q691" s="12">
        <v>0.23908468999999999</v>
      </c>
      <c r="R691" s="12">
        <v>0.17842142</v>
      </c>
      <c r="S691" s="13">
        <v>40.329320129999999</v>
      </c>
      <c r="T691" s="11">
        <v>9.3403571339999996</v>
      </c>
      <c r="U691" s="11">
        <v>76.600973980000006</v>
      </c>
      <c r="V691" s="13">
        <v>211177.75510000001</v>
      </c>
      <c r="W691" s="13">
        <v>324883.25</v>
      </c>
      <c r="X691" s="13">
        <v>12.549314000000001</v>
      </c>
      <c r="Y691" s="14">
        <f>+Table1[[#This Row],[Generation Cost 
LCOE (USD/MWh)]]+Table1[[#This Row],[Transmission Cost
LCOT (USD/MWh)]]</f>
        <v>52.878634130000002</v>
      </c>
    </row>
    <row r="692" spans="1:25" x14ac:dyDescent="0.3">
      <c r="A692" s="7">
        <v>691</v>
      </c>
      <c r="B692" s="8">
        <v>7275</v>
      </c>
      <c r="C692" s="9">
        <v>47.774951999999999</v>
      </c>
      <c r="D692" s="9">
        <v>-118.94333</v>
      </c>
      <c r="E692" s="10" t="s">
        <v>42</v>
      </c>
      <c r="F692" s="10" t="s">
        <v>4</v>
      </c>
      <c r="G692" s="10" t="s">
        <v>27</v>
      </c>
      <c r="H692" s="10">
        <v>-8</v>
      </c>
      <c r="I692" s="11">
        <v>711</v>
      </c>
      <c r="J692" s="11">
        <v>3.9384556000000002</v>
      </c>
      <c r="K692" s="11" t="str">
        <f>IF(Table1[[#This Row],[Solar 
Resource]]&lt;3,"Low", IF(Table1[[#This Row],[Solar 
Resource]]&lt;4, "Moderate","High"))</f>
        <v>Moderate</v>
      </c>
      <c r="L692" s="11">
        <v>0.98822284000000005</v>
      </c>
      <c r="M692" s="11">
        <v>26.408588600000002</v>
      </c>
      <c r="N692" s="11">
        <v>847.43982549999998</v>
      </c>
      <c r="O692" s="11">
        <v>1135.5693100000001</v>
      </c>
      <c r="P692" s="11">
        <f>Table1[[#This Row],[Installed Capacity 
(AC -MW)]]/Table1[[#This Row],[Installed Capacity 
(DC -MW)]]</f>
        <v>0.74626869362998183</v>
      </c>
      <c r="Q692" s="12">
        <v>0.23901263</v>
      </c>
      <c r="R692" s="12">
        <v>0.17836763</v>
      </c>
      <c r="S692" s="13">
        <v>40.180579620000003</v>
      </c>
      <c r="T692" s="11">
        <v>11.05410388</v>
      </c>
      <c r="U692" s="11">
        <v>94.068012920000001</v>
      </c>
      <c r="V692" s="13">
        <v>257969.72459999999</v>
      </c>
      <c r="W692" s="13">
        <v>357901.6</v>
      </c>
      <c r="X692" s="13">
        <v>13.828885</v>
      </c>
      <c r="Y692" s="14">
        <f>+Table1[[#This Row],[Generation Cost 
LCOE (USD/MWh)]]+Table1[[#This Row],[Transmission Cost
LCOT (USD/MWh)]]</f>
        <v>54.009464620000003</v>
      </c>
    </row>
    <row r="693" spans="1:25" x14ac:dyDescent="0.3">
      <c r="A693" s="7">
        <v>692</v>
      </c>
      <c r="B693" s="8">
        <v>7276</v>
      </c>
      <c r="C693" s="9">
        <v>47.798298000000003</v>
      </c>
      <c r="D693" s="9">
        <v>-118.78505</v>
      </c>
      <c r="E693" s="10" t="s">
        <v>42</v>
      </c>
      <c r="F693" s="10" t="s">
        <v>4</v>
      </c>
      <c r="G693" s="10" t="s">
        <v>27</v>
      </c>
      <c r="H693" s="10">
        <v>-8</v>
      </c>
      <c r="I693" s="11">
        <v>722.3</v>
      </c>
      <c r="J693" s="11">
        <v>3.9172335</v>
      </c>
      <c r="K693" s="11" t="str">
        <f>IF(Table1[[#This Row],[Solar 
Resource]]&lt;3,"Low", IF(Table1[[#This Row],[Solar 
Resource]]&lt;4, "Moderate","High"))</f>
        <v>Moderate</v>
      </c>
      <c r="L693" s="11">
        <v>0.98650289999999996</v>
      </c>
      <c r="M693" s="11">
        <v>31.88605342</v>
      </c>
      <c r="N693" s="11">
        <v>1023.209106</v>
      </c>
      <c r="O693" s="11">
        <v>1371.100297</v>
      </c>
      <c r="P693" s="11">
        <f>Table1[[#This Row],[Installed Capacity 
(AC -MW)]]/Table1[[#This Row],[Installed Capacity 
(DC -MW)]]</f>
        <v>0.74626860503116066</v>
      </c>
      <c r="Q693" s="12">
        <v>0.23706567000000001</v>
      </c>
      <c r="R693" s="12">
        <v>0.17691469000000001</v>
      </c>
      <c r="S693" s="13">
        <v>40.455143880000001</v>
      </c>
      <c r="T693" s="11">
        <v>7.3784480449999998</v>
      </c>
      <c r="U693" s="11">
        <v>118.86808430000001</v>
      </c>
      <c r="V693" s="13">
        <v>374468.86359999998</v>
      </c>
      <c r="W693" s="13">
        <v>436436.4</v>
      </c>
      <c r="X693" s="13">
        <v>17.00187</v>
      </c>
      <c r="Y693" s="14">
        <f>+Table1[[#This Row],[Generation Cost 
LCOE (USD/MWh)]]+Table1[[#This Row],[Transmission Cost
LCOT (USD/MWh)]]</f>
        <v>57.457013880000005</v>
      </c>
    </row>
    <row r="694" spans="1:25" x14ac:dyDescent="0.3">
      <c r="A694" s="7">
        <v>693</v>
      </c>
      <c r="B694" s="8">
        <v>7277</v>
      </c>
      <c r="C694" s="9">
        <v>47.821480000000001</v>
      </c>
      <c r="D694" s="9">
        <v>-118.62665</v>
      </c>
      <c r="E694" s="10" t="s">
        <v>42</v>
      </c>
      <c r="F694" s="10" t="s">
        <v>4</v>
      </c>
      <c r="G694" s="10" t="s">
        <v>27</v>
      </c>
      <c r="H694" s="10">
        <v>-8</v>
      </c>
      <c r="I694" s="11">
        <v>751.5</v>
      </c>
      <c r="J694" s="11">
        <v>3.9014785000000001</v>
      </c>
      <c r="K694" s="11" t="str">
        <f>IF(Table1[[#This Row],[Solar 
Resource]]&lt;3,"Low", IF(Table1[[#This Row],[Solar 
Resource]]&lt;4, "Moderate","High"))</f>
        <v>Moderate</v>
      </c>
      <c r="L694" s="11">
        <v>0.98473834999999998</v>
      </c>
      <c r="M694" s="11">
        <v>24.98631284</v>
      </c>
      <c r="N694" s="11">
        <v>801.79953569999998</v>
      </c>
      <c r="O694" s="11">
        <v>1074.4114520000001</v>
      </c>
      <c r="P694" s="11">
        <f>Table1[[#This Row],[Installed Capacity 
(AC -MW)]]/Table1[[#This Row],[Installed Capacity 
(DC -MW)]]</f>
        <v>0.74626860520470317</v>
      </c>
      <c r="Q694" s="12">
        <v>0.23589257999999999</v>
      </c>
      <c r="R694" s="12">
        <v>0.17603925000000001</v>
      </c>
      <c r="S694" s="13">
        <v>40.59917256</v>
      </c>
      <c r="T694" s="11">
        <v>0.68911688199999999</v>
      </c>
      <c r="U694" s="11">
        <v>104.85677269999999</v>
      </c>
      <c r="V694" s="13">
        <v>334932.4461</v>
      </c>
      <c r="W694" s="13">
        <v>374738.25</v>
      </c>
      <c r="X694" s="13">
        <v>14.670947999999999</v>
      </c>
      <c r="Y694" s="14">
        <f>+Table1[[#This Row],[Generation Cost 
LCOE (USD/MWh)]]+Table1[[#This Row],[Transmission Cost
LCOT (USD/MWh)]]</f>
        <v>55.270120559999995</v>
      </c>
    </row>
    <row r="695" spans="1:25" x14ac:dyDescent="0.3">
      <c r="A695" s="7">
        <v>694</v>
      </c>
      <c r="B695" s="8">
        <v>7278</v>
      </c>
      <c r="C695" s="9">
        <v>47.84451</v>
      </c>
      <c r="D695" s="9">
        <v>-118.468124</v>
      </c>
      <c r="E695" s="10" t="s">
        <v>42</v>
      </c>
      <c r="F695" s="10" t="s">
        <v>4</v>
      </c>
      <c r="G695" s="10" t="s">
        <v>27</v>
      </c>
      <c r="H695" s="10">
        <v>-8</v>
      </c>
      <c r="I695" s="11">
        <v>631.27777779999997</v>
      </c>
      <c r="J695" s="11">
        <v>3.8482791999999999</v>
      </c>
      <c r="K695" s="11" t="str">
        <f>IF(Table1[[#This Row],[Solar 
Resource]]&lt;3,"Low", IF(Table1[[#This Row],[Solar 
Resource]]&lt;4, "Moderate","High"))</f>
        <v>Moderate</v>
      </c>
      <c r="L695" s="11">
        <v>0.98313919999999999</v>
      </c>
      <c r="M695" s="11">
        <v>20.325004100000001</v>
      </c>
      <c r="N695" s="11">
        <v>652.22031330000004</v>
      </c>
      <c r="O695" s="11">
        <v>873.97517640000001</v>
      </c>
      <c r="P695" s="11">
        <f>Table1[[#This Row],[Installed Capacity 
(AC -MW)]]/Table1[[#This Row],[Installed Capacity 
(DC -MW)]]</f>
        <v>0.74626869379353233</v>
      </c>
      <c r="Q695" s="12">
        <v>0.23135616000000001</v>
      </c>
      <c r="R695" s="12">
        <v>0.17265384</v>
      </c>
      <c r="S695" s="13">
        <v>41.342441970000003</v>
      </c>
      <c r="T695" s="11">
        <v>9.6412402509999993</v>
      </c>
      <c r="U695" s="11">
        <v>94.448110349999993</v>
      </c>
      <c r="V695" s="13">
        <v>308131.98349999997</v>
      </c>
      <c r="W695" s="13">
        <v>381103.56</v>
      </c>
      <c r="X695" s="13">
        <v>15.212702</v>
      </c>
      <c r="Y695" s="14">
        <f>+Table1[[#This Row],[Generation Cost 
LCOE (USD/MWh)]]+Table1[[#This Row],[Transmission Cost
LCOT (USD/MWh)]]</f>
        <v>56.555143970000003</v>
      </c>
    </row>
    <row r="696" spans="1:25" x14ac:dyDescent="0.3">
      <c r="A696" s="7">
        <v>695</v>
      </c>
      <c r="B696" s="8">
        <v>7279</v>
      </c>
      <c r="C696" s="9">
        <v>47.867379999999997</v>
      </c>
      <c r="D696" s="9">
        <v>-118.309456</v>
      </c>
      <c r="E696" s="10" t="s">
        <v>42</v>
      </c>
      <c r="F696" s="10" t="s">
        <v>4</v>
      </c>
      <c r="G696" s="10" t="s">
        <v>27</v>
      </c>
      <c r="H696" s="10">
        <v>-8</v>
      </c>
      <c r="I696" s="11">
        <v>618.57894739999995</v>
      </c>
      <c r="J696" s="11">
        <v>3.838533</v>
      </c>
      <c r="K696" s="11" t="str">
        <f>IF(Table1[[#This Row],[Solar 
Resource]]&lt;3,"Low", IF(Table1[[#This Row],[Solar 
Resource]]&lt;4, "Moderate","High"))</f>
        <v>Moderate</v>
      </c>
      <c r="L696" s="11">
        <v>0.98167230000000005</v>
      </c>
      <c r="M696" s="11">
        <v>20.683431079999998</v>
      </c>
      <c r="N696" s="11">
        <v>663.72199620000004</v>
      </c>
      <c r="O696" s="11">
        <v>889.38753640000004</v>
      </c>
      <c r="P696" s="11">
        <f>Table1[[#This Row],[Installed Capacity 
(AC -MW)]]/Table1[[#This Row],[Installed Capacity 
(DC -MW)]]</f>
        <v>0.74626860511961635</v>
      </c>
      <c r="Q696" s="12">
        <v>0.22804156</v>
      </c>
      <c r="R696" s="12">
        <v>0.17018026</v>
      </c>
      <c r="S696" s="13">
        <v>41.894210749999999</v>
      </c>
      <c r="T696" s="11">
        <v>7.2538181770000003</v>
      </c>
      <c r="U696" s="11">
        <v>84.691285679999993</v>
      </c>
      <c r="V696" s="13">
        <v>287936.92859999998</v>
      </c>
      <c r="W696" s="13">
        <v>375450.44</v>
      </c>
      <c r="X696" s="13">
        <v>15.204881</v>
      </c>
      <c r="Y696" s="14">
        <f>+Table1[[#This Row],[Generation Cost 
LCOE (USD/MWh)]]+Table1[[#This Row],[Transmission Cost
LCOT (USD/MWh)]]</f>
        <v>57.099091749999999</v>
      </c>
    </row>
    <row r="697" spans="1:25" x14ac:dyDescent="0.3">
      <c r="A697" s="7">
        <v>696</v>
      </c>
      <c r="B697" s="8">
        <v>7280</v>
      </c>
      <c r="C697" s="9">
        <v>47.890090000000001</v>
      </c>
      <c r="D697" s="9">
        <v>-118.15067000000001</v>
      </c>
      <c r="E697" s="10" t="s">
        <v>42</v>
      </c>
      <c r="F697" s="10" t="s">
        <v>4</v>
      </c>
      <c r="G697" s="10" t="s">
        <v>37</v>
      </c>
      <c r="H697" s="10">
        <v>-8</v>
      </c>
      <c r="I697" s="11">
        <v>642.6875</v>
      </c>
      <c r="J697" s="11">
        <v>3.777542</v>
      </c>
      <c r="K697" s="11" t="str">
        <f>IF(Table1[[#This Row],[Solar 
Resource]]&lt;3,"Low", IF(Table1[[#This Row],[Solar 
Resource]]&lt;4, "Moderate","High"))</f>
        <v>Moderate</v>
      </c>
      <c r="L697" s="11">
        <v>0.98052620000000001</v>
      </c>
      <c r="M697" s="11">
        <v>31.45861824</v>
      </c>
      <c r="N697" s="11">
        <v>1009.493023</v>
      </c>
      <c r="O697" s="11">
        <v>1352.7205839999999</v>
      </c>
      <c r="P697" s="11">
        <f>Table1[[#This Row],[Installed Capacity 
(AC -MW)]]/Table1[[#This Row],[Installed Capacity 
(DC -MW)]]</f>
        <v>0.74626869357966397</v>
      </c>
      <c r="Q697" s="12">
        <v>0.22312245</v>
      </c>
      <c r="R697" s="12">
        <v>0.1665093</v>
      </c>
      <c r="S697" s="13">
        <v>42.778600470000001</v>
      </c>
      <c r="T697" s="11">
        <v>19.620642839999999</v>
      </c>
      <c r="U697" s="11">
        <v>52.297681779999998</v>
      </c>
      <c r="V697" s="13">
        <v>184428.9541</v>
      </c>
      <c r="W697" s="13">
        <v>356629.2</v>
      </c>
      <c r="X697" s="13">
        <v>14.761077</v>
      </c>
      <c r="Y697" s="14">
        <f>+Table1[[#This Row],[Generation Cost 
LCOE (USD/MWh)]]+Table1[[#This Row],[Transmission Cost
LCOT (USD/MWh)]]</f>
        <v>57.539677470000001</v>
      </c>
    </row>
    <row r="698" spans="1:25" x14ac:dyDescent="0.3">
      <c r="A698" s="7">
        <v>697</v>
      </c>
      <c r="B698" s="8">
        <v>7281</v>
      </c>
      <c r="C698" s="9">
        <v>47.912643000000003</v>
      </c>
      <c r="D698" s="9">
        <v>-117.99176</v>
      </c>
      <c r="E698" s="10" t="s">
        <v>42</v>
      </c>
      <c r="F698" s="10" t="s">
        <v>4</v>
      </c>
      <c r="G698" s="10" t="s">
        <v>37</v>
      </c>
      <c r="H698" s="10">
        <v>-8</v>
      </c>
      <c r="I698" s="11">
        <v>750.15789470000004</v>
      </c>
      <c r="J698" s="11">
        <v>3.7165222</v>
      </c>
      <c r="K698" s="11" t="str">
        <f>IF(Table1[[#This Row],[Solar 
Resource]]&lt;3,"Low", IF(Table1[[#This Row],[Solar 
Resource]]&lt;4, "Moderate","High"))</f>
        <v>Moderate</v>
      </c>
      <c r="L698" s="11">
        <v>0.97984236000000002</v>
      </c>
      <c r="M698" s="11">
        <v>62.235377049999997</v>
      </c>
      <c r="N698" s="11">
        <v>1997.1050069999999</v>
      </c>
      <c r="O698" s="11">
        <v>2676.1212129999999</v>
      </c>
      <c r="P698" s="11">
        <f>Table1[[#This Row],[Installed Capacity 
(AC -MW)]]/Table1[[#This Row],[Installed Capacity 
(DC -MW)]]</f>
        <v>0.74626851627591051</v>
      </c>
      <c r="Q698" s="12">
        <v>0.21958558</v>
      </c>
      <c r="R698" s="12">
        <v>0.16386983999999999</v>
      </c>
      <c r="S698" s="13">
        <v>43.443847910000002</v>
      </c>
      <c r="T698" s="11">
        <v>13.38396103</v>
      </c>
      <c r="U698" s="11">
        <v>56.981428530000002</v>
      </c>
      <c r="V698" s="13">
        <v>208086.2775</v>
      </c>
      <c r="W698" s="13">
        <v>338436.75</v>
      </c>
      <c r="X698" s="13">
        <v>14.23371</v>
      </c>
      <c r="Y698" s="14">
        <f>+Table1[[#This Row],[Generation Cost 
LCOE (USD/MWh)]]+Table1[[#This Row],[Transmission Cost
LCOT (USD/MWh)]]</f>
        <v>57.677557910000004</v>
      </c>
    </row>
    <row r="699" spans="1:25" x14ac:dyDescent="0.3">
      <c r="A699" s="7">
        <v>698</v>
      </c>
      <c r="B699" s="8">
        <v>7282</v>
      </c>
      <c r="C699" s="9">
        <v>47.935029999999998</v>
      </c>
      <c r="D699" s="9">
        <v>-117.83271999999999</v>
      </c>
      <c r="E699" s="10" t="s">
        <v>42</v>
      </c>
      <c r="F699" s="10" t="s">
        <v>4</v>
      </c>
      <c r="G699" s="10" t="s">
        <v>37</v>
      </c>
      <c r="H699" s="10">
        <v>-8</v>
      </c>
      <c r="I699" s="11">
        <v>681.11111110000002</v>
      </c>
      <c r="J699" s="11">
        <v>3.7115146999999999</v>
      </c>
      <c r="K699" s="11" t="str">
        <f>IF(Table1[[#This Row],[Solar 
Resource]]&lt;3,"Low", IF(Table1[[#This Row],[Solar 
Resource]]&lt;4, "Moderate","High"))</f>
        <v>Moderate</v>
      </c>
      <c r="L699" s="11">
        <v>0.97930799999999996</v>
      </c>
      <c r="M699" s="11">
        <v>72.157797950000003</v>
      </c>
      <c r="N699" s="11">
        <v>2315.5109910000001</v>
      </c>
      <c r="O699" s="11">
        <v>3102.785312</v>
      </c>
      <c r="P699" s="11">
        <f>Table1[[#This Row],[Installed Capacity 
(AC -MW)]]/Table1[[#This Row],[Installed Capacity 
(DC -MW)]]</f>
        <v>0.74626851624080404</v>
      </c>
      <c r="Q699" s="12">
        <v>0.21877015</v>
      </c>
      <c r="R699" s="12">
        <v>0.16326130999999999</v>
      </c>
      <c r="S699" s="13">
        <v>43.587115619999999</v>
      </c>
      <c r="T699" s="11">
        <v>4.249188309</v>
      </c>
      <c r="U699" s="11">
        <v>56.981428530000002</v>
      </c>
      <c r="V699" s="13">
        <v>208086.2775</v>
      </c>
      <c r="W699" s="13">
        <v>254013.4</v>
      </c>
      <c r="X699" s="13">
        <v>10.722918</v>
      </c>
      <c r="Y699" s="14">
        <f>+Table1[[#This Row],[Generation Cost 
LCOE (USD/MWh)]]+Table1[[#This Row],[Transmission Cost
LCOT (USD/MWh)]]</f>
        <v>54.310033619999999</v>
      </c>
    </row>
    <row r="700" spans="1:25" x14ac:dyDescent="0.3">
      <c r="A700" s="7">
        <v>699</v>
      </c>
      <c r="B700" s="8">
        <v>7283</v>
      </c>
      <c r="C700" s="9">
        <v>47.957267999999999</v>
      </c>
      <c r="D700" s="9">
        <v>-117.67354</v>
      </c>
      <c r="E700" s="10" t="s">
        <v>42</v>
      </c>
      <c r="F700" s="10" t="s">
        <v>4</v>
      </c>
      <c r="G700" s="10" t="s">
        <v>37</v>
      </c>
      <c r="H700" s="10">
        <v>-8</v>
      </c>
      <c r="I700" s="11">
        <v>739.31578950000005</v>
      </c>
      <c r="J700" s="11">
        <v>3.7047119999999998</v>
      </c>
      <c r="K700" s="11" t="str">
        <f>IF(Table1[[#This Row],[Solar 
Resource]]&lt;3,"Low", IF(Table1[[#This Row],[Solar 
Resource]]&lt;4, "Moderate","High"))</f>
        <v>Moderate</v>
      </c>
      <c r="L700" s="11">
        <v>0.97890955000000002</v>
      </c>
      <c r="M700" s="11">
        <v>19.851642550000001</v>
      </c>
      <c r="N700" s="11">
        <v>637.03027669999994</v>
      </c>
      <c r="O700" s="11">
        <v>853.62062979999996</v>
      </c>
      <c r="P700" s="11">
        <f>Table1[[#This Row],[Installed Capacity 
(AC -MW)]]/Table1[[#This Row],[Installed Capacity 
(DC -MW)]]</f>
        <v>0.74626860511706905</v>
      </c>
      <c r="Q700" s="12">
        <v>0.21784152000000001</v>
      </c>
      <c r="R700" s="12">
        <v>0.1625683</v>
      </c>
      <c r="S700" s="13">
        <v>43.758952749999999</v>
      </c>
      <c r="T700" s="11">
        <v>7.192051942</v>
      </c>
      <c r="U700" s="11">
        <v>67.302740209999996</v>
      </c>
      <c r="V700" s="13">
        <v>238264.0073</v>
      </c>
      <c r="W700" s="13">
        <v>337070.12</v>
      </c>
      <c r="X700" s="13">
        <v>14.289728999999999</v>
      </c>
      <c r="Y700" s="14">
        <f>+Table1[[#This Row],[Generation Cost 
LCOE (USD/MWh)]]+Table1[[#This Row],[Transmission Cost
LCOT (USD/MWh)]]</f>
        <v>58.04868175</v>
      </c>
    </row>
    <row r="701" spans="1:25" x14ac:dyDescent="0.3">
      <c r="A701" s="7">
        <v>700</v>
      </c>
      <c r="B701" s="8">
        <v>7284</v>
      </c>
      <c r="C701" s="9">
        <v>47.979340000000001</v>
      </c>
      <c r="D701" s="9">
        <v>-117.51425</v>
      </c>
      <c r="E701" s="10" t="s">
        <v>42</v>
      </c>
      <c r="F701" s="10" t="s">
        <v>4</v>
      </c>
      <c r="G701" s="10" t="s">
        <v>36</v>
      </c>
      <c r="H701" s="10">
        <v>-8</v>
      </c>
      <c r="I701" s="11">
        <v>677.94736839999996</v>
      </c>
      <c r="J701" s="11">
        <v>3.6785882000000001</v>
      </c>
      <c r="K701" s="11" t="str">
        <f>IF(Table1[[#This Row],[Solar 
Resource]]&lt;3,"Low", IF(Table1[[#This Row],[Solar 
Resource]]&lt;4, "Moderate","High"))</f>
        <v>Moderate</v>
      </c>
      <c r="L701" s="11">
        <v>0.97880137</v>
      </c>
      <c r="M701" s="11">
        <v>36.039407519999997</v>
      </c>
      <c r="N701" s="11">
        <v>1156.4885079999999</v>
      </c>
      <c r="O701" s="11">
        <v>1549.6945229999999</v>
      </c>
      <c r="P701" s="11">
        <f>Table1[[#This Row],[Installed Capacity 
(AC -MW)]]/Table1[[#This Row],[Installed Capacity 
(DC -MW)]]</f>
        <v>0.74626869414314889</v>
      </c>
      <c r="Q701" s="12">
        <v>0.21514183000000001</v>
      </c>
      <c r="R701" s="12">
        <v>0.16055362000000001</v>
      </c>
      <c r="S701" s="13">
        <v>44.304217149999999</v>
      </c>
      <c r="T701" s="11">
        <v>2.3155129859999999</v>
      </c>
      <c r="U701" s="11">
        <v>57.627324649999998</v>
      </c>
      <c r="V701" s="13">
        <v>212223.72440000001</v>
      </c>
      <c r="W701" s="13">
        <v>242022.6</v>
      </c>
      <c r="X701" s="13">
        <v>10.389041000000001</v>
      </c>
      <c r="Y701" s="14">
        <f>+Table1[[#This Row],[Generation Cost 
LCOE (USD/MWh)]]+Table1[[#This Row],[Transmission Cost
LCOT (USD/MWh)]]</f>
        <v>54.693258149999998</v>
      </c>
    </row>
    <row r="702" spans="1:25" x14ac:dyDescent="0.3">
      <c r="A702" s="7">
        <v>701</v>
      </c>
      <c r="B702" s="8">
        <v>7285</v>
      </c>
      <c r="C702" s="9">
        <v>48.001260000000002</v>
      </c>
      <c r="D702" s="9">
        <v>-117.35484</v>
      </c>
      <c r="E702" s="10" t="s">
        <v>42</v>
      </c>
      <c r="F702" s="10" t="s">
        <v>4</v>
      </c>
      <c r="G702" s="10" t="s">
        <v>36</v>
      </c>
      <c r="H702" s="10">
        <v>-8</v>
      </c>
      <c r="I702" s="11">
        <v>639.27777779999997</v>
      </c>
      <c r="J702" s="11">
        <v>3.6444728</v>
      </c>
      <c r="K702" s="11" t="str">
        <f>IF(Table1[[#This Row],[Solar 
Resource]]&lt;3,"Low", IF(Table1[[#This Row],[Solar 
Resource]]&lt;4, "Moderate","High"))</f>
        <v>Moderate</v>
      </c>
      <c r="L702" s="11">
        <v>0.97886335999999996</v>
      </c>
      <c r="M702" s="11">
        <v>48.440024999999999</v>
      </c>
      <c r="N702" s="11">
        <v>1554.4186050000001</v>
      </c>
      <c r="O702" s="11">
        <v>2082.9210750000002</v>
      </c>
      <c r="P702" s="11">
        <f>Table1[[#This Row],[Installed Capacity 
(AC -MW)]]/Table1[[#This Row],[Installed Capacity 
(DC -MW)]]</f>
        <v>0.74626860501663506</v>
      </c>
      <c r="Q702" s="12">
        <v>0.21306641000000001</v>
      </c>
      <c r="R702" s="12">
        <v>0.1590048</v>
      </c>
      <c r="S702" s="13">
        <v>44.737983810000003</v>
      </c>
      <c r="T702" s="11">
        <v>8.0265389569999996</v>
      </c>
      <c r="U702" s="11">
        <v>56.080331139999998</v>
      </c>
      <c r="V702" s="13">
        <v>184827.50330000001</v>
      </c>
      <c r="W702" s="13">
        <v>257982.45</v>
      </c>
      <c r="X702" s="13">
        <v>11.182002000000001</v>
      </c>
      <c r="Y702" s="14">
        <f>+Table1[[#This Row],[Generation Cost 
LCOE (USD/MWh)]]+Table1[[#This Row],[Transmission Cost
LCOT (USD/MWh)]]</f>
        <v>55.91998581</v>
      </c>
    </row>
    <row r="703" spans="1:25" x14ac:dyDescent="0.3">
      <c r="A703" s="7">
        <v>702</v>
      </c>
      <c r="B703" s="8">
        <v>7286</v>
      </c>
      <c r="C703" s="9">
        <v>48.023014000000003</v>
      </c>
      <c r="D703" s="9">
        <v>-117.1953</v>
      </c>
      <c r="E703" s="10" t="s">
        <v>42</v>
      </c>
      <c r="F703" s="10" t="s">
        <v>4</v>
      </c>
      <c r="G703" s="10" t="s">
        <v>36</v>
      </c>
      <c r="H703" s="10">
        <v>-8</v>
      </c>
      <c r="I703" s="11">
        <v>759.65</v>
      </c>
      <c r="J703" s="11">
        <v>3.6179787999999999</v>
      </c>
      <c r="K703" s="11" t="str">
        <f>IF(Table1[[#This Row],[Solar 
Resource]]&lt;3,"Low", IF(Table1[[#This Row],[Solar 
Resource]]&lt;4, "Moderate","High"))</f>
        <v>Moderate</v>
      </c>
      <c r="L703" s="11">
        <v>0.97905933999999994</v>
      </c>
      <c r="M703" s="11">
        <v>39.206024999999997</v>
      </c>
      <c r="N703" s="11">
        <v>1258.1036999999999</v>
      </c>
      <c r="O703" s="11">
        <v>1685.8590750000001</v>
      </c>
      <c r="P703" s="11">
        <f>Table1[[#This Row],[Installed Capacity 
(AC -MW)]]/Table1[[#This Row],[Installed Capacity 
(DC -MW)]]</f>
        <v>0.7462686049247621</v>
      </c>
      <c r="Q703" s="12">
        <v>0.21086131</v>
      </c>
      <c r="R703" s="12">
        <v>0.1573592</v>
      </c>
      <c r="S703" s="13">
        <v>45.212940959999997</v>
      </c>
      <c r="T703" s="11">
        <v>7.7538896040000003</v>
      </c>
      <c r="U703" s="11">
        <v>67.024149309999999</v>
      </c>
      <c r="V703" s="13">
        <v>231340.83439999999</v>
      </c>
      <c r="W703" s="13">
        <v>332074.44</v>
      </c>
      <c r="X703" s="13">
        <v>14.54397</v>
      </c>
      <c r="Y703" s="14">
        <f>+Table1[[#This Row],[Generation Cost 
LCOE (USD/MWh)]]+Table1[[#This Row],[Transmission Cost
LCOT (USD/MWh)]]</f>
        <v>59.756910959999999</v>
      </c>
    </row>
    <row r="704" spans="1:25" x14ac:dyDescent="0.3">
      <c r="A704" s="7">
        <v>703</v>
      </c>
      <c r="B704" s="8">
        <v>7287</v>
      </c>
      <c r="C704" s="9">
        <v>48.044609999999999</v>
      </c>
      <c r="D704" s="9">
        <v>-117.035645</v>
      </c>
      <c r="E704" s="10" t="s">
        <v>42</v>
      </c>
      <c r="F704" s="10" t="s">
        <v>1</v>
      </c>
      <c r="G704" s="10" t="s">
        <v>9</v>
      </c>
      <c r="H704" s="10">
        <v>-8</v>
      </c>
      <c r="I704" s="11">
        <v>827.66666669999995</v>
      </c>
      <c r="J704" s="11">
        <v>3.592047</v>
      </c>
      <c r="K704" s="11" t="str">
        <f>IF(Table1[[#This Row],[Solar 
Resource]]&lt;3,"Low", IF(Table1[[#This Row],[Solar 
Resource]]&lt;4, "Moderate","High"))</f>
        <v>Moderate</v>
      </c>
      <c r="L704" s="11">
        <v>0.97943515000000003</v>
      </c>
      <c r="M704" s="11">
        <v>33.807129789999998</v>
      </c>
      <c r="N704" s="11">
        <v>1084.8555819999999</v>
      </c>
      <c r="O704" s="11">
        <v>1453.7065809999999</v>
      </c>
      <c r="P704" s="11">
        <f>Table1[[#This Row],[Installed Capacity 
(AC -MW)]]/Table1[[#This Row],[Installed Capacity 
(DC -MW)]]</f>
        <v>0.74626860480588275</v>
      </c>
      <c r="Q704" s="12">
        <v>0.20798675999999999</v>
      </c>
      <c r="R704" s="12">
        <v>0.15521399999999999</v>
      </c>
      <c r="S704" s="13">
        <v>45.85162073</v>
      </c>
      <c r="T704" s="11">
        <v>4.8637467499999998</v>
      </c>
      <c r="U704" s="11">
        <v>310.7389609</v>
      </c>
      <c r="V704" s="13">
        <v>1123197.115</v>
      </c>
      <c r="W704" s="13">
        <v>1192295</v>
      </c>
      <c r="X704" s="13">
        <v>52.941035999999997</v>
      </c>
      <c r="Y704" s="14">
        <f>+Table1[[#This Row],[Generation Cost 
LCOE (USD/MWh)]]+Table1[[#This Row],[Transmission Cost
LCOT (USD/MWh)]]</f>
        <v>98.792656730000004</v>
      </c>
    </row>
    <row r="705" spans="1:25" x14ac:dyDescent="0.3">
      <c r="A705" s="7">
        <v>704</v>
      </c>
      <c r="B705" s="8">
        <v>7288</v>
      </c>
      <c r="C705" s="9">
        <v>48.066048000000002</v>
      </c>
      <c r="D705" s="9">
        <v>-116.875854</v>
      </c>
      <c r="E705" s="10" t="s">
        <v>42</v>
      </c>
      <c r="F705" s="10" t="s">
        <v>1</v>
      </c>
      <c r="G705" s="10" t="s">
        <v>9</v>
      </c>
      <c r="H705" s="10">
        <v>-8</v>
      </c>
      <c r="I705" s="11">
        <v>838.78947370000003</v>
      </c>
      <c r="J705" s="11">
        <v>3.5246810000000002</v>
      </c>
      <c r="K705" s="11" t="str">
        <f>IF(Table1[[#This Row],[Solar 
Resource]]&lt;3,"Low", IF(Table1[[#This Row],[Solar 
Resource]]&lt;4, "Moderate","High"))</f>
        <v>Moderate</v>
      </c>
      <c r="L705" s="11">
        <v>0.97991189999999995</v>
      </c>
      <c r="M705" s="11">
        <v>31.002749999999999</v>
      </c>
      <c r="N705" s="11">
        <v>994.86429680000003</v>
      </c>
      <c r="O705" s="11">
        <v>1333.11825</v>
      </c>
      <c r="P705" s="11">
        <f>Table1[[#This Row],[Installed Capacity 
(AC -MW)]]/Table1[[#This Row],[Installed Capacity 
(DC -MW)]]</f>
        <v>0.74626860505435288</v>
      </c>
      <c r="Q705" s="12">
        <v>0.20357963000000001</v>
      </c>
      <c r="R705" s="12">
        <v>0.15192509000000001</v>
      </c>
      <c r="S705" s="13">
        <v>46.86212184</v>
      </c>
      <c r="T705" s="11">
        <v>6.7074220740000001</v>
      </c>
      <c r="U705" s="11">
        <v>320.90101279999999</v>
      </c>
      <c r="V705" s="13">
        <v>1148183.9890000001</v>
      </c>
      <c r="W705" s="13">
        <v>1270601</v>
      </c>
      <c r="X705" s="13">
        <v>57.639378000000001</v>
      </c>
      <c r="Y705" s="14">
        <f>+Table1[[#This Row],[Generation Cost 
LCOE (USD/MWh)]]+Table1[[#This Row],[Transmission Cost
LCOT (USD/MWh)]]</f>
        <v>104.50149984000001</v>
      </c>
    </row>
    <row r="706" spans="1:25" x14ac:dyDescent="0.3">
      <c r="A706" s="7">
        <v>705</v>
      </c>
      <c r="B706" s="8">
        <v>7289</v>
      </c>
      <c r="C706" s="9">
        <v>48.087322</v>
      </c>
      <c r="D706" s="9">
        <v>-116.71596</v>
      </c>
      <c r="E706" s="10" t="s">
        <v>42</v>
      </c>
      <c r="F706" s="10" t="s">
        <v>1</v>
      </c>
      <c r="G706" s="10" t="s">
        <v>9</v>
      </c>
      <c r="H706" s="10">
        <v>-8</v>
      </c>
      <c r="I706" s="11">
        <v>802.94117649999998</v>
      </c>
      <c r="J706" s="11">
        <v>3.5184758</v>
      </c>
      <c r="K706" s="11" t="str">
        <f>IF(Table1[[#This Row],[Solar 
Resource]]&lt;3,"Low", IF(Table1[[#This Row],[Solar 
Resource]]&lt;4, "Moderate","High"))</f>
        <v>Moderate</v>
      </c>
      <c r="L706" s="11">
        <v>0.98043764</v>
      </c>
      <c r="M706" s="11">
        <v>28.257174320000001</v>
      </c>
      <c r="N706" s="11">
        <v>906.76000859999999</v>
      </c>
      <c r="O706" s="11">
        <v>1215.0584960000001</v>
      </c>
      <c r="P706" s="11">
        <f>Table1[[#This Row],[Installed Capacity 
(AC -MW)]]/Table1[[#This Row],[Installed Capacity 
(DC -MW)]]</f>
        <v>0.74626860483266799</v>
      </c>
      <c r="Q706" s="12">
        <v>0.20367673</v>
      </c>
      <c r="R706" s="12">
        <v>0.15199753999999999</v>
      </c>
      <c r="S706" s="13">
        <v>46.859507489999999</v>
      </c>
      <c r="T706" s="11">
        <v>17.878662330000001</v>
      </c>
      <c r="U706" s="11">
        <v>310.12440249999997</v>
      </c>
      <c r="V706" s="13">
        <v>1139118.669</v>
      </c>
      <c r="W706" s="13">
        <v>1292984.5</v>
      </c>
      <c r="X706" s="13">
        <v>58.626820000000002</v>
      </c>
      <c r="Y706" s="14">
        <f>+Table1[[#This Row],[Generation Cost 
LCOE (USD/MWh)]]+Table1[[#This Row],[Transmission Cost
LCOT (USD/MWh)]]</f>
        <v>105.48632749000001</v>
      </c>
    </row>
    <row r="707" spans="1:25" x14ac:dyDescent="0.3">
      <c r="A707" s="7">
        <v>706</v>
      </c>
      <c r="B707" s="8">
        <v>7290</v>
      </c>
      <c r="C707" s="9">
        <v>48.108437000000002</v>
      </c>
      <c r="D707" s="9">
        <v>-116.55594000000001</v>
      </c>
      <c r="E707" s="10" t="s">
        <v>42</v>
      </c>
      <c r="F707" s="10" t="s">
        <v>1</v>
      </c>
      <c r="G707" s="10" t="s">
        <v>9</v>
      </c>
      <c r="H707" s="10">
        <v>-8</v>
      </c>
      <c r="I707" s="11">
        <v>840.73333330000003</v>
      </c>
      <c r="J707" s="11">
        <v>3.5085537000000002</v>
      </c>
      <c r="K707" s="11" t="str">
        <f>IF(Table1[[#This Row],[Solar 
Resource]]&lt;3,"Low", IF(Table1[[#This Row],[Solar 
Resource]]&lt;4, "Moderate","High"))</f>
        <v>Moderate</v>
      </c>
      <c r="L707" s="11">
        <v>0.98025530000000005</v>
      </c>
      <c r="M707" s="11">
        <v>11.946283810000001</v>
      </c>
      <c r="N707" s="11">
        <v>383.3509631</v>
      </c>
      <c r="O707" s="11">
        <v>513.69020399999999</v>
      </c>
      <c r="P707" s="11">
        <f>Table1[[#This Row],[Installed Capacity 
(AC -MW)]]/Table1[[#This Row],[Installed Capacity 
(DC -MW)]]</f>
        <v>0.74626878245861972</v>
      </c>
      <c r="Q707" s="12">
        <v>0.20286787000000001</v>
      </c>
      <c r="R707" s="12">
        <v>0.15139391999999999</v>
      </c>
      <c r="S707" s="13">
        <v>47.039478840000001</v>
      </c>
      <c r="T707" s="11">
        <v>9.2684480449999995</v>
      </c>
      <c r="U707" s="11">
        <v>355.7647336</v>
      </c>
      <c r="V707" s="13">
        <v>1369717.702</v>
      </c>
      <c r="W707" s="13">
        <v>1493572.5</v>
      </c>
      <c r="X707" s="13">
        <v>67.99194</v>
      </c>
      <c r="Y707" s="14">
        <f>+Table1[[#This Row],[Generation Cost 
LCOE (USD/MWh)]]+Table1[[#This Row],[Transmission Cost
LCOT (USD/MWh)]]</f>
        <v>115.03141884</v>
      </c>
    </row>
    <row r="708" spans="1:25" x14ac:dyDescent="0.3">
      <c r="A708" s="7">
        <v>707</v>
      </c>
      <c r="B708" s="8">
        <v>7291</v>
      </c>
      <c r="C708" s="9">
        <v>48.129390000000001</v>
      </c>
      <c r="D708" s="9">
        <v>-116.39579999999999</v>
      </c>
      <c r="E708" s="10" t="s">
        <v>42</v>
      </c>
      <c r="F708" s="10" t="s">
        <v>1</v>
      </c>
      <c r="G708" s="10" t="s">
        <v>9</v>
      </c>
      <c r="H708" s="10">
        <v>-8</v>
      </c>
      <c r="I708" s="11">
        <v>926.66666669999995</v>
      </c>
      <c r="J708" s="11">
        <v>3.4722059000000001</v>
      </c>
      <c r="K708" s="11" t="str">
        <f>IF(Table1[[#This Row],[Solar 
Resource]]&lt;3,"Low", IF(Table1[[#This Row],[Solar 
Resource]]&lt;4, "Moderate","High"))</f>
        <v>Moderate</v>
      </c>
      <c r="L708" s="11">
        <v>0.98068624999999998</v>
      </c>
      <c r="M708" s="11">
        <v>0.70826401999999999</v>
      </c>
      <c r="N708" s="11">
        <v>22.72787099</v>
      </c>
      <c r="O708" s="11">
        <v>30.455352850000001</v>
      </c>
      <c r="P708" s="11">
        <f>Table1[[#This Row],[Installed Capacity 
(AC -MW)]]/Table1[[#This Row],[Installed Capacity 
(DC -MW)]]</f>
        <v>0.74626851647197379</v>
      </c>
      <c r="Q708" s="12">
        <v>0.19984742</v>
      </c>
      <c r="R708" s="12">
        <v>0.14913988</v>
      </c>
      <c r="S708" s="13">
        <v>53.86940019</v>
      </c>
      <c r="T708" s="11">
        <v>5.2237467500000001</v>
      </c>
      <c r="U708" s="11">
        <v>287.3985323</v>
      </c>
      <c r="V708" s="13">
        <v>1027741.527</v>
      </c>
      <c r="W708" s="13">
        <v>1171999</v>
      </c>
      <c r="X708" s="13">
        <v>54.159309999999998</v>
      </c>
      <c r="Y708" s="14">
        <f>+Table1[[#This Row],[Generation Cost 
LCOE (USD/MWh)]]+Table1[[#This Row],[Transmission Cost
LCOT (USD/MWh)]]</f>
        <v>108.02871019</v>
      </c>
    </row>
    <row r="709" spans="1:25" x14ac:dyDescent="0.3">
      <c r="A709" s="7">
        <v>708</v>
      </c>
      <c r="B709" s="8">
        <v>7292</v>
      </c>
      <c r="C709" s="9">
        <v>48.150185</v>
      </c>
      <c r="D709" s="9">
        <v>-116.235535</v>
      </c>
      <c r="E709" s="10" t="s">
        <v>42</v>
      </c>
      <c r="F709" s="10" t="s">
        <v>1</v>
      </c>
      <c r="G709" s="10" t="s">
        <v>9</v>
      </c>
      <c r="H709" s="10">
        <v>-8</v>
      </c>
      <c r="I709" s="11">
        <v>843.53846150000004</v>
      </c>
      <c r="J709" s="11">
        <v>3.4350135000000002</v>
      </c>
      <c r="K709" s="11" t="str">
        <f>IF(Table1[[#This Row],[Solar 
Resource]]&lt;3,"Low", IF(Table1[[#This Row],[Solar 
Resource]]&lt;4, "Moderate","High"))</f>
        <v>Moderate</v>
      </c>
      <c r="L709" s="11">
        <v>0.98121069999999999</v>
      </c>
      <c r="M709" s="11">
        <v>3.1019756840000001</v>
      </c>
      <c r="N709" s="11">
        <v>99.541015689999995</v>
      </c>
      <c r="O709" s="11">
        <v>133.3849544</v>
      </c>
      <c r="P709" s="11">
        <f>Table1[[#This Row],[Installed Capacity 
(AC -MW)]]/Table1[[#This Row],[Installed Capacity 
(DC -MW)]]</f>
        <v>0.74626869378005345</v>
      </c>
      <c r="Q709" s="12">
        <v>0.19691824999999999</v>
      </c>
      <c r="R709" s="12">
        <v>0.14695393000000001</v>
      </c>
      <c r="S709" s="13">
        <v>48.497771749999998</v>
      </c>
      <c r="T709" s="11">
        <v>3.2219090889999999</v>
      </c>
      <c r="U709" s="11">
        <v>301.15153880000003</v>
      </c>
      <c r="V709" s="13">
        <v>1107427.6329999999</v>
      </c>
      <c r="W709" s="13">
        <v>1169456.6000000001</v>
      </c>
      <c r="X709" s="13">
        <v>54.845694999999999</v>
      </c>
      <c r="Y709" s="14">
        <f>+Table1[[#This Row],[Generation Cost 
LCOE (USD/MWh)]]+Table1[[#This Row],[Transmission Cost
LCOT (USD/MWh)]]</f>
        <v>103.34346675</v>
      </c>
    </row>
    <row r="710" spans="1:25" x14ac:dyDescent="0.3">
      <c r="A710" s="7">
        <v>709</v>
      </c>
      <c r="B710" s="8">
        <v>7293</v>
      </c>
      <c r="C710" s="9">
        <v>48.170822000000001</v>
      </c>
      <c r="D710" s="9">
        <v>-116.075165</v>
      </c>
      <c r="E710" s="10" t="s">
        <v>42</v>
      </c>
      <c r="F710" s="10" t="s">
        <v>1</v>
      </c>
      <c r="G710" s="10" t="s">
        <v>9</v>
      </c>
      <c r="H710" s="10">
        <v>-8</v>
      </c>
      <c r="I710" s="11">
        <v>1133.4000000000001</v>
      </c>
      <c r="J710" s="11">
        <v>3.4109848</v>
      </c>
      <c r="K710" s="11" t="str">
        <f>IF(Table1[[#This Row],[Solar 
Resource]]&lt;3,"Low", IF(Table1[[#This Row],[Solar 
Resource]]&lt;4, "Moderate","High"))</f>
        <v>Moderate</v>
      </c>
      <c r="L710" s="11">
        <v>0.98155486999999997</v>
      </c>
      <c r="M710" s="11">
        <v>5.0812114749999999</v>
      </c>
      <c r="N710" s="11">
        <v>163.05377039999999</v>
      </c>
      <c r="O710" s="11">
        <v>218.49209339999999</v>
      </c>
      <c r="P710" s="11">
        <f>Table1[[#This Row],[Installed Capacity 
(AC -MW)]]/Table1[[#This Row],[Installed Capacity 
(DC -MW)]]</f>
        <v>0.74626851646065107</v>
      </c>
      <c r="Q710" s="12">
        <v>0.19617093999999999</v>
      </c>
      <c r="R710" s="12">
        <v>0.14639622999999999</v>
      </c>
      <c r="S710" s="13">
        <v>48.695919680000003</v>
      </c>
      <c r="T710" s="11">
        <v>12.10477272</v>
      </c>
      <c r="U710" s="11">
        <v>316.92027259999998</v>
      </c>
      <c r="V710" s="13">
        <v>1156053.932</v>
      </c>
      <c r="W710" s="13">
        <v>1290168.1000000001</v>
      </c>
      <c r="X710" s="13">
        <v>60.737380000000002</v>
      </c>
      <c r="Y710" s="14">
        <f>+Table1[[#This Row],[Generation Cost 
LCOE (USD/MWh)]]+Table1[[#This Row],[Transmission Cost
LCOT (USD/MWh)]]</f>
        <v>109.43329968</v>
      </c>
    </row>
    <row r="711" spans="1:25" x14ac:dyDescent="0.3">
      <c r="A711" s="7">
        <v>710</v>
      </c>
      <c r="B711" s="8">
        <v>7294</v>
      </c>
      <c r="C711" s="9">
        <v>48.191290000000002</v>
      </c>
      <c r="D711" s="9">
        <v>-115.914665</v>
      </c>
      <c r="E711" s="10" t="s">
        <v>42</v>
      </c>
      <c r="F711" s="10" t="s">
        <v>3</v>
      </c>
      <c r="G711" s="10" t="s">
        <v>33</v>
      </c>
      <c r="H711" s="10">
        <v>-7</v>
      </c>
      <c r="I711" s="11">
        <v>1023.2</v>
      </c>
      <c r="J711" s="11">
        <v>3.4025979999999998</v>
      </c>
      <c r="K711" s="11" t="str">
        <f>IF(Table1[[#This Row],[Solar 
Resource]]&lt;3,"Low", IF(Table1[[#This Row],[Solar 
Resource]]&lt;4, "Moderate","High"))</f>
        <v>Moderate</v>
      </c>
      <c r="L711" s="11">
        <v>0.98207250000000001</v>
      </c>
      <c r="M711" s="11">
        <v>1.9119239459999999</v>
      </c>
      <c r="N711" s="11">
        <v>61.352786379999998</v>
      </c>
      <c r="O711" s="11">
        <v>82.212729659999994</v>
      </c>
      <c r="P711" s="11">
        <f>Table1[[#This Row],[Installed Capacity 
(AC -MW)]]/Table1[[#This Row],[Installed Capacity 
(DC -MW)]]</f>
        <v>0.74626869383526562</v>
      </c>
      <c r="Q711" s="12">
        <v>0.19408573000000001</v>
      </c>
      <c r="R711" s="12">
        <v>0.14484011999999999</v>
      </c>
      <c r="S711" s="13">
        <v>49.912298470000003</v>
      </c>
      <c r="T711" s="11">
        <v>19.530642839999999</v>
      </c>
      <c r="U711" s="11">
        <v>250.5344479</v>
      </c>
      <c r="V711" s="13">
        <v>915569.31559999997</v>
      </c>
      <c r="W711" s="13">
        <v>1146129</v>
      </c>
      <c r="X711" s="13">
        <v>54.53613</v>
      </c>
      <c r="Y711" s="14">
        <f>+Table1[[#This Row],[Generation Cost 
LCOE (USD/MWh)]]+Table1[[#This Row],[Transmission Cost
LCOT (USD/MWh)]]</f>
        <v>104.44842847000001</v>
      </c>
    </row>
    <row r="712" spans="1:25" x14ac:dyDescent="0.3">
      <c r="A712" s="7">
        <v>711</v>
      </c>
      <c r="B712" s="8">
        <v>7295</v>
      </c>
      <c r="C712" s="9">
        <v>48.211599999999997</v>
      </c>
      <c r="D712" s="9">
        <v>-115.75406</v>
      </c>
      <c r="E712" s="10" t="s">
        <v>42</v>
      </c>
      <c r="F712" s="10" t="s">
        <v>3</v>
      </c>
      <c r="G712" s="10" t="s">
        <v>27</v>
      </c>
      <c r="H712" s="10">
        <v>-7</v>
      </c>
      <c r="I712" s="11">
        <v>1134.2</v>
      </c>
      <c r="J712" s="11">
        <v>3.4104934</v>
      </c>
      <c r="K712" s="11" t="str">
        <f>IF(Table1[[#This Row],[Solar 
Resource]]&lt;3,"Low", IF(Table1[[#This Row],[Solar 
Resource]]&lt;4, "Moderate","High"))</f>
        <v>Moderate</v>
      </c>
      <c r="L712" s="11">
        <v>0.98233280000000001</v>
      </c>
      <c r="M712" s="11">
        <v>1.4113439210000001</v>
      </c>
      <c r="N712" s="11">
        <v>45.289391340000002</v>
      </c>
      <c r="O712" s="11">
        <v>60.687788599999998</v>
      </c>
      <c r="P712" s="11">
        <f>Table1[[#This Row],[Installed Capacity 
(AC -MW)]]/Table1[[#This Row],[Installed Capacity 
(DC -MW)]]</f>
        <v>0.74626860501554015</v>
      </c>
      <c r="Q712" s="12">
        <v>0.19526461000000001</v>
      </c>
      <c r="R712" s="12">
        <v>0.14571983999999999</v>
      </c>
      <c r="S712" s="13">
        <v>51.250853560000003</v>
      </c>
      <c r="T712" s="11">
        <v>28.297922060000001</v>
      </c>
      <c r="U712" s="11">
        <v>240.89055830000001</v>
      </c>
      <c r="V712" s="13">
        <v>866864.88439999998</v>
      </c>
      <c r="W712" s="13">
        <v>1162931</v>
      </c>
      <c r="X712" s="13">
        <v>55.001536999999999</v>
      </c>
      <c r="Y712" s="14">
        <f>+Table1[[#This Row],[Generation Cost 
LCOE (USD/MWh)]]+Table1[[#This Row],[Transmission Cost
LCOT (USD/MWh)]]</f>
        <v>106.25239056000001</v>
      </c>
    </row>
    <row r="713" spans="1:25" x14ac:dyDescent="0.3">
      <c r="A713" s="7">
        <v>712</v>
      </c>
      <c r="B713" s="8">
        <v>7296</v>
      </c>
      <c r="C713" s="9">
        <v>48.231749999999998</v>
      </c>
      <c r="D713" s="9">
        <v>-115.59332999999999</v>
      </c>
      <c r="E713" s="10" t="s">
        <v>42</v>
      </c>
      <c r="F713" s="10" t="s">
        <v>3</v>
      </c>
      <c r="G713" s="10" t="s">
        <v>27</v>
      </c>
      <c r="H713" s="10">
        <v>-7</v>
      </c>
      <c r="I713" s="11">
        <v>1051.9000000000001</v>
      </c>
      <c r="J713" s="11">
        <v>3.4848607</v>
      </c>
      <c r="K713" s="11" t="str">
        <f>IF(Table1[[#This Row],[Solar 
Resource]]&lt;3,"Low", IF(Table1[[#This Row],[Solar 
Resource]]&lt;4, "Moderate","High"))</f>
        <v>Moderate</v>
      </c>
      <c r="L713" s="11">
        <v>0.98269415000000004</v>
      </c>
      <c r="M713" s="11">
        <v>8.9712364749999995</v>
      </c>
      <c r="N713" s="11">
        <v>287.88290740000002</v>
      </c>
      <c r="O713" s="11">
        <v>385.76316839999998</v>
      </c>
      <c r="P713" s="11">
        <f>Table1[[#This Row],[Installed Capacity 
(AC -MW)]]/Table1[[#This Row],[Installed Capacity 
(DC -MW)]]</f>
        <v>0.74626851649427717</v>
      </c>
      <c r="Q713" s="12">
        <v>0.19877075</v>
      </c>
      <c r="R713" s="12">
        <v>0.14833637999999999</v>
      </c>
      <c r="S713" s="13">
        <v>48.102784649999997</v>
      </c>
      <c r="T713" s="11">
        <v>25.135129859999999</v>
      </c>
      <c r="U713" s="11">
        <v>305.93497389999999</v>
      </c>
      <c r="V713" s="13">
        <v>1295964.9110000001</v>
      </c>
      <c r="W713" s="13">
        <v>1472119.4</v>
      </c>
      <c r="X713" s="13">
        <v>68.396675000000002</v>
      </c>
      <c r="Y713" s="14">
        <f>+Table1[[#This Row],[Generation Cost 
LCOE (USD/MWh)]]+Table1[[#This Row],[Transmission Cost
LCOT (USD/MWh)]]</f>
        <v>116.49945965000001</v>
      </c>
    </row>
    <row r="714" spans="1:25" x14ac:dyDescent="0.3">
      <c r="A714" s="7">
        <v>713</v>
      </c>
      <c r="B714" s="8">
        <v>7297</v>
      </c>
      <c r="C714" s="9">
        <v>48.251739999999998</v>
      </c>
      <c r="D714" s="9">
        <v>-115.432495</v>
      </c>
      <c r="E714" s="10" t="s">
        <v>42</v>
      </c>
      <c r="F714" s="10" t="s">
        <v>3</v>
      </c>
      <c r="G714" s="10" t="s">
        <v>27</v>
      </c>
      <c r="H714" s="10">
        <v>-7</v>
      </c>
      <c r="I714" s="11">
        <v>1146.3529410000001</v>
      </c>
      <c r="J714" s="11">
        <v>3.5246751000000001</v>
      </c>
      <c r="K714" s="11" t="str">
        <f>IF(Table1[[#This Row],[Solar 
Resource]]&lt;3,"Low", IF(Table1[[#This Row],[Solar 
Resource]]&lt;4, "Moderate","High"))</f>
        <v>Moderate</v>
      </c>
      <c r="L714" s="11">
        <v>0.98300880000000002</v>
      </c>
      <c r="M714" s="11">
        <v>16.29363549</v>
      </c>
      <c r="N714" s="11">
        <v>522.85549309999999</v>
      </c>
      <c r="O714" s="11">
        <v>700.62632589999998</v>
      </c>
      <c r="P714" s="11">
        <f>Table1[[#This Row],[Installed Capacity 
(AC -MW)]]/Table1[[#This Row],[Installed Capacity 
(DC -MW)]]</f>
        <v>0.74626869384098315</v>
      </c>
      <c r="Q714" s="12">
        <v>0.20166455</v>
      </c>
      <c r="R714" s="12">
        <v>0.15049593</v>
      </c>
      <c r="S714" s="13">
        <v>47.42445506</v>
      </c>
      <c r="T714" s="11">
        <v>22.24233765</v>
      </c>
      <c r="U714" s="11">
        <v>305.93497389999999</v>
      </c>
      <c r="V714" s="13">
        <v>1295964.9110000001</v>
      </c>
      <c r="W714" s="13">
        <v>1458503.6</v>
      </c>
      <c r="X714" s="13">
        <v>66.791679999999999</v>
      </c>
      <c r="Y714" s="14">
        <f>+Table1[[#This Row],[Generation Cost 
LCOE (USD/MWh)]]+Table1[[#This Row],[Transmission Cost
LCOT (USD/MWh)]]</f>
        <v>114.21613506</v>
      </c>
    </row>
    <row r="715" spans="1:25" x14ac:dyDescent="0.3">
      <c r="A715" s="7">
        <v>714</v>
      </c>
      <c r="B715" s="8">
        <v>7298</v>
      </c>
      <c r="C715" s="9">
        <v>48.271563999999998</v>
      </c>
      <c r="D715" s="9">
        <v>-115.27153</v>
      </c>
      <c r="E715" s="10" t="s">
        <v>42</v>
      </c>
      <c r="F715" s="10" t="s">
        <v>3</v>
      </c>
      <c r="G715" s="10" t="s">
        <v>27</v>
      </c>
      <c r="H715" s="10">
        <v>-7</v>
      </c>
      <c r="I715" s="11">
        <v>1087.0769230000001</v>
      </c>
      <c r="J715" s="11">
        <v>3.5440938000000002</v>
      </c>
      <c r="K715" s="11" t="str">
        <f>IF(Table1[[#This Row],[Solar 
Resource]]&lt;3,"Low", IF(Table1[[#This Row],[Solar 
Resource]]&lt;4, "Moderate","High"))</f>
        <v>Moderate</v>
      </c>
      <c r="L715" s="11">
        <v>0.98326789999999997</v>
      </c>
      <c r="M715" s="11">
        <v>7.7037481379999999</v>
      </c>
      <c r="N715" s="11">
        <v>247.20981119999999</v>
      </c>
      <c r="O715" s="11">
        <v>331.26116999999999</v>
      </c>
      <c r="P715" s="11">
        <f>Table1[[#This Row],[Installed Capacity 
(AC -MW)]]/Table1[[#This Row],[Installed Capacity 
(DC -MW)]]</f>
        <v>0.74626860491979785</v>
      </c>
      <c r="Q715" s="12">
        <v>0.20380163000000001</v>
      </c>
      <c r="R715" s="12">
        <v>0.15209076999999999</v>
      </c>
      <c r="S715" s="13">
        <v>46.93686873</v>
      </c>
      <c r="T715" s="11">
        <v>17.512266220000001</v>
      </c>
      <c r="U715" s="11">
        <v>285.9117531</v>
      </c>
      <c r="V715" s="13">
        <v>1181860.8600000001</v>
      </c>
      <c r="W715" s="13">
        <v>1340945.6000000001</v>
      </c>
      <c r="X715" s="13">
        <v>60.764220000000002</v>
      </c>
      <c r="Y715" s="14">
        <f>+Table1[[#This Row],[Generation Cost 
LCOE (USD/MWh)]]+Table1[[#This Row],[Transmission Cost
LCOT (USD/MWh)]]</f>
        <v>107.70108873000001</v>
      </c>
    </row>
    <row r="716" spans="1:25" x14ac:dyDescent="0.3">
      <c r="A716" s="7">
        <v>715</v>
      </c>
      <c r="B716" s="8">
        <v>7299</v>
      </c>
      <c r="C716" s="9">
        <v>48.291229999999999</v>
      </c>
      <c r="D716" s="9">
        <v>-115.11047000000001</v>
      </c>
      <c r="E716" s="10" t="s">
        <v>42</v>
      </c>
      <c r="F716" s="10" t="s">
        <v>3</v>
      </c>
      <c r="G716" s="10" t="s">
        <v>27</v>
      </c>
      <c r="H716" s="10">
        <v>-7</v>
      </c>
      <c r="I716" s="11">
        <v>1171.5999999999999</v>
      </c>
      <c r="J716" s="11">
        <v>3.543342</v>
      </c>
      <c r="K716" s="11" t="str">
        <f>IF(Table1[[#This Row],[Solar 
Resource]]&lt;3,"Low", IF(Table1[[#This Row],[Solar 
Resource]]&lt;4, "Moderate","High"))</f>
        <v>Moderate</v>
      </c>
      <c r="L716" s="11">
        <v>0.98351544000000002</v>
      </c>
      <c r="M716" s="11">
        <v>20.287098629999999</v>
      </c>
      <c r="N716" s="11">
        <v>651.00386630000003</v>
      </c>
      <c r="O716" s="11">
        <v>872.34524120000003</v>
      </c>
      <c r="P716" s="11">
        <f>Table1[[#This Row],[Installed Capacity 
(AC -MW)]]/Table1[[#This Row],[Installed Capacity 
(DC -MW)]]</f>
        <v>0.74626860508171933</v>
      </c>
      <c r="Q716" s="12">
        <v>0.20384578</v>
      </c>
      <c r="R716" s="12">
        <v>0.15212371999999999</v>
      </c>
      <c r="S716" s="13">
        <v>46.93598094</v>
      </c>
      <c r="T716" s="11">
        <v>4.5628636330000001</v>
      </c>
      <c r="U716" s="11">
        <v>257.24743489999997</v>
      </c>
      <c r="V716" s="13">
        <v>1062509.5109999999</v>
      </c>
      <c r="W716" s="13">
        <v>1149682.8</v>
      </c>
      <c r="X716" s="13">
        <v>52.085963999999997</v>
      </c>
      <c r="Y716" s="14">
        <f>+Table1[[#This Row],[Generation Cost 
LCOE (USD/MWh)]]+Table1[[#This Row],[Transmission Cost
LCOT (USD/MWh)]]</f>
        <v>99.021944939999997</v>
      </c>
    </row>
    <row r="717" spans="1:25" x14ac:dyDescent="0.3">
      <c r="A717" s="7">
        <v>716</v>
      </c>
      <c r="B717" s="8">
        <v>7300</v>
      </c>
      <c r="C717" s="9">
        <v>48.31073</v>
      </c>
      <c r="D717" s="9">
        <v>-114.94929500000001</v>
      </c>
      <c r="E717" s="10" t="s">
        <v>42</v>
      </c>
      <c r="F717" s="10" t="s">
        <v>3</v>
      </c>
      <c r="G717" s="10" t="s">
        <v>27</v>
      </c>
      <c r="H717" s="10">
        <v>-7</v>
      </c>
      <c r="I717" s="11">
        <v>1132</v>
      </c>
      <c r="J717" s="11">
        <v>3.531593</v>
      </c>
      <c r="K717" s="11" t="str">
        <f>IF(Table1[[#This Row],[Solar 
Resource]]&lt;3,"Low", IF(Table1[[#This Row],[Solar 
Resource]]&lt;4, "Moderate","High"))</f>
        <v>Moderate</v>
      </c>
      <c r="L717" s="11">
        <v>0.9836935</v>
      </c>
      <c r="M717" s="11">
        <v>16.56255509</v>
      </c>
      <c r="N717" s="11">
        <v>531.48500320000005</v>
      </c>
      <c r="O717" s="11">
        <v>712.18986889999996</v>
      </c>
      <c r="P717" s="11">
        <f>Table1[[#This Row],[Installed Capacity 
(AC -MW)]]/Table1[[#This Row],[Installed Capacity 
(DC -MW)]]</f>
        <v>0.74626869379775884</v>
      </c>
      <c r="Q717" s="12">
        <v>0.20388211000000001</v>
      </c>
      <c r="R717" s="12">
        <v>0.15215081999999999</v>
      </c>
      <c r="S717" s="13">
        <v>46.934296670000002</v>
      </c>
      <c r="T717" s="11">
        <v>8.9856558389999996</v>
      </c>
      <c r="U717" s="11">
        <v>258.5974349</v>
      </c>
      <c r="V717" s="13">
        <v>1067886.43</v>
      </c>
      <c r="W717" s="13">
        <v>1188555.6000000001</v>
      </c>
      <c r="X717" s="13">
        <v>53.837490000000003</v>
      </c>
      <c r="Y717" s="14">
        <f>+Table1[[#This Row],[Generation Cost 
LCOE (USD/MWh)]]+Table1[[#This Row],[Transmission Cost
LCOT (USD/MWh)]]</f>
        <v>100.77178667000001</v>
      </c>
    </row>
    <row r="718" spans="1:25" x14ac:dyDescent="0.3">
      <c r="A718" s="7">
        <v>717</v>
      </c>
      <c r="B718" s="8">
        <v>7301</v>
      </c>
      <c r="C718" s="9">
        <v>48.330069999999999</v>
      </c>
      <c r="D718" s="9">
        <v>-114.78801</v>
      </c>
      <c r="E718" s="10" t="s">
        <v>42</v>
      </c>
      <c r="F718" s="10" t="s">
        <v>3</v>
      </c>
      <c r="G718" s="10" t="s">
        <v>15</v>
      </c>
      <c r="H718" s="10">
        <v>-7</v>
      </c>
      <c r="I718" s="11">
        <v>1502.25</v>
      </c>
      <c r="J718" s="11">
        <v>3.5193705999999998</v>
      </c>
      <c r="K718" s="11" t="str">
        <f>IF(Table1[[#This Row],[Solar 
Resource]]&lt;3,"Low", IF(Table1[[#This Row],[Solar 
Resource]]&lt;4, "Moderate","High"))</f>
        <v>Moderate</v>
      </c>
      <c r="L718" s="11">
        <v>0.9838886</v>
      </c>
      <c r="M718" s="11">
        <v>0.35153995100000002</v>
      </c>
      <c r="N718" s="11">
        <v>11.28076151</v>
      </c>
      <c r="O718" s="11">
        <v>15.11621787</v>
      </c>
      <c r="P718" s="11">
        <f>Table1[[#This Row],[Installed Capacity 
(AC -MW)]]/Table1[[#This Row],[Installed Capacity 
(DC -MW)]]</f>
        <v>0.7462687827745631</v>
      </c>
      <c r="Q718" s="12">
        <v>0.2053576</v>
      </c>
      <c r="R718" s="12">
        <v>0.15325192000000001</v>
      </c>
      <c r="S718" s="13">
        <v>56.767212319999999</v>
      </c>
      <c r="T718" s="11">
        <v>18.436753240000002</v>
      </c>
      <c r="U718" s="11">
        <v>227.35354530000001</v>
      </c>
      <c r="V718" s="13">
        <v>938952.87809999997</v>
      </c>
      <c r="W718" s="13">
        <v>1107191.6000000001</v>
      </c>
      <c r="X718" s="13">
        <v>49.791640000000001</v>
      </c>
      <c r="Y718" s="14">
        <f>+Table1[[#This Row],[Generation Cost 
LCOE (USD/MWh)]]+Table1[[#This Row],[Transmission Cost
LCOT (USD/MWh)]]</f>
        <v>106.55885232</v>
      </c>
    </row>
    <row r="719" spans="1:25" x14ac:dyDescent="0.3">
      <c r="A719" s="7">
        <v>718</v>
      </c>
      <c r="B719" s="8">
        <v>7302</v>
      </c>
      <c r="C719" s="9">
        <v>48.349243000000001</v>
      </c>
      <c r="D719" s="9">
        <v>-114.62661</v>
      </c>
      <c r="E719" s="10" t="s">
        <v>42</v>
      </c>
      <c r="F719" s="10" t="s">
        <v>3</v>
      </c>
      <c r="G719" s="10" t="s">
        <v>15</v>
      </c>
      <c r="H719" s="10">
        <v>-7</v>
      </c>
      <c r="I719" s="11">
        <v>1352.166667</v>
      </c>
      <c r="J719" s="11">
        <v>3.5077552999999999</v>
      </c>
      <c r="K719" s="11" t="str">
        <f>IF(Table1[[#This Row],[Solar 
Resource]]&lt;3,"Low", IF(Table1[[#This Row],[Solar 
Resource]]&lt;4, "Moderate","High"))</f>
        <v>Moderate</v>
      </c>
      <c r="L719" s="11">
        <v>0.98351080000000002</v>
      </c>
      <c r="M719" s="11">
        <v>3.0822121579999999</v>
      </c>
      <c r="N719" s="11">
        <v>98.906801220000006</v>
      </c>
      <c r="O719" s="11">
        <v>132.53512280000001</v>
      </c>
      <c r="P719" s="11">
        <f>Table1[[#This Row],[Installed Capacity 
(AC -MW)]]/Table1[[#This Row],[Installed Capacity 
(DC -MW)]]</f>
        <v>0.74626860510970905</v>
      </c>
      <c r="Q719" s="12">
        <v>0.20413816000000001</v>
      </c>
      <c r="R719" s="12">
        <v>0.15234191999999999</v>
      </c>
      <c r="S719" s="13">
        <v>46.868577809999998</v>
      </c>
      <c r="T719" s="11">
        <v>15.835798690000001</v>
      </c>
      <c r="U719" s="11">
        <v>224.85803240000001</v>
      </c>
      <c r="V719" s="13">
        <v>825191.58900000004</v>
      </c>
      <c r="W719" s="13">
        <v>1021200.6</v>
      </c>
      <c r="X719" s="13">
        <v>46.198864</v>
      </c>
      <c r="Y719" s="14">
        <f>+Table1[[#This Row],[Generation Cost 
LCOE (USD/MWh)]]+Table1[[#This Row],[Transmission Cost
LCOT (USD/MWh)]]</f>
        <v>93.067441809999991</v>
      </c>
    </row>
    <row r="720" spans="1:25" x14ac:dyDescent="0.3">
      <c r="A720" s="7">
        <v>719</v>
      </c>
      <c r="B720" s="8">
        <v>7303</v>
      </c>
      <c r="C720" s="9">
        <v>48.368259999999999</v>
      </c>
      <c r="D720" s="9">
        <v>-114.46510000000001</v>
      </c>
      <c r="E720" s="10" t="s">
        <v>42</v>
      </c>
      <c r="F720" s="10" t="s">
        <v>3</v>
      </c>
      <c r="G720" s="10" t="s">
        <v>15</v>
      </c>
      <c r="H720" s="10">
        <v>-7</v>
      </c>
      <c r="I720" s="11">
        <v>1044.8</v>
      </c>
      <c r="J720" s="11">
        <v>3.4811535</v>
      </c>
      <c r="K720" s="11" t="str">
        <f>IF(Table1[[#This Row],[Solar 
Resource]]&lt;3,"Low", IF(Table1[[#This Row],[Solar 
Resource]]&lt;4, "Moderate","High"))</f>
        <v>Moderate</v>
      </c>
      <c r="L720" s="11">
        <v>0.98120534000000004</v>
      </c>
      <c r="M720" s="11">
        <v>30.601556760000001</v>
      </c>
      <c r="N720" s="11">
        <v>981.99018639999997</v>
      </c>
      <c r="O720" s="11">
        <v>1315.866941</v>
      </c>
      <c r="P720" s="11">
        <f>Table1[[#This Row],[Installed Capacity 
(AC -MW)]]/Table1[[#This Row],[Installed Capacity 
(DC -MW)]]</f>
        <v>0.74626860498047876</v>
      </c>
      <c r="Q720" s="12">
        <v>0.20089413</v>
      </c>
      <c r="R720" s="12">
        <v>0.14992099</v>
      </c>
      <c r="S720" s="13">
        <v>47.537748909999998</v>
      </c>
      <c r="T720" s="11">
        <v>5.2519805149999996</v>
      </c>
      <c r="U720" s="11">
        <v>224.73075309999999</v>
      </c>
      <c r="V720" s="13">
        <v>824835.63289999997</v>
      </c>
      <c r="W720" s="13">
        <v>896093</v>
      </c>
      <c r="X720" s="13">
        <v>41.193644999999997</v>
      </c>
      <c r="Y720" s="14">
        <f>+Table1[[#This Row],[Generation Cost 
LCOE (USD/MWh)]]+Table1[[#This Row],[Transmission Cost
LCOT (USD/MWh)]]</f>
        <v>88.731393909999994</v>
      </c>
    </row>
    <row r="721" spans="1:25" x14ac:dyDescent="0.3">
      <c r="A721" s="7">
        <v>720</v>
      </c>
      <c r="B721" s="8">
        <v>7304</v>
      </c>
      <c r="C721" s="9">
        <v>48.387107999999998</v>
      </c>
      <c r="D721" s="9">
        <v>-114.30347999999999</v>
      </c>
      <c r="E721" s="10" t="s">
        <v>42</v>
      </c>
      <c r="F721" s="10" t="s">
        <v>3</v>
      </c>
      <c r="G721" s="10" t="s">
        <v>15</v>
      </c>
      <c r="H721" s="10">
        <v>-7</v>
      </c>
      <c r="I721" s="11">
        <v>1035.1052629999999</v>
      </c>
      <c r="J721" s="11">
        <v>3.4549832</v>
      </c>
      <c r="K721" s="11" t="str">
        <f>IF(Table1[[#This Row],[Solar 
Resource]]&lt;3,"Low", IF(Table1[[#This Row],[Solar 
Resource]]&lt;4, "Moderate","High"))</f>
        <v>Moderate</v>
      </c>
      <c r="L721" s="11">
        <v>0.98127746999999999</v>
      </c>
      <c r="M721" s="11">
        <v>47.768290579999999</v>
      </c>
      <c r="N721" s="11">
        <v>1532.86295</v>
      </c>
      <c r="O721" s="11">
        <v>2054.0364949999998</v>
      </c>
      <c r="P721" s="11">
        <f>Table1[[#This Row],[Installed Capacity 
(AC -MW)]]/Table1[[#This Row],[Installed Capacity 
(DC -MW)]]</f>
        <v>0.7462686051252464</v>
      </c>
      <c r="Q721" s="12">
        <v>0.19852719999999999</v>
      </c>
      <c r="R721" s="12">
        <v>0.14815463000000001</v>
      </c>
      <c r="S721" s="13">
        <v>48.107294889999999</v>
      </c>
      <c r="T721" s="11">
        <v>2.4055129860000002</v>
      </c>
      <c r="U721" s="11">
        <v>212.7931882</v>
      </c>
      <c r="V721" s="13">
        <v>761389.42660000001</v>
      </c>
      <c r="W721" s="13">
        <v>812808.44</v>
      </c>
      <c r="X721" s="13">
        <v>37.810516</v>
      </c>
      <c r="Y721" s="14">
        <f>+Table1[[#This Row],[Generation Cost 
LCOE (USD/MWh)]]+Table1[[#This Row],[Transmission Cost
LCOT (USD/MWh)]]</f>
        <v>85.917810889999998</v>
      </c>
    </row>
    <row r="722" spans="1:25" x14ac:dyDescent="0.3">
      <c r="A722" s="7">
        <v>721</v>
      </c>
      <c r="B722" s="8">
        <v>7305</v>
      </c>
      <c r="C722" s="9">
        <v>48.405799999999999</v>
      </c>
      <c r="D722" s="9">
        <v>-114.14176</v>
      </c>
      <c r="E722" s="10" t="s">
        <v>42</v>
      </c>
      <c r="F722" s="10" t="s">
        <v>3</v>
      </c>
      <c r="G722" s="10" t="s">
        <v>15</v>
      </c>
      <c r="H722" s="10">
        <v>-7</v>
      </c>
      <c r="I722" s="11">
        <v>1104.625</v>
      </c>
      <c r="J722" s="11">
        <v>3.4223547000000001</v>
      </c>
      <c r="K722" s="11" t="str">
        <f>IF(Table1[[#This Row],[Solar 
Resource]]&lt;3,"Low", IF(Table1[[#This Row],[Solar 
Resource]]&lt;4, "Moderate","High"))</f>
        <v>Moderate</v>
      </c>
      <c r="L722" s="11">
        <v>0.98136000000000001</v>
      </c>
      <c r="M722" s="11">
        <v>29.574638530000001</v>
      </c>
      <c r="N722" s="11">
        <v>949.03684220000002</v>
      </c>
      <c r="O722" s="11">
        <v>1271.7094569999999</v>
      </c>
      <c r="P722" s="11">
        <f>Table1[[#This Row],[Installed Capacity 
(AC -MW)]]/Table1[[#This Row],[Installed Capacity 
(DC -MW)]]</f>
        <v>0.74626860481072921</v>
      </c>
      <c r="Q722" s="12">
        <v>0.19619101</v>
      </c>
      <c r="R722" s="12">
        <v>0.14641121000000001</v>
      </c>
      <c r="S722" s="13">
        <v>48.683351430000002</v>
      </c>
      <c r="T722" s="11">
        <v>2.1573506469999999</v>
      </c>
      <c r="U722" s="11">
        <v>204.14304540000001</v>
      </c>
      <c r="V722" s="13">
        <v>740732.24109999998</v>
      </c>
      <c r="W722" s="13">
        <v>771872.44</v>
      </c>
      <c r="X722" s="13">
        <v>36.333799999999997</v>
      </c>
      <c r="Y722" s="14">
        <f>+Table1[[#This Row],[Generation Cost 
LCOE (USD/MWh)]]+Table1[[#This Row],[Transmission Cost
LCOT (USD/MWh)]]</f>
        <v>85.017151429999998</v>
      </c>
    </row>
    <row r="723" spans="1:25" x14ac:dyDescent="0.3">
      <c r="A723" s="7">
        <v>722</v>
      </c>
      <c r="B723" s="8">
        <v>7306</v>
      </c>
      <c r="C723" s="9">
        <v>48.424323999999999</v>
      </c>
      <c r="D723" s="9">
        <v>-113.979935</v>
      </c>
      <c r="E723" s="10" t="s">
        <v>42</v>
      </c>
      <c r="F723" s="10" t="s">
        <v>3</v>
      </c>
      <c r="G723" s="10" t="s">
        <v>15</v>
      </c>
      <c r="H723" s="10">
        <v>-7</v>
      </c>
      <c r="I723" s="11">
        <v>1103.0999999999999</v>
      </c>
      <c r="J723" s="11">
        <v>3.3906635999999999</v>
      </c>
      <c r="K723" s="11" t="str">
        <f>IF(Table1[[#This Row],[Solar 
Resource]]&lt;3,"Low", IF(Table1[[#This Row],[Solar 
Resource]]&lt;4, "Moderate","High"))</f>
        <v>Moderate</v>
      </c>
      <c r="L723" s="11">
        <v>0.98144673999999998</v>
      </c>
      <c r="M723" s="11">
        <v>15.143112159999999</v>
      </c>
      <c r="N723" s="11">
        <v>485.935655</v>
      </c>
      <c r="O723" s="11">
        <v>651.15382279999994</v>
      </c>
      <c r="P723" s="11">
        <f>Table1[[#This Row],[Installed Capacity 
(AC -MW)]]/Table1[[#This Row],[Installed Capacity 
(DC -MW)]]</f>
        <v>0.74626860502860592</v>
      </c>
      <c r="Q723" s="12">
        <v>0.19356622000000001</v>
      </c>
      <c r="R723" s="12">
        <v>0.14445240000000001</v>
      </c>
      <c r="S723" s="13">
        <v>49.346924639999997</v>
      </c>
      <c r="T723" s="11">
        <v>9.4111688250000007</v>
      </c>
      <c r="U723" s="11">
        <v>207.1913505</v>
      </c>
      <c r="V723" s="13">
        <v>760555.15359999996</v>
      </c>
      <c r="W723" s="13">
        <v>900283.94</v>
      </c>
      <c r="X723" s="13">
        <v>42.953082999999999</v>
      </c>
      <c r="Y723" s="14">
        <f>+Table1[[#This Row],[Generation Cost 
LCOE (USD/MWh)]]+Table1[[#This Row],[Transmission Cost
LCOT (USD/MWh)]]</f>
        <v>92.30000763999999</v>
      </c>
    </row>
    <row r="724" spans="1:25" x14ac:dyDescent="0.3">
      <c r="A724" s="7">
        <v>723</v>
      </c>
      <c r="B724" s="8">
        <v>7307</v>
      </c>
      <c r="C724" s="9">
        <v>48.442680000000003</v>
      </c>
      <c r="D724" s="9">
        <v>-113.81798999999999</v>
      </c>
      <c r="E724" s="10" t="s">
        <v>42</v>
      </c>
      <c r="F724" s="10" t="s">
        <v>3</v>
      </c>
      <c r="G724" s="10" t="s">
        <v>15</v>
      </c>
      <c r="H724" s="10">
        <v>-7</v>
      </c>
      <c r="I724" s="11">
        <v>1228</v>
      </c>
      <c r="J724" s="11">
        <v>3.2080000000000002</v>
      </c>
      <c r="K724" s="11" t="str">
        <f>IF(Table1[[#This Row],[Solar 
Resource]]&lt;3,"Low", IF(Table1[[#This Row],[Solar 
Resource]]&lt;4, "Moderate","High"))</f>
        <v>Moderate</v>
      </c>
      <c r="L724" s="11">
        <v>0.98157053999999999</v>
      </c>
      <c r="M724" s="11">
        <v>7.1279999999999998E-3</v>
      </c>
      <c r="N724" s="11">
        <v>0.228734311</v>
      </c>
      <c r="O724" s="11">
        <v>0.306503998</v>
      </c>
      <c r="P724" s="11">
        <f>Table1[[#This Row],[Installed Capacity 
(AC -MW)]]/Table1[[#This Row],[Installed Capacity 
(DC -MW)]]</f>
        <v>0.74626860495307468</v>
      </c>
      <c r="Q724" s="12">
        <v>0.1824943</v>
      </c>
      <c r="R724" s="12">
        <v>0.13618975999999999</v>
      </c>
      <c r="S724" s="13">
        <v>99.942554020000003</v>
      </c>
      <c r="T724" s="11">
        <v>33.35820777</v>
      </c>
      <c r="U724" s="11">
        <v>205.8285583</v>
      </c>
      <c r="V724" s="13">
        <v>751165.98129999998</v>
      </c>
      <c r="W724" s="13">
        <v>1038814.4</v>
      </c>
      <c r="X724" s="13">
        <v>52.569405000000003</v>
      </c>
      <c r="Y724" s="14">
        <f>+Table1[[#This Row],[Generation Cost 
LCOE (USD/MWh)]]+Table1[[#This Row],[Transmission Cost
LCOT (USD/MWh)]]</f>
        <v>152.51195902000001</v>
      </c>
    </row>
    <row r="725" spans="1:25" x14ac:dyDescent="0.3">
      <c r="A725" s="7">
        <v>724</v>
      </c>
      <c r="B725" s="8">
        <v>7308</v>
      </c>
      <c r="C725" s="9">
        <v>48.460880000000003</v>
      </c>
      <c r="D725" s="9">
        <v>-113.655945</v>
      </c>
      <c r="E725" s="10" t="s">
        <v>42</v>
      </c>
      <c r="F725" s="10" t="s">
        <v>3</v>
      </c>
      <c r="G725" s="10" t="s">
        <v>15</v>
      </c>
      <c r="H725" s="10">
        <v>-7</v>
      </c>
      <c r="I725" s="11">
        <v>1290</v>
      </c>
      <c r="J725" s="11">
        <v>3.286</v>
      </c>
      <c r="K725" s="11" t="str">
        <f>IF(Table1[[#This Row],[Solar 
Resource]]&lt;3,"Low", IF(Table1[[#This Row],[Solar 
Resource]]&lt;4, "Moderate","High"))</f>
        <v>Moderate</v>
      </c>
      <c r="L725" s="11">
        <v>0.98165643000000002</v>
      </c>
      <c r="M725" s="11">
        <v>1.8467999999999998E-2</v>
      </c>
      <c r="N725" s="11">
        <v>0.59262980200000004</v>
      </c>
      <c r="O725" s="11">
        <v>0.79412399</v>
      </c>
      <c r="P725" s="11">
        <f>Table1[[#This Row],[Installed Capacity 
(AC -MW)]]/Table1[[#This Row],[Installed Capacity 
(DC -MW)]]</f>
        <v>0.74626860473010015</v>
      </c>
      <c r="Q725" s="12">
        <v>0.18724477</v>
      </c>
      <c r="R725" s="12">
        <v>0.13973490999999999</v>
      </c>
      <c r="S725" s="13">
        <v>87.025247820000004</v>
      </c>
      <c r="T725" s="11">
        <v>50.240473989999998</v>
      </c>
      <c r="U725" s="11">
        <v>208.71230510000001</v>
      </c>
      <c r="V725" s="13">
        <v>771585.42350000003</v>
      </c>
      <c r="W725" s="13">
        <v>1214606.8999999999</v>
      </c>
      <c r="X725" s="13">
        <v>59.906016999999999</v>
      </c>
      <c r="Y725" s="14">
        <f>+Table1[[#This Row],[Generation Cost 
LCOE (USD/MWh)]]+Table1[[#This Row],[Transmission Cost
LCOT (USD/MWh)]]</f>
        <v>146.93126482</v>
      </c>
    </row>
    <row r="726" spans="1:25" x14ac:dyDescent="0.3">
      <c r="A726" s="7">
        <v>725</v>
      </c>
      <c r="B726" s="8">
        <v>7310</v>
      </c>
      <c r="C726" s="9">
        <v>48.496780000000001</v>
      </c>
      <c r="D726" s="9">
        <v>-113.33154</v>
      </c>
      <c r="E726" s="10" t="s">
        <v>42</v>
      </c>
      <c r="F726" s="10" t="s">
        <v>3</v>
      </c>
      <c r="G726" s="10" t="s">
        <v>16</v>
      </c>
      <c r="H726" s="10">
        <v>-7</v>
      </c>
      <c r="I726" s="11">
        <v>1615</v>
      </c>
      <c r="J726" s="11">
        <v>3.6468828000000002</v>
      </c>
      <c r="K726" s="11" t="str">
        <f>IF(Table1[[#This Row],[Solar 
Resource]]&lt;3,"Low", IF(Table1[[#This Row],[Solar 
Resource]]&lt;4, "Moderate","High"))</f>
        <v>Moderate</v>
      </c>
      <c r="L726" s="11">
        <v>0.98192656</v>
      </c>
      <c r="M726" s="11">
        <v>9.1795682369999998</v>
      </c>
      <c r="N726" s="11">
        <v>294.56821409999998</v>
      </c>
      <c r="O726" s="11">
        <v>394.72143419999998</v>
      </c>
      <c r="P726" s="11">
        <f>Table1[[#This Row],[Installed Capacity 
(AC -MW)]]/Table1[[#This Row],[Installed Capacity 
(DC -MW)]]</f>
        <v>0.74626860509111925</v>
      </c>
      <c r="Q726" s="12">
        <v>0.2180684</v>
      </c>
      <c r="R726" s="12">
        <v>0.16273762</v>
      </c>
      <c r="S726" s="13">
        <v>43.819107539999997</v>
      </c>
      <c r="T726" s="11">
        <v>28.465129860000001</v>
      </c>
      <c r="U726" s="11">
        <v>239.35616870000001</v>
      </c>
      <c r="V726" s="13">
        <v>641928.82299999997</v>
      </c>
      <c r="W726" s="13">
        <v>863192.25</v>
      </c>
      <c r="X726" s="13">
        <v>36.556040000000003</v>
      </c>
      <c r="Y726" s="14">
        <f>+Table1[[#This Row],[Generation Cost 
LCOE (USD/MWh)]]+Table1[[#This Row],[Transmission Cost
LCOT (USD/MWh)]]</f>
        <v>80.37514754</v>
      </c>
    </row>
    <row r="727" spans="1:25" x14ac:dyDescent="0.3">
      <c r="A727" s="7">
        <v>726</v>
      </c>
      <c r="B727" s="8">
        <v>7311</v>
      </c>
      <c r="C727" s="9">
        <v>48.514490000000002</v>
      </c>
      <c r="D727" s="9">
        <v>-113.1692</v>
      </c>
      <c r="E727" s="10" t="s">
        <v>42</v>
      </c>
      <c r="F727" s="10" t="s">
        <v>3</v>
      </c>
      <c r="G727" s="10" t="s">
        <v>16</v>
      </c>
      <c r="H727" s="10">
        <v>-7</v>
      </c>
      <c r="I727" s="11">
        <v>1512.0526319999999</v>
      </c>
      <c r="J727" s="11">
        <v>3.7009167999999999</v>
      </c>
      <c r="K727" s="11" t="str">
        <f>IF(Table1[[#This Row],[Solar 
Resource]]&lt;3,"Low", IF(Table1[[#This Row],[Solar 
Resource]]&lt;4, "Moderate","High"))</f>
        <v>Moderate</v>
      </c>
      <c r="L727" s="11">
        <v>0.98202259999999997</v>
      </c>
      <c r="M727" s="11">
        <v>74.228004490000004</v>
      </c>
      <c r="N727" s="11">
        <v>2381.942697</v>
      </c>
      <c r="O727" s="11">
        <v>3191.8041929999999</v>
      </c>
      <c r="P727" s="11">
        <f>Table1[[#This Row],[Installed Capacity 
(AC -MW)]]/Table1[[#This Row],[Installed Capacity 
(DC -MW)]]</f>
        <v>0.74626842781392388</v>
      </c>
      <c r="Q727" s="12">
        <v>0.22230955999999999</v>
      </c>
      <c r="R727" s="12">
        <v>0.16590263999999999</v>
      </c>
      <c r="S727" s="13">
        <v>42.986436410000003</v>
      </c>
      <c r="T727" s="11">
        <v>15.40233765</v>
      </c>
      <c r="U727" s="11">
        <v>239.31888950000001</v>
      </c>
      <c r="V727" s="13">
        <v>641934.87360000005</v>
      </c>
      <c r="W727" s="13">
        <v>754368.3</v>
      </c>
      <c r="X727" s="13">
        <v>31.337886999999998</v>
      </c>
      <c r="Y727" s="14">
        <f>+Table1[[#This Row],[Generation Cost 
LCOE (USD/MWh)]]+Table1[[#This Row],[Transmission Cost
LCOT (USD/MWh)]]</f>
        <v>74.324323410000005</v>
      </c>
    </row>
    <row r="728" spans="1:25" x14ac:dyDescent="0.3">
      <c r="A728" s="7">
        <v>727</v>
      </c>
      <c r="B728" s="8">
        <v>7312</v>
      </c>
      <c r="C728" s="9">
        <v>48.532029999999999</v>
      </c>
      <c r="D728" s="9">
        <v>-113.006744</v>
      </c>
      <c r="E728" s="10" t="s">
        <v>42</v>
      </c>
      <c r="F728" s="10" t="s">
        <v>3</v>
      </c>
      <c r="G728" s="10" t="s">
        <v>16</v>
      </c>
      <c r="H728" s="10">
        <v>-7</v>
      </c>
      <c r="I728" s="11">
        <v>1387.058824</v>
      </c>
      <c r="J728" s="11">
        <v>3.7355075000000002</v>
      </c>
      <c r="K728" s="11" t="str">
        <f>IF(Table1[[#This Row],[Solar 
Resource]]&lt;3,"Low", IF(Table1[[#This Row],[Solar 
Resource]]&lt;4, "Moderate","High"))</f>
        <v>Moderate</v>
      </c>
      <c r="L728" s="11">
        <v>0.98215823999999996</v>
      </c>
      <c r="M728" s="11">
        <v>85.216540429999995</v>
      </c>
      <c r="N728" s="11">
        <v>2734.5601109999998</v>
      </c>
      <c r="O728" s="11">
        <v>3664.3112379999998</v>
      </c>
      <c r="P728" s="11">
        <f>Table1[[#This Row],[Installed Capacity 
(AC -MW)]]/Table1[[#This Row],[Installed Capacity 
(DC -MW)]]</f>
        <v>0.74626851634266111</v>
      </c>
      <c r="Q728" s="12">
        <v>0.22540500999999999</v>
      </c>
      <c r="R728" s="12">
        <v>0.16821269999999999</v>
      </c>
      <c r="S728" s="13">
        <v>42.400712329999998</v>
      </c>
      <c r="T728" s="11">
        <v>7.895512986</v>
      </c>
      <c r="U728" s="11">
        <v>239.1016103</v>
      </c>
      <c r="V728" s="13">
        <v>641308.08100000001</v>
      </c>
      <c r="W728" s="13">
        <v>723263.9</v>
      </c>
      <c r="X728" s="13">
        <v>29.633137000000001</v>
      </c>
      <c r="Y728" s="14">
        <f>+Table1[[#This Row],[Generation Cost 
LCOE (USD/MWh)]]+Table1[[#This Row],[Transmission Cost
LCOT (USD/MWh)]]</f>
        <v>72.033849329999995</v>
      </c>
    </row>
    <row r="729" spans="1:25" x14ac:dyDescent="0.3">
      <c r="A729" s="7">
        <v>728</v>
      </c>
      <c r="B729" s="8">
        <v>7313</v>
      </c>
      <c r="C729" s="9">
        <v>48.549404000000003</v>
      </c>
      <c r="D729" s="9">
        <v>-112.84417999999999</v>
      </c>
      <c r="E729" s="10" t="s">
        <v>42</v>
      </c>
      <c r="F729" s="10" t="s">
        <v>3</v>
      </c>
      <c r="G729" s="10" t="s">
        <v>16</v>
      </c>
      <c r="H729" s="10">
        <v>-7</v>
      </c>
      <c r="I729" s="11">
        <v>1294.5714290000001</v>
      </c>
      <c r="J729" s="11">
        <v>3.7495432000000002</v>
      </c>
      <c r="K729" s="11" t="str">
        <f>IF(Table1[[#This Row],[Solar 
Resource]]&lt;3,"Low", IF(Table1[[#This Row],[Solar 
Resource]]&lt;4, "Moderate","High"))</f>
        <v>Moderate</v>
      </c>
      <c r="L729" s="11">
        <v>0.98229694000000001</v>
      </c>
      <c r="M729" s="11">
        <v>103.7998863</v>
      </c>
      <c r="N729" s="11">
        <v>3330.8912479999999</v>
      </c>
      <c r="O729" s="11">
        <v>4463.3951120000002</v>
      </c>
      <c r="P729" s="11">
        <f>Table1[[#This Row],[Installed Capacity 
(AC -MW)]]/Table1[[#This Row],[Installed Capacity 
(DC -MW)]]</f>
        <v>0.74626851632399238</v>
      </c>
      <c r="Q729" s="12">
        <v>0.22788887999999999</v>
      </c>
      <c r="R729" s="12">
        <v>0.17006634000000001</v>
      </c>
      <c r="S729" s="13">
        <v>41.943216640000003</v>
      </c>
      <c r="T729" s="11">
        <v>5.8691883090000001</v>
      </c>
      <c r="U729" s="11">
        <v>225.87690900000001</v>
      </c>
      <c r="V729" s="13">
        <v>607913.74840000004</v>
      </c>
      <c r="W729" s="13">
        <v>679435.56</v>
      </c>
      <c r="X729" s="13">
        <v>27.534013999999999</v>
      </c>
      <c r="Y729" s="14">
        <f>+Table1[[#This Row],[Generation Cost 
LCOE (USD/MWh)]]+Table1[[#This Row],[Transmission Cost
LCOT (USD/MWh)]]</f>
        <v>69.477230640000002</v>
      </c>
    </row>
    <row r="730" spans="1:25" x14ac:dyDescent="0.3">
      <c r="A730" s="7">
        <v>729</v>
      </c>
      <c r="B730" s="8">
        <v>7314</v>
      </c>
      <c r="C730" s="9">
        <v>48.56662</v>
      </c>
      <c r="D730" s="9">
        <v>-112.68152000000001</v>
      </c>
      <c r="E730" s="10" t="s">
        <v>42</v>
      </c>
      <c r="F730" s="10" t="s">
        <v>3</v>
      </c>
      <c r="G730" s="10" t="s">
        <v>16</v>
      </c>
      <c r="H730" s="10">
        <v>-7</v>
      </c>
      <c r="I730" s="11">
        <v>1249</v>
      </c>
      <c r="J730" s="11">
        <v>3.7653606000000002</v>
      </c>
      <c r="K730" s="11" t="str">
        <f>IF(Table1[[#This Row],[Solar 
Resource]]&lt;3,"Low", IF(Table1[[#This Row],[Solar 
Resource]]&lt;4, "Moderate","High"))</f>
        <v>Moderate</v>
      </c>
      <c r="L730" s="11">
        <v>0.98242490000000005</v>
      </c>
      <c r="M730" s="11">
        <v>90.653902729999999</v>
      </c>
      <c r="N730" s="11">
        <v>2909.042946</v>
      </c>
      <c r="O730" s="11">
        <v>3898.1178180000002</v>
      </c>
      <c r="P730" s="11">
        <f>Table1[[#This Row],[Installed Capacity 
(AC -MW)]]/Table1[[#This Row],[Installed Capacity 
(DC -MW)]]</f>
        <v>0.74626860495779912</v>
      </c>
      <c r="Q730" s="12">
        <v>0.23010074999999999</v>
      </c>
      <c r="R730" s="12">
        <v>0.17171697</v>
      </c>
      <c r="S730" s="13">
        <v>41.544287249999996</v>
      </c>
      <c r="T730" s="11">
        <v>3.6063961029999998</v>
      </c>
      <c r="U730" s="11">
        <v>214.65404530000001</v>
      </c>
      <c r="V730" s="13">
        <v>578240.55799999996</v>
      </c>
      <c r="W730" s="13">
        <v>636761.30000000005</v>
      </c>
      <c r="X730" s="13">
        <v>25.556597</v>
      </c>
      <c r="Y730" s="14">
        <f>+Table1[[#This Row],[Generation Cost 
LCOE (USD/MWh)]]+Table1[[#This Row],[Transmission Cost
LCOT (USD/MWh)]]</f>
        <v>67.100884249999993</v>
      </c>
    </row>
    <row r="731" spans="1:25" x14ac:dyDescent="0.3">
      <c r="A731" s="7">
        <v>730</v>
      </c>
      <c r="B731" s="8">
        <v>7315</v>
      </c>
      <c r="C731" s="9">
        <v>48.583663999999999</v>
      </c>
      <c r="D731" s="9">
        <v>-112.51877</v>
      </c>
      <c r="E731" s="10" t="s">
        <v>42</v>
      </c>
      <c r="F731" s="10" t="s">
        <v>3</v>
      </c>
      <c r="G731" s="10" t="s">
        <v>16</v>
      </c>
      <c r="H731" s="10">
        <v>-7</v>
      </c>
      <c r="I731" s="11">
        <v>1204.6500000000001</v>
      </c>
      <c r="J731" s="11">
        <v>3.7760414999999998</v>
      </c>
      <c r="K731" s="11" t="str">
        <f>IF(Table1[[#This Row],[Solar 
Resource]]&lt;3,"Low", IF(Table1[[#This Row],[Solar 
Resource]]&lt;4, "Moderate","High"))</f>
        <v>Moderate</v>
      </c>
      <c r="L731" s="11">
        <v>0.98257494000000001</v>
      </c>
      <c r="M731" s="11">
        <v>50.422333889999997</v>
      </c>
      <c r="N731" s="11">
        <v>1618.0301979999999</v>
      </c>
      <c r="O731" s="11">
        <v>2168.1603570000002</v>
      </c>
      <c r="P731" s="11">
        <f>Table1[[#This Row],[Installed Capacity 
(AC -MW)]]/Table1[[#This Row],[Installed Capacity 
(DC -MW)]]</f>
        <v>0.74626869399955542</v>
      </c>
      <c r="Q731" s="12">
        <v>0.23060449999999999</v>
      </c>
      <c r="R731" s="12">
        <v>0.17209290999999999</v>
      </c>
      <c r="S731" s="13">
        <v>41.458502439999997</v>
      </c>
      <c r="T731" s="11">
        <v>1.44</v>
      </c>
      <c r="U731" s="11">
        <v>202.58390249999999</v>
      </c>
      <c r="V731" s="13">
        <v>549222.33970000001</v>
      </c>
      <c r="W731" s="13">
        <v>595491.5</v>
      </c>
      <c r="X731" s="13">
        <v>23.848013000000002</v>
      </c>
      <c r="Y731" s="14">
        <f>+Table1[[#This Row],[Generation Cost 
LCOE (USD/MWh)]]+Table1[[#This Row],[Transmission Cost
LCOT (USD/MWh)]]</f>
        <v>65.306515439999998</v>
      </c>
    </row>
    <row r="732" spans="1:25" x14ac:dyDescent="0.3">
      <c r="A732" s="7">
        <v>731</v>
      </c>
      <c r="B732" s="8">
        <v>7316</v>
      </c>
      <c r="C732" s="9">
        <v>48.600548000000003</v>
      </c>
      <c r="D732" s="9">
        <v>-112.35590999999999</v>
      </c>
      <c r="E732" s="10" t="s">
        <v>42</v>
      </c>
      <c r="F732" s="10" t="s">
        <v>3</v>
      </c>
      <c r="G732" s="10" t="s">
        <v>16</v>
      </c>
      <c r="H732" s="10">
        <v>-7</v>
      </c>
      <c r="I732" s="11">
        <v>1167.8888890000001</v>
      </c>
      <c r="J732" s="11">
        <v>3.7650502000000001</v>
      </c>
      <c r="K732" s="11" t="str">
        <f>IF(Table1[[#This Row],[Solar 
Resource]]&lt;3,"Low", IF(Table1[[#This Row],[Solar 
Resource]]&lt;4, "Moderate","High"))</f>
        <v>Moderate</v>
      </c>
      <c r="L732" s="11">
        <v>0.98264074000000001</v>
      </c>
      <c r="M732" s="11">
        <v>62.43577295</v>
      </c>
      <c r="N732" s="11">
        <v>2003.5358590000001</v>
      </c>
      <c r="O732" s="11">
        <v>2684.738237</v>
      </c>
      <c r="P732" s="11">
        <f>Table1[[#This Row],[Installed Capacity 
(AC -MW)]]/Table1[[#This Row],[Installed Capacity 
(DC -MW)]]</f>
        <v>0.74626860503123238</v>
      </c>
      <c r="Q732" s="12">
        <v>0.22965553</v>
      </c>
      <c r="R732" s="12">
        <v>0.1713847</v>
      </c>
      <c r="S732" s="13">
        <v>41.632012850000002</v>
      </c>
      <c r="T732" s="11">
        <v>0.09</v>
      </c>
      <c r="U732" s="11">
        <v>188.94273369999999</v>
      </c>
      <c r="V732" s="13">
        <v>509752.54920000001</v>
      </c>
      <c r="W732" s="13">
        <v>545559.4</v>
      </c>
      <c r="X732" s="13">
        <v>21.938631000000001</v>
      </c>
      <c r="Y732" s="14">
        <f>+Table1[[#This Row],[Generation Cost 
LCOE (USD/MWh)]]+Table1[[#This Row],[Transmission Cost
LCOT (USD/MWh)]]</f>
        <v>63.570643850000003</v>
      </c>
    </row>
    <row r="733" spans="1:25" x14ac:dyDescent="0.3">
      <c r="A733" s="7">
        <v>732</v>
      </c>
      <c r="B733" s="8">
        <v>7317</v>
      </c>
      <c r="C733" s="9">
        <v>48.617263999999999</v>
      </c>
      <c r="D733" s="9">
        <v>-112.19296</v>
      </c>
      <c r="E733" s="10" t="s">
        <v>42</v>
      </c>
      <c r="F733" s="10" t="s">
        <v>3</v>
      </c>
      <c r="G733" s="10" t="s">
        <v>39</v>
      </c>
      <c r="H733" s="10">
        <v>-7</v>
      </c>
      <c r="I733" s="11">
        <v>1121.823529</v>
      </c>
      <c r="J733" s="11">
        <v>3.7627269999999999</v>
      </c>
      <c r="K733" s="11" t="str">
        <f>IF(Table1[[#This Row],[Solar 
Resource]]&lt;3,"Low", IF(Table1[[#This Row],[Solar 
Resource]]&lt;4, "Moderate","High"))</f>
        <v>Moderate</v>
      </c>
      <c r="L733" s="11">
        <v>0.98274963999999998</v>
      </c>
      <c r="M733" s="11">
        <v>48.883820360000001</v>
      </c>
      <c r="N733" s="11">
        <v>1568.659985</v>
      </c>
      <c r="O733" s="11">
        <v>2102.0042760000001</v>
      </c>
      <c r="P733" s="11">
        <f>Table1[[#This Row],[Installed Capacity 
(AC -MW)]]/Table1[[#This Row],[Installed Capacity 
(DC -MW)]]</f>
        <v>0.74626869360374215</v>
      </c>
      <c r="Q733" s="12">
        <v>0.22963116</v>
      </c>
      <c r="R733" s="12">
        <v>0.17136654000000001</v>
      </c>
      <c r="S733" s="13">
        <v>41.64004181</v>
      </c>
      <c r="T733" s="11">
        <v>7.34646753</v>
      </c>
      <c r="U733" s="11">
        <v>184.404357</v>
      </c>
      <c r="V733" s="13">
        <v>494989.69040000002</v>
      </c>
      <c r="W733" s="13">
        <v>570257.1</v>
      </c>
      <c r="X733" s="13">
        <v>22.934238000000001</v>
      </c>
      <c r="Y733" s="14">
        <f>+Table1[[#This Row],[Generation Cost 
LCOE (USD/MWh)]]+Table1[[#This Row],[Transmission Cost
LCOT (USD/MWh)]]</f>
        <v>64.574279810000007</v>
      </c>
    </row>
    <row r="734" spans="1:25" x14ac:dyDescent="0.3">
      <c r="A734" s="7">
        <v>733</v>
      </c>
      <c r="B734" s="8">
        <v>7318</v>
      </c>
      <c r="C734" s="9">
        <v>48.633811999999999</v>
      </c>
      <c r="D734" s="9">
        <v>-112.02991</v>
      </c>
      <c r="E734" s="10" t="s">
        <v>42</v>
      </c>
      <c r="F734" s="10" t="s">
        <v>3</v>
      </c>
      <c r="G734" s="10" t="s">
        <v>39</v>
      </c>
      <c r="H734" s="10">
        <v>-7</v>
      </c>
      <c r="I734" s="11">
        <v>1039.2857140000001</v>
      </c>
      <c r="J734" s="11">
        <v>3.739455</v>
      </c>
      <c r="K734" s="11" t="str">
        <f>IF(Table1[[#This Row],[Solar 
Resource]]&lt;3,"Low", IF(Table1[[#This Row],[Solar 
Resource]]&lt;4, "Moderate","High"))</f>
        <v>Moderate</v>
      </c>
      <c r="L734" s="11">
        <v>0.98278546</v>
      </c>
      <c r="M734" s="11">
        <v>51.569298629999999</v>
      </c>
      <c r="N734" s="11">
        <v>1654.8355879999999</v>
      </c>
      <c r="O734" s="11">
        <v>2217.4798409999999</v>
      </c>
      <c r="P734" s="11">
        <f>Table1[[#This Row],[Installed Capacity 
(AC -MW)]]/Table1[[#This Row],[Installed Capacity 
(DC -MW)]]</f>
        <v>0.74626860519901339</v>
      </c>
      <c r="Q734" s="12">
        <v>0.22758734</v>
      </c>
      <c r="R734" s="12">
        <v>0.16984126999999999</v>
      </c>
      <c r="S734" s="13">
        <v>42.01519476</v>
      </c>
      <c r="T734" s="11">
        <v>15.68668181</v>
      </c>
      <c r="U734" s="11">
        <v>181.7767207</v>
      </c>
      <c r="V734" s="13">
        <v>482091.22039999999</v>
      </c>
      <c r="W734" s="13">
        <v>585080.1</v>
      </c>
      <c r="X734" s="13">
        <v>23.741689999999998</v>
      </c>
      <c r="Y734" s="14">
        <f>+Table1[[#This Row],[Generation Cost 
LCOE (USD/MWh)]]+Table1[[#This Row],[Transmission Cost
LCOT (USD/MWh)]]</f>
        <v>65.756884759999991</v>
      </c>
    </row>
    <row r="735" spans="1:25" x14ac:dyDescent="0.3">
      <c r="A735" s="7">
        <v>734</v>
      </c>
      <c r="B735" s="8">
        <v>7319</v>
      </c>
      <c r="C735" s="9">
        <v>48.650199999999998</v>
      </c>
      <c r="D735" s="9">
        <v>-111.86676</v>
      </c>
      <c r="E735" s="10" t="s">
        <v>42</v>
      </c>
      <c r="F735" s="10" t="s">
        <v>3</v>
      </c>
      <c r="G735" s="10" t="s">
        <v>39</v>
      </c>
      <c r="H735" s="10">
        <v>-7</v>
      </c>
      <c r="I735" s="11">
        <v>1048.8125</v>
      </c>
      <c r="J735" s="11">
        <v>3.7407859999999999</v>
      </c>
      <c r="K735" s="11" t="str">
        <f>IF(Table1[[#This Row],[Solar 
Resource]]&lt;3,"Low", IF(Table1[[#This Row],[Solar 
Resource]]&lt;4, "Moderate","High"))</f>
        <v>Moderate</v>
      </c>
      <c r="L735" s="11">
        <v>0.98285149999999999</v>
      </c>
      <c r="M735" s="11">
        <v>54.479381840000002</v>
      </c>
      <c r="N735" s="11">
        <v>1748.218848</v>
      </c>
      <c r="O735" s="11">
        <v>2342.6134189999998</v>
      </c>
      <c r="P735" s="11">
        <f>Table1[[#This Row],[Installed Capacity 
(AC -MW)]]/Table1[[#This Row],[Installed Capacity 
(DC -MW)]]</f>
        <v>0.74626860489267954</v>
      </c>
      <c r="Q735" s="12">
        <v>0.22753109999999999</v>
      </c>
      <c r="R735" s="12">
        <v>0.16979933999999999</v>
      </c>
      <c r="S735" s="13">
        <v>42.02779134</v>
      </c>
      <c r="T735" s="11">
        <v>18.21947402</v>
      </c>
      <c r="U735" s="11">
        <v>170.51657779999999</v>
      </c>
      <c r="V735" s="13">
        <v>450270.60940000002</v>
      </c>
      <c r="W735" s="13">
        <v>566308.06000000006</v>
      </c>
      <c r="X735" s="13">
        <v>22.985627999999998</v>
      </c>
      <c r="Y735" s="14">
        <f>+Table1[[#This Row],[Generation Cost 
LCOE (USD/MWh)]]+Table1[[#This Row],[Transmission Cost
LCOT (USD/MWh)]]</f>
        <v>65.013419339999999</v>
      </c>
    </row>
    <row r="736" spans="1:25" x14ac:dyDescent="0.3">
      <c r="A736" s="7">
        <v>735</v>
      </c>
      <c r="B736" s="8">
        <v>7320</v>
      </c>
      <c r="C736" s="9">
        <v>48.666420000000002</v>
      </c>
      <c r="D736" s="9">
        <v>-111.70352</v>
      </c>
      <c r="E736" s="10" t="s">
        <v>42</v>
      </c>
      <c r="F736" s="10" t="s">
        <v>3</v>
      </c>
      <c r="G736" s="10" t="s">
        <v>39</v>
      </c>
      <c r="H736" s="10">
        <v>-7</v>
      </c>
      <c r="I736" s="11">
        <v>1046.7894739999999</v>
      </c>
      <c r="J736" s="11">
        <v>3.7668993</v>
      </c>
      <c r="K736" s="11" t="str">
        <f>IF(Table1[[#This Row],[Solar 
Resource]]&lt;3,"Low", IF(Table1[[#This Row],[Solar 
Resource]]&lt;4, "Moderate","High"))</f>
        <v>Moderate</v>
      </c>
      <c r="L736" s="11">
        <v>0.98287029999999997</v>
      </c>
      <c r="M736" s="11">
        <v>43.331108200000003</v>
      </c>
      <c r="N736" s="11">
        <v>1390.475929</v>
      </c>
      <c r="O736" s="11">
        <v>1863.2376529999999</v>
      </c>
      <c r="P736" s="11">
        <f>Table1[[#This Row],[Installed Capacity 
(AC -MW)]]/Table1[[#This Row],[Installed Capacity 
(DC -MW)]]</f>
        <v>0.7462686935084174</v>
      </c>
      <c r="Q736" s="12">
        <v>0.22942583</v>
      </c>
      <c r="R736" s="12">
        <v>0.17121330000000001</v>
      </c>
      <c r="S736" s="13">
        <v>41.681335199999999</v>
      </c>
      <c r="T736" s="11">
        <v>24.663746750000001</v>
      </c>
      <c r="U736" s="11">
        <v>180.4267207</v>
      </c>
      <c r="V736" s="13">
        <v>475197.54840000003</v>
      </c>
      <c r="W736" s="13">
        <v>613614.9</v>
      </c>
      <c r="X736" s="13">
        <v>24.700057999999999</v>
      </c>
      <c r="Y736" s="14">
        <f>+Table1[[#This Row],[Generation Cost 
LCOE (USD/MWh)]]+Table1[[#This Row],[Transmission Cost
LCOT (USD/MWh)]]</f>
        <v>66.381393199999991</v>
      </c>
    </row>
    <row r="737" spans="1:25" x14ac:dyDescent="0.3">
      <c r="A737" s="7">
        <v>736</v>
      </c>
      <c r="B737" s="8">
        <v>7321</v>
      </c>
      <c r="C737" s="9">
        <v>48.682471999999997</v>
      </c>
      <c r="D737" s="9">
        <v>-111.54019</v>
      </c>
      <c r="E737" s="10" t="s">
        <v>42</v>
      </c>
      <c r="F737" s="10" t="s">
        <v>3</v>
      </c>
      <c r="G737" s="10" t="s">
        <v>39</v>
      </c>
      <c r="H737" s="10">
        <v>-7</v>
      </c>
      <c r="I737" s="11">
        <v>1024.294118</v>
      </c>
      <c r="J737" s="11">
        <v>3.7687770999999999</v>
      </c>
      <c r="K737" s="11" t="str">
        <f>IF(Table1[[#This Row],[Solar 
Resource]]&lt;3,"Low", IF(Table1[[#This Row],[Solar 
Resource]]&lt;4, "Moderate","High"))</f>
        <v>Moderate</v>
      </c>
      <c r="L737" s="11">
        <v>0.98280230000000002</v>
      </c>
      <c r="M737" s="11">
        <v>63.886558890000003</v>
      </c>
      <c r="N737" s="11">
        <v>2050.0909270000002</v>
      </c>
      <c r="O737" s="11">
        <v>2747.1220320000002</v>
      </c>
      <c r="P737" s="11">
        <f>Table1[[#This Row],[Installed Capacity 
(AC -MW)]]/Table1[[#This Row],[Installed Capacity 
(DC -MW)]]</f>
        <v>0.74626860515091964</v>
      </c>
      <c r="Q737" s="12">
        <v>0.22964728000000001</v>
      </c>
      <c r="R737" s="12">
        <v>0.17137854</v>
      </c>
      <c r="S737" s="13">
        <v>41.638880530000002</v>
      </c>
      <c r="T737" s="11">
        <v>27.12947402</v>
      </c>
      <c r="U737" s="11">
        <v>186.37951290000001</v>
      </c>
      <c r="V737" s="13">
        <v>488631.32030000002</v>
      </c>
      <c r="W737" s="13">
        <v>634927.4</v>
      </c>
      <c r="X737" s="13">
        <v>25.533311999999999</v>
      </c>
      <c r="Y737" s="14">
        <f>+Table1[[#This Row],[Generation Cost 
LCOE (USD/MWh)]]+Table1[[#This Row],[Transmission Cost
LCOT (USD/MWh)]]</f>
        <v>67.172192530000004</v>
      </c>
    </row>
    <row r="738" spans="1:25" x14ac:dyDescent="0.3">
      <c r="A738" s="7">
        <v>737</v>
      </c>
      <c r="B738" s="8">
        <v>7322</v>
      </c>
      <c r="C738" s="9">
        <v>48.698360000000001</v>
      </c>
      <c r="D738" s="9">
        <v>-111.37676</v>
      </c>
      <c r="E738" s="10" t="s">
        <v>42</v>
      </c>
      <c r="F738" s="10" t="s">
        <v>3</v>
      </c>
      <c r="G738" s="10" t="s">
        <v>39</v>
      </c>
      <c r="H738" s="10">
        <v>-7</v>
      </c>
      <c r="I738" s="11">
        <v>1064.176471</v>
      </c>
      <c r="J738" s="11">
        <v>3.7694646999999999</v>
      </c>
      <c r="K738" s="11" t="str">
        <f>IF(Table1[[#This Row],[Solar 
Resource]]&lt;3,"Low", IF(Table1[[#This Row],[Solar 
Resource]]&lt;4, "Moderate","High"))</f>
        <v>Moderate</v>
      </c>
      <c r="L738" s="11">
        <v>0.98276204</v>
      </c>
      <c r="M738" s="11">
        <v>46.136785250000003</v>
      </c>
      <c r="N738" s="11">
        <v>1480.5088539999999</v>
      </c>
      <c r="O738" s="11">
        <v>1983.881766</v>
      </c>
      <c r="P738" s="11">
        <f>Table1[[#This Row],[Installed Capacity 
(AC -MW)]]/Table1[[#This Row],[Installed Capacity 
(DC -MW)]]</f>
        <v>0.74626869371609517</v>
      </c>
      <c r="Q738" s="12">
        <v>0.22993775</v>
      </c>
      <c r="R738" s="12">
        <v>0.17159534000000001</v>
      </c>
      <c r="S738" s="13">
        <v>41.584940809999999</v>
      </c>
      <c r="T738" s="11">
        <v>30.694844150000002</v>
      </c>
      <c r="U738" s="11">
        <v>202.84156479999999</v>
      </c>
      <c r="V738" s="13">
        <v>530633.04350000003</v>
      </c>
      <c r="W738" s="13">
        <v>694650.1</v>
      </c>
      <c r="X738" s="13">
        <v>27.899747999999999</v>
      </c>
      <c r="Y738" s="14">
        <f>+Table1[[#This Row],[Generation Cost 
LCOE (USD/MWh)]]+Table1[[#This Row],[Transmission Cost
LCOT (USD/MWh)]]</f>
        <v>69.484688809999994</v>
      </c>
    </row>
    <row r="739" spans="1:25" x14ac:dyDescent="0.3">
      <c r="A739" s="7">
        <v>738</v>
      </c>
      <c r="B739" s="8">
        <v>7323</v>
      </c>
      <c r="C739" s="9">
        <v>48.714084999999997</v>
      </c>
      <c r="D739" s="9">
        <v>-111.21324</v>
      </c>
      <c r="E739" s="10" t="s">
        <v>42</v>
      </c>
      <c r="F739" s="10" t="s">
        <v>3</v>
      </c>
      <c r="G739" s="10" t="s">
        <v>26</v>
      </c>
      <c r="H739" s="10">
        <v>-7</v>
      </c>
      <c r="I739" s="11">
        <v>1129.2</v>
      </c>
      <c r="J739" s="11">
        <v>3.7847559999999998</v>
      </c>
      <c r="K739" s="11" t="str">
        <f>IF(Table1[[#This Row],[Solar 
Resource]]&lt;3,"Low", IF(Table1[[#This Row],[Solar 
Resource]]&lt;4, "Moderate","High"))</f>
        <v>Moderate</v>
      </c>
      <c r="L739" s="11">
        <v>0.98263246000000004</v>
      </c>
      <c r="M739" s="11">
        <v>53.464208200000002</v>
      </c>
      <c r="N739" s="11">
        <v>1715.642587</v>
      </c>
      <c r="O739" s="11">
        <v>2298.9609529999998</v>
      </c>
      <c r="P739" s="11">
        <f>Table1[[#This Row],[Installed Capacity 
(AC -MW)]]/Table1[[#This Row],[Installed Capacity 
(DC -MW)]]</f>
        <v>0.74626869358576708</v>
      </c>
      <c r="Q739" s="12">
        <v>0.23144345</v>
      </c>
      <c r="R739" s="12">
        <v>0.17271897</v>
      </c>
      <c r="S739" s="13">
        <v>41.310128120000002</v>
      </c>
      <c r="T739" s="11">
        <v>28.407564929999999</v>
      </c>
      <c r="U739" s="11">
        <v>222.70927259999999</v>
      </c>
      <c r="V739" s="13">
        <v>580943.85210000002</v>
      </c>
      <c r="W739" s="13">
        <v>715153.44</v>
      </c>
      <c r="X739" s="13">
        <v>28.536370999999999</v>
      </c>
      <c r="Y739" s="14">
        <f>+Table1[[#This Row],[Generation Cost 
LCOE (USD/MWh)]]+Table1[[#This Row],[Transmission Cost
LCOT (USD/MWh)]]</f>
        <v>69.846499120000004</v>
      </c>
    </row>
    <row r="740" spans="1:25" x14ac:dyDescent="0.3">
      <c r="A740" s="7">
        <v>739</v>
      </c>
      <c r="B740" s="8">
        <v>7324</v>
      </c>
      <c r="C740" s="9">
        <v>48.729636999999997</v>
      </c>
      <c r="D740" s="9">
        <v>-111.04964</v>
      </c>
      <c r="E740" s="10" t="s">
        <v>42</v>
      </c>
      <c r="F740" s="10" t="s">
        <v>3</v>
      </c>
      <c r="G740" s="10" t="s">
        <v>26</v>
      </c>
      <c r="H740" s="10">
        <v>-7</v>
      </c>
      <c r="I740" s="11">
        <v>1111.5625</v>
      </c>
      <c r="J740" s="11">
        <v>3.7842180000000001</v>
      </c>
      <c r="K740" s="11" t="str">
        <f>IF(Table1[[#This Row],[Solar 
Resource]]&lt;3,"Low", IF(Table1[[#This Row],[Solar 
Resource]]&lt;4, "Moderate","High"))</f>
        <v>Moderate</v>
      </c>
      <c r="L740" s="11">
        <v>0.98248049999999998</v>
      </c>
      <c r="M740" s="11">
        <v>68.039351370000006</v>
      </c>
      <c r="N740" s="11">
        <v>2183.351909</v>
      </c>
      <c r="O740" s="11">
        <v>2925.6921090000001</v>
      </c>
      <c r="P740" s="11">
        <f>Table1[[#This Row],[Installed Capacity 
(AC -MW)]]/Table1[[#This Row],[Installed Capacity 
(DC -MW)]]</f>
        <v>0.74626851618582257</v>
      </c>
      <c r="Q740" s="12">
        <v>0.23164651</v>
      </c>
      <c r="R740" s="12">
        <v>0.17287056000000001</v>
      </c>
      <c r="S740" s="13">
        <v>41.268893069999997</v>
      </c>
      <c r="T740" s="11">
        <v>30.100571410000001</v>
      </c>
      <c r="U740" s="11">
        <v>222.70927259999999</v>
      </c>
      <c r="V740" s="13">
        <v>580943.85210000002</v>
      </c>
      <c r="W740" s="13">
        <v>722127.1</v>
      </c>
      <c r="X740" s="13">
        <v>28.789380000000001</v>
      </c>
      <c r="Y740" s="14">
        <f>+Table1[[#This Row],[Generation Cost 
LCOE (USD/MWh)]]+Table1[[#This Row],[Transmission Cost
LCOT (USD/MWh)]]</f>
        <v>70.058273069999998</v>
      </c>
    </row>
    <row r="741" spans="1:25" x14ac:dyDescent="0.3">
      <c r="A741" s="7">
        <v>740</v>
      </c>
      <c r="B741" s="8">
        <v>7325</v>
      </c>
      <c r="C741" s="9">
        <v>48.745026000000003</v>
      </c>
      <c r="D741" s="9">
        <v>-110.88594000000001</v>
      </c>
      <c r="E741" s="10" t="s">
        <v>42</v>
      </c>
      <c r="F741" s="10" t="s">
        <v>3</v>
      </c>
      <c r="G741" s="10" t="s">
        <v>26</v>
      </c>
      <c r="H741" s="10">
        <v>-7</v>
      </c>
      <c r="I741" s="11">
        <v>1040.5999999999999</v>
      </c>
      <c r="J741" s="11">
        <v>3.7670138</v>
      </c>
      <c r="K741" s="11" t="str">
        <f>IF(Table1[[#This Row],[Solar 
Resource]]&lt;3,"Low", IF(Table1[[#This Row],[Solar 
Resource]]&lt;4, "Moderate","High"))</f>
        <v>Moderate</v>
      </c>
      <c r="L741" s="11">
        <v>0.98230189999999995</v>
      </c>
      <c r="M741" s="11">
        <v>31.80189133</v>
      </c>
      <c r="N741" s="11">
        <v>1020.508504</v>
      </c>
      <c r="O741" s="11">
        <v>1367.481327</v>
      </c>
      <c r="P741" s="11">
        <f>Table1[[#This Row],[Installed Capacity 
(AC -MW)]]/Table1[[#This Row],[Installed Capacity 
(DC -MW)]]</f>
        <v>0.74626869402217444</v>
      </c>
      <c r="Q741" s="12">
        <v>0.23000485000000001</v>
      </c>
      <c r="R741" s="12">
        <v>0.17164539000000001</v>
      </c>
      <c r="S741" s="13">
        <v>41.557538960000002</v>
      </c>
      <c r="T741" s="11">
        <v>28.704701289999999</v>
      </c>
      <c r="U741" s="11">
        <v>248.6803634</v>
      </c>
      <c r="V741" s="13">
        <v>622544.8077</v>
      </c>
      <c r="W741" s="13">
        <v>780490.7</v>
      </c>
      <c r="X741" s="13">
        <v>31.338280000000001</v>
      </c>
      <c r="Y741" s="14">
        <f>+Table1[[#This Row],[Generation Cost 
LCOE (USD/MWh)]]+Table1[[#This Row],[Transmission Cost
LCOT (USD/MWh)]]</f>
        <v>72.89581896</v>
      </c>
    </row>
    <row r="742" spans="1:25" x14ac:dyDescent="0.3">
      <c r="A742" s="7">
        <v>741</v>
      </c>
      <c r="B742" s="8">
        <v>7326</v>
      </c>
      <c r="C742" s="9">
        <v>48.760254000000003</v>
      </c>
      <c r="D742" s="9">
        <v>-110.72214</v>
      </c>
      <c r="E742" s="10" t="s">
        <v>42</v>
      </c>
      <c r="F742" s="10" t="s">
        <v>3</v>
      </c>
      <c r="G742" s="10" t="s">
        <v>19</v>
      </c>
      <c r="H742" s="10">
        <v>-7</v>
      </c>
      <c r="I742" s="11">
        <v>971.21052629999997</v>
      </c>
      <c r="J742" s="11">
        <v>3.7490508999999999</v>
      </c>
      <c r="K742" s="11" t="str">
        <f>IF(Table1[[#This Row],[Solar 
Resource]]&lt;3,"Low", IF(Table1[[#This Row],[Solar 
Resource]]&lt;4, "Moderate","High"))</f>
        <v>Moderate</v>
      </c>
      <c r="L742" s="11">
        <v>0.98103576999999997</v>
      </c>
      <c r="M742" s="11">
        <v>48.286686619999998</v>
      </c>
      <c r="N742" s="11">
        <v>1549.4982299999999</v>
      </c>
      <c r="O742" s="11">
        <v>2076.3275250000002</v>
      </c>
      <c r="P742" s="11">
        <f>Table1[[#This Row],[Installed Capacity 
(AC -MW)]]/Table1[[#This Row],[Installed Capacity 
(DC -MW)]]</f>
        <v>0.74626869380831418</v>
      </c>
      <c r="Q742" s="12">
        <v>0.22869074</v>
      </c>
      <c r="R742" s="12">
        <v>0.17066474000000001</v>
      </c>
      <c r="S742" s="13">
        <v>41.754034709999999</v>
      </c>
      <c r="T742" s="11">
        <v>30.563818179999998</v>
      </c>
      <c r="U742" s="11">
        <v>237.1193375</v>
      </c>
      <c r="V742" s="13">
        <v>594882.45030000003</v>
      </c>
      <c r="W742" s="13">
        <v>757044.2</v>
      </c>
      <c r="X742" s="13">
        <v>30.571522000000002</v>
      </c>
      <c r="Y742" s="14">
        <f>+Table1[[#This Row],[Generation Cost 
LCOE (USD/MWh)]]+Table1[[#This Row],[Transmission Cost
LCOT (USD/MWh)]]</f>
        <v>72.325556710000001</v>
      </c>
    </row>
    <row r="743" spans="1:25" x14ac:dyDescent="0.3">
      <c r="A743" s="7">
        <v>742</v>
      </c>
      <c r="B743" s="8">
        <v>7327</v>
      </c>
      <c r="C743" s="9">
        <v>48.775306999999998</v>
      </c>
      <c r="D743" s="9">
        <v>-110.55826</v>
      </c>
      <c r="E743" s="10" t="s">
        <v>42</v>
      </c>
      <c r="F743" s="10" t="s">
        <v>3</v>
      </c>
      <c r="G743" s="10" t="s">
        <v>19</v>
      </c>
      <c r="H743" s="10">
        <v>-7</v>
      </c>
      <c r="I743" s="11">
        <v>910.94444439999995</v>
      </c>
      <c r="J743" s="11">
        <v>3.7417655000000001</v>
      </c>
      <c r="K743" s="11" t="str">
        <f>IF(Table1[[#This Row],[Solar 
Resource]]&lt;3,"Low", IF(Table1[[#This Row],[Solar 
Resource]]&lt;4, "Moderate","High"))</f>
        <v>Moderate</v>
      </c>
      <c r="L743" s="11">
        <v>0.98071646999999995</v>
      </c>
      <c r="M743" s="11">
        <v>50.850743989999998</v>
      </c>
      <c r="N743" s="11">
        <v>1631.777687</v>
      </c>
      <c r="O743" s="11">
        <v>2186.5819919999999</v>
      </c>
      <c r="P743" s="11">
        <f>Table1[[#This Row],[Installed Capacity 
(AC -MW)]]/Table1[[#This Row],[Installed Capacity 
(DC -MW)]]</f>
        <v>0.74626869377418714</v>
      </c>
      <c r="Q743" s="12">
        <v>0.22804764</v>
      </c>
      <c r="R743" s="12">
        <v>0.17018484</v>
      </c>
      <c r="S743" s="13">
        <v>41.861069000000001</v>
      </c>
      <c r="T743" s="11">
        <v>32.957636350000001</v>
      </c>
      <c r="U743" s="11">
        <v>227.74014919999999</v>
      </c>
      <c r="V743" s="13">
        <v>573491.32180000003</v>
      </c>
      <c r="W743" s="13">
        <v>745766.44</v>
      </c>
      <c r="X743" s="13">
        <v>30.201025000000001</v>
      </c>
      <c r="Y743" s="14">
        <f>+Table1[[#This Row],[Generation Cost 
LCOE (USD/MWh)]]+Table1[[#This Row],[Transmission Cost
LCOT (USD/MWh)]]</f>
        <v>72.062094000000002</v>
      </c>
    </row>
    <row r="744" spans="1:25" x14ac:dyDescent="0.3">
      <c r="A744" s="7">
        <v>743</v>
      </c>
      <c r="B744" s="8">
        <v>7328</v>
      </c>
      <c r="C744" s="9">
        <v>48.790199999999999</v>
      </c>
      <c r="D744" s="9">
        <v>-110.3943</v>
      </c>
      <c r="E744" s="10" t="s">
        <v>42</v>
      </c>
      <c r="F744" s="10" t="s">
        <v>3</v>
      </c>
      <c r="G744" s="10" t="s">
        <v>19</v>
      </c>
      <c r="H744" s="10">
        <v>-7</v>
      </c>
      <c r="I744" s="11">
        <v>882.61904760000004</v>
      </c>
      <c r="J744" s="11">
        <v>3.7503676000000001</v>
      </c>
      <c r="K744" s="11" t="str">
        <f>IF(Table1[[#This Row],[Solar 
Resource]]&lt;3,"Low", IF(Table1[[#This Row],[Solar 
Resource]]&lt;4, "Moderate","High"))</f>
        <v>Moderate</v>
      </c>
      <c r="L744" s="11">
        <v>0.98035410000000001</v>
      </c>
      <c r="M744" s="11">
        <v>49.190081839999998</v>
      </c>
      <c r="N744" s="11">
        <v>1578.487779</v>
      </c>
      <c r="O744" s="11">
        <v>2115.1735189999999</v>
      </c>
      <c r="P744" s="11">
        <f>Table1[[#This Row],[Installed Capacity 
(AC -MW)]]/Table1[[#This Row],[Installed Capacity 
(DC -MW)]]</f>
        <v>0.74626869371278282</v>
      </c>
      <c r="Q744" s="12">
        <v>0.22886918000000001</v>
      </c>
      <c r="R744" s="12">
        <v>0.1707979</v>
      </c>
      <c r="S744" s="13">
        <v>41.698719689999997</v>
      </c>
      <c r="T744" s="11">
        <v>34.312935060000001</v>
      </c>
      <c r="U744" s="11">
        <v>212.1008894</v>
      </c>
      <c r="V744" s="13">
        <v>535678.96059999999</v>
      </c>
      <c r="W744" s="13">
        <v>715414.3</v>
      </c>
      <c r="X744" s="13">
        <v>28.867868000000001</v>
      </c>
      <c r="Y744" s="14">
        <f>+Table1[[#This Row],[Generation Cost 
LCOE (USD/MWh)]]+Table1[[#This Row],[Transmission Cost
LCOT (USD/MWh)]]</f>
        <v>70.566587690000006</v>
      </c>
    </row>
    <row r="745" spans="1:25" x14ac:dyDescent="0.3">
      <c r="A745" s="7">
        <v>744</v>
      </c>
      <c r="B745" s="8">
        <v>7329</v>
      </c>
      <c r="C745" s="9">
        <v>48.804920000000003</v>
      </c>
      <c r="D745" s="9">
        <v>-110.23023999999999</v>
      </c>
      <c r="E745" s="10" t="s">
        <v>42</v>
      </c>
      <c r="F745" s="10" t="s">
        <v>3</v>
      </c>
      <c r="G745" s="10" t="s">
        <v>19</v>
      </c>
      <c r="H745" s="10">
        <v>-7</v>
      </c>
      <c r="I745" s="11">
        <v>834.58823529999995</v>
      </c>
      <c r="J745" s="11">
        <v>3.7314227</v>
      </c>
      <c r="K745" s="11" t="str">
        <f>IF(Table1[[#This Row],[Solar 
Resource]]&lt;3,"Low", IF(Table1[[#This Row],[Solar 
Resource]]&lt;4, "Moderate","High"))</f>
        <v>Moderate</v>
      </c>
      <c r="L745" s="11">
        <v>0.97984815000000003</v>
      </c>
      <c r="M745" s="11">
        <v>44.602483890000002</v>
      </c>
      <c r="N745" s="11">
        <v>1431.2738079999999</v>
      </c>
      <c r="O745" s="11">
        <v>1917.9068070000001</v>
      </c>
      <c r="P745" s="11">
        <f>Table1[[#This Row],[Installed Capacity 
(AC -MW)]]/Table1[[#This Row],[Installed Capacity 
(DC -MW)]]</f>
        <v>0.74626869396162476</v>
      </c>
      <c r="Q745" s="12">
        <v>0.22715537</v>
      </c>
      <c r="R745" s="12">
        <v>0.16951895</v>
      </c>
      <c r="S745" s="13">
        <v>41.996308749999997</v>
      </c>
      <c r="T745" s="11">
        <v>36.029331159999998</v>
      </c>
      <c r="U745" s="11">
        <v>201.96442189999999</v>
      </c>
      <c r="V745" s="13">
        <v>509528.13650000002</v>
      </c>
      <c r="W745" s="13">
        <v>695883.56</v>
      </c>
      <c r="X745" s="13">
        <v>28.291630000000001</v>
      </c>
      <c r="Y745" s="14">
        <f>+Table1[[#This Row],[Generation Cost 
LCOE (USD/MWh)]]+Table1[[#This Row],[Transmission Cost
LCOT (USD/MWh)]]</f>
        <v>70.287938749999995</v>
      </c>
    </row>
    <row r="746" spans="1:25" x14ac:dyDescent="0.3">
      <c r="A746" s="7">
        <v>745</v>
      </c>
      <c r="B746" s="8">
        <v>7330</v>
      </c>
      <c r="C746" s="9">
        <v>48.819473000000002</v>
      </c>
      <c r="D746" s="9">
        <v>-110.06610000000001</v>
      </c>
      <c r="E746" s="10" t="s">
        <v>42</v>
      </c>
      <c r="F746" s="10" t="s">
        <v>3</v>
      </c>
      <c r="G746" s="10" t="s">
        <v>19</v>
      </c>
      <c r="H746" s="10">
        <v>-7</v>
      </c>
      <c r="I746" s="11">
        <v>852.44444439999995</v>
      </c>
      <c r="J746" s="11">
        <v>3.741768</v>
      </c>
      <c r="K746" s="11" t="str">
        <f>IF(Table1[[#This Row],[Solar 
Resource]]&lt;3,"Low", IF(Table1[[#This Row],[Solar 
Resource]]&lt;4, "Moderate","High"))</f>
        <v>Moderate</v>
      </c>
      <c r="L746" s="11">
        <v>0.97942090000000004</v>
      </c>
      <c r="M746" s="11">
        <v>59.06600684</v>
      </c>
      <c r="N746" s="11">
        <v>1895.4015810000001</v>
      </c>
      <c r="O746" s="11">
        <v>2539.8382940000001</v>
      </c>
      <c r="P746" s="11">
        <f>Table1[[#This Row],[Installed Capacity 
(AC -MW)]]/Table1[[#This Row],[Installed Capacity 
(DC -MW)]]</f>
        <v>0.74626860516183713</v>
      </c>
      <c r="Q746" s="12">
        <v>0.22815970999999999</v>
      </c>
      <c r="R746" s="12">
        <v>0.17026844999999999</v>
      </c>
      <c r="S746" s="13">
        <v>41.797132169999998</v>
      </c>
      <c r="T746" s="11">
        <v>38.270285710000003</v>
      </c>
      <c r="U746" s="11">
        <v>187.78699979999999</v>
      </c>
      <c r="V746" s="13">
        <v>473855.58519999997</v>
      </c>
      <c r="W746" s="13">
        <v>671297.75</v>
      </c>
      <c r="X746" s="13">
        <v>27.171939999999999</v>
      </c>
      <c r="Y746" s="14">
        <f>+Table1[[#This Row],[Generation Cost 
LCOE (USD/MWh)]]+Table1[[#This Row],[Transmission Cost
LCOT (USD/MWh)]]</f>
        <v>68.969072170000004</v>
      </c>
    </row>
    <row r="747" spans="1:25" x14ac:dyDescent="0.3">
      <c r="A747" s="7">
        <v>746</v>
      </c>
      <c r="B747" s="8">
        <v>7331</v>
      </c>
      <c r="C747" s="9">
        <v>48.833862000000003</v>
      </c>
      <c r="D747" s="9">
        <v>-109.90188000000001</v>
      </c>
      <c r="E747" s="10" t="s">
        <v>42</v>
      </c>
      <c r="F747" s="10" t="s">
        <v>3</v>
      </c>
      <c r="G747" s="10" t="s">
        <v>19</v>
      </c>
      <c r="H747" s="10">
        <v>-7</v>
      </c>
      <c r="I747" s="11">
        <v>892.89473680000003</v>
      </c>
      <c r="J747" s="11">
        <v>3.7397646999999998</v>
      </c>
      <c r="K747" s="11" t="str">
        <f>IF(Table1[[#This Row],[Solar 
Resource]]&lt;3,"Low", IF(Table1[[#This Row],[Solar 
Resource]]&lt;4, "Moderate","High"))</f>
        <v>Moderate</v>
      </c>
      <c r="L747" s="11">
        <v>0.97886830000000002</v>
      </c>
      <c r="M747" s="11">
        <v>67.49421504</v>
      </c>
      <c r="N747" s="11">
        <v>2165.8589889999998</v>
      </c>
      <c r="O747" s="11">
        <v>2902.2512470000001</v>
      </c>
      <c r="P747" s="11">
        <f>Table1[[#This Row],[Installed Capacity 
(AC -MW)]]/Table1[[#This Row],[Installed Capacity 
(DC -MW)]]</f>
        <v>0.74626860484212232</v>
      </c>
      <c r="Q747" s="12">
        <v>0.22824216</v>
      </c>
      <c r="R747" s="12">
        <v>0.17032996</v>
      </c>
      <c r="S747" s="13">
        <v>41.76355092</v>
      </c>
      <c r="T747" s="11">
        <v>38.719831149999997</v>
      </c>
      <c r="U747" s="11">
        <v>204.8439673</v>
      </c>
      <c r="V747" s="13">
        <v>523869.80869999999</v>
      </c>
      <c r="W747" s="13">
        <v>724573.25</v>
      </c>
      <c r="X747" s="13">
        <v>29.317764</v>
      </c>
      <c r="Y747" s="14">
        <f>+Table1[[#This Row],[Generation Cost 
LCOE (USD/MWh)]]+Table1[[#This Row],[Transmission Cost
LCOT (USD/MWh)]]</f>
        <v>71.081314919999997</v>
      </c>
    </row>
    <row r="748" spans="1:25" x14ac:dyDescent="0.3">
      <c r="A748" s="7">
        <v>747</v>
      </c>
      <c r="B748" s="8">
        <v>7332</v>
      </c>
      <c r="C748" s="9">
        <v>48.848083000000003</v>
      </c>
      <c r="D748" s="9">
        <v>-109.73756400000001</v>
      </c>
      <c r="E748" s="10" t="s">
        <v>42</v>
      </c>
      <c r="F748" s="10" t="s">
        <v>3</v>
      </c>
      <c r="G748" s="10" t="s">
        <v>19</v>
      </c>
      <c r="H748" s="10">
        <v>-7</v>
      </c>
      <c r="I748" s="11">
        <v>849.66666669999995</v>
      </c>
      <c r="J748" s="11">
        <v>3.7307804</v>
      </c>
      <c r="K748" s="11" t="str">
        <f>IF(Table1[[#This Row],[Solar 
Resource]]&lt;3,"Low", IF(Table1[[#This Row],[Solar 
Resource]]&lt;4, "Moderate","High"))</f>
        <v>Moderate</v>
      </c>
      <c r="L748" s="11">
        <v>0.97835079999999996</v>
      </c>
      <c r="M748" s="11">
        <v>62.565863380000003</v>
      </c>
      <c r="N748" s="11">
        <v>2007.7099250000001</v>
      </c>
      <c r="O748" s="11">
        <v>2690.3321249999999</v>
      </c>
      <c r="P748" s="11">
        <f>Table1[[#This Row],[Installed Capacity 
(AC -MW)]]/Table1[[#This Row],[Installed Capacity 
(DC -MW)]]</f>
        <v>0.74626842773176205</v>
      </c>
      <c r="Q748" s="12">
        <v>0.22749205</v>
      </c>
      <c r="R748" s="12">
        <v>0.16977020000000001</v>
      </c>
      <c r="S748" s="13">
        <v>41.88387195</v>
      </c>
      <c r="T748" s="11">
        <v>36.333961029999998</v>
      </c>
      <c r="U748" s="11">
        <v>204.8439673</v>
      </c>
      <c r="V748" s="13">
        <v>523869.80869999999</v>
      </c>
      <c r="W748" s="13">
        <v>717174.94</v>
      </c>
      <c r="X748" s="13">
        <v>29.114096</v>
      </c>
      <c r="Y748" s="14">
        <f>+Table1[[#This Row],[Generation Cost 
LCOE (USD/MWh)]]+Table1[[#This Row],[Transmission Cost
LCOT (USD/MWh)]]</f>
        <v>70.997967950000003</v>
      </c>
    </row>
    <row r="749" spans="1:25" x14ac:dyDescent="0.3">
      <c r="A749" s="7">
        <v>748</v>
      </c>
      <c r="B749" s="8">
        <v>7333</v>
      </c>
      <c r="C749" s="9">
        <v>48.862136999999997</v>
      </c>
      <c r="D749" s="9">
        <v>-109.57317</v>
      </c>
      <c r="E749" s="10" t="s">
        <v>42</v>
      </c>
      <c r="F749" s="10" t="s">
        <v>3</v>
      </c>
      <c r="G749" s="10" t="s">
        <v>19</v>
      </c>
      <c r="H749" s="10">
        <v>-7</v>
      </c>
      <c r="I749" s="11">
        <v>825.21052629999997</v>
      </c>
      <c r="J749" s="11">
        <v>3.7136556999999999</v>
      </c>
      <c r="K749" s="11" t="str">
        <f>IF(Table1[[#This Row],[Solar 
Resource]]&lt;3,"Low", IF(Table1[[#This Row],[Solar 
Resource]]&lt;4, "Moderate","High"))</f>
        <v>Moderate</v>
      </c>
      <c r="L749" s="11">
        <v>0.97785679999999997</v>
      </c>
      <c r="M749" s="11">
        <v>79.389887700000003</v>
      </c>
      <c r="N749" s="11">
        <v>2547.5857719999999</v>
      </c>
      <c r="O749" s="11">
        <v>3413.765171</v>
      </c>
      <c r="P749" s="11">
        <f>Table1[[#This Row],[Installed Capacity 
(AC -MW)]]/Table1[[#This Row],[Installed Capacity 
(DC -MW)]]</f>
        <v>0.7462686050117886</v>
      </c>
      <c r="Q749" s="12">
        <v>0.22601488</v>
      </c>
      <c r="R749" s="12">
        <v>0.16866782</v>
      </c>
      <c r="S749" s="13">
        <v>42.140910740000002</v>
      </c>
      <c r="T749" s="11">
        <v>31.11944802</v>
      </c>
      <c r="U749" s="11">
        <v>234.42471420000001</v>
      </c>
      <c r="V749" s="13">
        <v>610161.39439999999</v>
      </c>
      <c r="W749" s="13">
        <v>755562.44</v>
      </c>
      <c r="X749" s="13">
        <v>30.872921000000002</v>
      </c>
      <c r="Y749" s="14">
        <f>+Table1[[#This Row],[Generation Cost 
LCOE (USD/MWh)]]+Table1[[#This Row],[Transmission Cost
LCOT (USD/MWh)]]</f>
        <v>73.013831740000001</v>
      </c>
    </row>
    <row r="750" spans="1:25" x14ac:dyDescent="0.3">
      <c r="A750" s="7">
        <v>749</v>
      </c>
      <c r="B750" s="8">
        <v>7334</v>
      </c>
      <c r="C750" s="9">
        <v>48.876021999999999</v>
      </c>
      <c r="D750" s="9">
        <v>-109.40871</v>
      </c>
      <c r="E750" s="10" t="s">
        <v>42</v>
      </c>
      <c r="F750" s="10" t="s">
        <v>3</v>
      </c>
      <c r="G750" s="10" t="s">
        <v>8</v>
      </c>
      <c r="H750" s="10">
        <v>-7</v>
      </c>
      <c r="I750" s="11">
        <v>810.35</v>
      </c>
      <c r="J750" s="11">
        <v>3.7009292</v>
      </c>
      <c r="K750" s="11" t="str">
        <f>IF(Table1[[#This Row],[Solar 
Resource]]&lt;3,"Low", IF(Table1[[#This Row],[Solar 
Resource]]&lt;4, "Moderate","High"))</f>
        <v>Moderate</v>
      </c>
      <c r="L750" s="11">
        <v>0.97719895999999995</v>
      </c>
      <c r="M750" s="11">
        <v>59.427433739999998</v>
      </c>
      <c r="N750" s="11">
        <v>1906.9993810000001</v>
      </c>
      <c r="O750" s="11">
        <v>2555.3796510000002</v>
      </c>
      <c r="P750" s="11">
        <f>Table1[[#This Row],[Installed Capacity 
(AC -MW)]]/Table1[[#This Row],[Installed Capacity 
(DC -MW)]]</f>
        <v>0.74626851640370984</v>
      </c>
      <c r="Q750" s="12">
        <v>0.22527227</v>
      </c>
      <c r="R750" s="12">
        <v>0.16811365</v>
      </c>
      <c r="S750" s="13">
        <v>42.257517319999998</v>
      </c>
      <c r="T750" s="11">
        <v>25.87322077</v>
      </c>
      <c r="U750" s="11">
        <v>234.42471420000001</v>
      </c>
      <c r="V750" s="13">
        <v>610161.39439999999</v>
      </c>
      <c r="W750" s="13">
        <v>732194.9</v>
      </c>
      <c r="X750" s="13">
        <v>30.016729999999999</v>
      </c>
      <c r="Y750" s="14">
        <f>+Table1[[#This Row],[Generation Cost 
LCOE (USD/MWh)]]+Table1[[#This Row],[Transmission Cost
LCOT (USD/MWh)]]</f>
        <v>72.274247320000001</v>
      </c>
    </row>
    <row r="751" spans="1:25" x14ac:dyDescent="0.3">
      <c r="A751" s="7">
        <v>750</v>
      </c>
      <c r="B751" s="8">
        <v>7335</v>
      </c>
      <c r="C751" s="9">
        <v>48.889740000000003</v>
      </c>
      <c r="D751" s="9">
        <v>-109.24415</v>
      </c>
      <c r="E751" s="10" t="s">
        <v>42</v>
      </c>
      <c r="F751" s="10" t="s">
        <v>3</v>
      </c>
      <c r="G751" s="10" t="s">
        <v>8</v>
      </c>
      <c r="H751" s="10">
        <v>-7</v>
      </c>
      <c r="I751" s="11">
        <v>820.1176471</v>
      </c>
      <c r="J751" s="11">
        <v>3.6957499999999999</v>
      </c>
      <c r="K751" s="11" t="str">
        <f>IF(Table1[[#This Row],[Solar 
Resource]]&lt;3,"Low", IF(Table1[[#This Row],[Solar 
Resource]]&lt;4, "Moderate","High"))</f>
        <v>Moderate</v>
      </c>
      <c r="L751" s="11">
        <v>0.97654282999999997</v>
      </c>
      <c r="M751" s="11">
        <v>71.864006840000002</v>
      </c>
      <c r="N751" s="11">
        <v>2306.0836420000001</v>
      </c>
      <c r="O751" s="11">
        <v>3090.152294</v>
      </c>
      <c r="P751" s="11">
        <f>Table1[[#This Row],[Installed Capacity 
(AC -MW)]]/Table1[[#This Row],[Installed Capacity 
(DC -MW)]]</f>
        <v>0.74626860510325388</v>
      </c>
      <c r="Q751" s="12">
        <v>0.22505459999999999</v>
      </c>
      <c r="R751" s="12">
        <v>0.16795120999999999</v>
      </c>
      <c r="S751" s="13">
        <v>42.276122999999998</v>
      </c>
      <c r="T751" s="11">
        <v>24.978519469999998</v>
      </c>
      <c r="U751" s="11">
        <v>234.42471420000001</v>
      </c>
      <c r="V751" s="13">
        <v>610161.39439999999</v>
      </c>
      <c r="W751" s="13">
        <v>730100.9</v>
      </c>
      <c r="X751" s="13">
        <v>29.959831000000001</v>
      </c>
      <c r="Y751" s="14">
        <f>+Table1[[#This Row],[Generation Cost 
LCOE (USD/MWh)]]+Table1[[#This Row],[Transmission Cost
LCOT (USD/MWh)]]</f>
        <v>72.235953999999992</v>
      </c>
    </row>
    <row r="752" spans="1:25" x14ac:dyDescent="0.3">
      <c r="A752" s="7">
        <v>751</v>
      </c>
      <c r="B752" s="8">
        <v>7336</v>
      </c>
      <c r="C752" s="9">
        <v>48.903289999999998</v>
      </c>
      <c r="D752" s="9">
        <v>-109.07951</v>
      </c>
      <c r="E752" s="10" t="s">
        <v>42</v>
      </c>
      <c r="F752" s="10" t="s">
        <v>3</v>
      </c>
      <c r="G752" s="10" t="s">
        <v>8</v>
      </c>
      <c r="H752" s="10">
        <v>-7</v>
      </c>
      <c r="I752" s="11">
        <v>886.9</v>
      </c>
      <c r="J752" s="11">
        <v>3.6941090000000001</v>
      </c>
      <c r="K752" s="11" t="str">
        <f>IF(Table1[[#This Row],[Solar 
Resource]]&lt;3,"Low", IF(Table1[[#This Row],[Solar 
Resource]]&lt;4, "Moderate","High"))</f>
        <v>Moderate</v>
      </c>
      <c r="L752" s="11">
        <v>0.97586729999999999</v>
      </c>
      <c r="M752" s="11">
        <v>76.817156839999996</v>
      </c>
      <c r="N752" s="11">
        <v>2465.0279970000001</v>
      </c>
      <c r="O752" s="11">
        <v>3303.1377440000001</v>
      </c>
      <c r="P752" s="11">
        <f>Table1[[#This Row],[Installed Capacity 
(AC -MW)]]/Table1[[#This Row],[Installed Capacity 
(DC -MW)]]</f>
        <v>0.74626860520049809</v>
      </c>
      <c r="Q752" s="12">
        <v>0.22544326000000001</v>
      </c>
      <c r="R752" s="12">
        <v>0.16824125000000001</v>
      </c>
      <c r="S752" s="13">
        <v>42.180355689999999</v>
      </c>
      <c r="T752" s="11">
        <v>29.750259710000002</v>
      </c>
      <c r="U752" s="11">
        <v>234.42471420000001</v>
      </c>
      <c r="V752" s="13">
        <v>610161.39439999999</v>
      </c>
      <c r="W752" s="13">
        <v>753835.94</v>
      </c>
      <c r="X752" s="13">
        <v>30.880478</v>
      </c>
      <c r="Y752" s="14">
        <f>+Table1[[#This Row],[Generation Cost 
LCOE (USD/MWh)]]+Table1[[#This Row],[Transmission Cost
LCOT (USD/MWh)]]</f>
        <v>73.060833689999995</v>
      </c>
    </row>
    <row r="753" spans="1:25" x14ac:dyDescent="0.3">
      <c r="A753" s="7">
        <v>752</v>
      </c>
      <c r="B753" s="8">
        <v>7337</v>
      </c>
      <c r="C753" s="9">
        <v>48.916668000000001</v>
      </c>
      <c r="D753" s="9">
        <v>-108.914795</v>
      </c>
      <c r="E753" s="10" t="s">
        <v>42</v>
      </c>
      <c r="F753" s="10" t="s">
        <v>3</v>
      </c>
      <c r="G753" s="10" t="s">
        <v>8</v>
      </c>
      <c r="H753" s="10">
        <v>-7</v>
      </c>
      <c r="I753" s="11">
        <v>980.95</v>
      </c>
      <c r="J753" s="11">
        <v>3.6830099999999999</v>
      </c>
      <c r="K753" s="11" t="str">
        <f>IF(Table1[[#This Row],[Solar 
Resource]]&lt;3,"Low", IF(Table1[[#This Row],[Solar 
Resource]]&lt;4, "Moderate","High"))</f>
        <v>Moderate</v>
      </c>
      <c r="L753" s="11">
        <v>0.97514630000000002</v>
      </c>
      <c r="M753" s="11">
        <v>62.699189060000002</v>
      </c>
      <c r="N753" s="11">
        <v>2011.9885240000001</v>
      </c>
      <c r="O753" s="11">
        <v>2696.06513</v>
      </c>
      <c r="P753" s="11">
        <f>Table1[[#This Row],[Installed Capacity 
(AC -MW)]]/Table1[[#This Row],[Installed Capacity 
(DC -MW)]]</f>
        <v>0.74626851614671497</v>
      </c>
      <c r="Q753" s="12">
        <v>0.22498018</v>
      </c>
      <c r="R753" s="12">
        <v>0.16789564000000001</v>
      </c>
      <c r="S753" s="13">
        <v>42.242683980000002</v>
      </c>
      <c r="T753" s="11">
        <v>38.761499960000002</v>
      </c>
      <c r="U753" s="11">
        <v>234.42471420000001</v>
      </c>
      <c r="V753" s="13">
        <v>610161.39439999999</v>
      </c>
      <c r="W753" s="13">
        <v>796394.7</v>
      </c>
      <c r="X753" s="13">
        <v>32.691025000000003</v>
      </c>
      <c r="Y753" s="14">
        <f>+Table1[[#This Row],[Generation Cost 
LCOE (USD/MWh)]]+Table1[[#This Row],[Transmission Cost
LCOT (USD/MWh)]]</f>
        <v>74.933708980000006</v>
      </c>
    </row>
    <row r="754" spans="1:25" x14ac:dyDescent="0.3">
      <c r="A754" s="7">
        <v>753</v>
      </c>
      <c r="B754" s="8">
        <v>7338</v>
      </c>
      <c r="C754" s="9">
        <v>48.929886000000003</v>
      </c>
      <c r="D754" s="9">
        <v>-108.75</v>
      </c>
      <c r="E754" s="10" t="s">
        <v>42</v>
      </c>
      <c r="F754" s="10" t="s">
        <v>3</v>
      </c>
      <c r="G754" s="10" t="s">
        <v>8</v>
      </c>
      <c r="H754" s="10">
        <v>-7</v>
      </c>
      <c r="I754" s="11">
        <v>966.4375</v>
      </c>
      <c r="J754" s="11">
        <v>3.7100746999999998</v>
      </c>
      <c r="K754" s="11" t="str">
        <f>IF(Table1[[#This Row],[Solar 
Resource]]&lt;3,"Low", IF(Table1[[#This Row],[Solar 
Resource]]&lt;4, "Moderate","High"))</f>
        <v>Moderate</v>
      </c>
      <c r="L754" s="11">
        <v>0.97441279999999997</v>
      </c>
      <c r="M754" s="11">
        <v>53.102785249999997</v>
      </c>
      <c r="N754" s="11">
        <v>1704.044686</v>
      </c>
      <c r="O754" s="11">
        <v>2283.419766</v>
      </c>
      <c r="P754" s="11">
        <f>Table1[[#This Row],[Installed Capacity 
(AC -MW)]]/Table1[[#This Row],[Installed Capacity 
(DC -MW)]]</f>
        <v>0.74626869372558458</v>
      </c>
      <c r="Q754" s="12">
        <v>0.22755246000000001</v>
      </c>
      <c r="R754" s="12">
        <v>0.16981526999999999</v>
      </c>
      <c r="S754" s="13">
        <v>41.74055628</v>
      </c>
      <c r="T754" s="11">
        <v>48.783480480000001</v>
      </c>
      <c r="U754" s="11">
        <v>234.42471420000001</v>
      </c>
      <c r="V754" s="13">
        <v>610161.39439999999</v>
      </c>
      <c r="W754" s="13">
        <v>844397.06</v>
      </c>
      <c r="X754" s="13">
        <v>34.269640000000003</v>
      </c>
      <c r="Y754" s="14">
        <f>+Table1[[#This Row],[Generation Cost 
LCOE (USD/MWh)]]+Table1[[#This Row],[Transmission Cost
LCOT (USD/MWh)]]</f>
        <v>76.010196280000002</v>
      </c>
    </row>
    <row r="755" spans="1:25" x14ac:dyDescent="0.3">
      <c r="A755" s="7">
        <v>754</v>
      </c>
      <c r="B755" s="8">
        <v>7339</v>
      </c>
      <c r="C755" s="9">
        <v>48.942929999999997</v>
      </c>
      <c r="D755" s="9">
        <v>-108.58513000000001</v>
      </c>
      <c r="E755" s="10" t="s">
        <v>42</v>
      </c>
      <c r="F755" s="10" t="s">
        <v>3</v>
      </c>
      <c r="G755" s="10" t="s">
        <v>8</v>
      </c>
      <c r="H755" s="10">
        <v>-7</v>
      </c>
      <c r="I755" s="11">
        <v>931.2142857</v>
      </c>
      <c r="J755" s="11">
        <v>3.7153063</v>
      </c>
      <c r="K755" s="11" t="str">
        <f>IF(Table1[[#This Row],[Solar 
Resource]]&lt;3,"Low", IF(Table1[[#This Row],[Solar 
Resource]]&lt;4, "Moderate","High"))</f>
        <v>Moderate</v>
      </c>
      <c r="L755" s="11">
        <v>0.97372700000000001</v>
      </c>
      <c r="M755" s="11">
        <v>33.289216260000003</v>
      </c>
      <c r="N755" s="11">
        <v>1068.236097</v>
      </c>
      <c r="O755" s="11">
        <v>1431.436299</v>
      </c>
      <c r="P755" s="11">
        <f>Table1[[#This Row],[Installed Capacity 
(AC -MW)]]/Table1[[#This Row],[Installed Capacity 
(DC -MW)]]</f>
        <v>0.74626869372131244</v>
      </c>
      <c r="Q755" s="12">
        <v>0.2280991</v>
      </c>
      <c r="R755" s="12">
        <v>0.17022318</v>
      </c>
      <c r="S755" s="13">
        <v>41.617563500000003</v>
      </c>
      <c r="T755" s="11">
        <v>53.012837640000001</v>
      </c>
      <c r="U755" s="11">
        <v>171.35901290000001</v>
      </c>
      <c r="V755" s="13">
        <v>459485.95539999998</v>
      </c>
      <c r="W755" s="13">
        <v>723594.1</v>
      </c>
      <c r="X755" s="13">
        <v>29.296509</v>
      </c>
      <c r="Y755" s="14">
        <f>+Table1[[#This Row],[Generation Cost 
LCOE (USD/MWh)]]+Table1[[#This Row],[Transmission Cost
LCOT (USD/MWh)]]</f>
        <v>70.914072500000003</v>
      </c>
    </row>
    <row r="756" spans="1:25" x14ac:dyDescent="0.3">
      <c r="A756" s="7">
        <v>755</v>
      </c>
      <c r="B756" s="8">
        <v>7340</v>
      </c>
      <c r="C756" s="9">
        <v>48.955803000000003</v>
      </c>
      <c r="D756" s="9">
        <v>-108.42018</v>
      </c>
      <c r="E756" s="10" t="s">
        <v>42</v>
      </c>
      <c r="F756" s="10" t="s">
        <v>3</v>
      </c>
      <c r="G756" s="10" t="s">
        <v>8</v>
      </c>
      <c r="H756" s="10">
        <v>-7</v>
      </c>
      <c r="I756" s="11">
        <v>900</v>
      </c>
      <c r="J756" s="11">
        <v>3.6928817999999999</v>
      </c>
      <c r="K756" s="11" t="str">
        <f>IF(Table1[[#This Row],[Solar 
Resource]]&lt;3,"Low", IF(Table1[[#This Row],[Solar 
Resource]]&lt;4, "Moderate","High"))</f>
        <v>Moderate</v>
      </c>
      <c r="L756" s="11">
        <v>0.97289634000000003</v>
      </c>
      <c r="M756" s="11">
        <v>31.693356080000001</v>
      </c>
      <c r="N756" s="11">
        <v>1017.025535</v>
      </c>
      <c r="O756" s="11">
        <v>1362.8143110000001</v>
      </c>
      <c r="P756" s="11">
        <f>Table1[[#This Row],[Installed Capacity 
(AC -MW)]]/Table1[[#This Row],[Installed Capacity 
(DC -MW)]]</f>
        <v>0.74626860518784199</v>
      </c>
      <c r="Q756" s="12">
        <v>0.22593363999999999</v>
      </c>
      <c r="R756" s="12">
        <v>0.16860718999999999</v>
      </c>
      <c r="S756" s="13">
        <v>41.988344789999999</v>
      </c>
      <c r="T756" s="11">
        <v>57.697227230000003</v>
      </c>
      <c r="U756" s="11">
        <v>169.949896</v>
      </c>
      <c r="V756" s="13">
        <v>455430.14270000003</v>
      </c>
      <c r="W756" s="13">
        <v>737004.1</v>
      </c>
      <c r="X756" s="13">
        <v>30.125443000000001</v>
      </c>
      <c r="Y756" s="14">
        <f>+Table1[[#This Row],[Generation Cost 
LCOE (USD/MWh)]]+Table1[[#This Row],[Transmission Cost
LCOT (USD/MWh)]]</f>
        <v>72.113787790000003</v>
      </c>
    </row>
    <row r="757" spans="1:25" x14ac:dyDescent="0.3">
      <c r="A757" s="7">
        <v>756</v>
      </c>
      <c r="B757" s="8">
        <v>7341</v>
      </c>
      <c r="C757" s="9">
        <v>48.968513000000002</v>
      </c>
      <c r="D757" s="9">
        <v>-108.25516</v>
      </c>
      <c r="E757" s="10" t="s">
        <v>42</v>
      </c>
      <c r="F757" s="10" t="s">
        <v>3</v>
      </c>
      <c r="G757" s="10" t="s">
        <v>8</v>
      </c>
      <c r="H757" s="10">
        <v>-7</v>
      </c>
      <c r="I757" s="11">
        <v>884.1</v>
      </c>
      <c r="J757" s="11">
        <v>3.6903486000000001</v>
      </c>
      <c r="K757" s="11" t="str">
        <f>IF(Table1[[#This Row],[Solar 
Resource]]&lt;3,"Low", IF(Table1[[#This Row],[Solar 
Resource]]&lt;4, "Moderate","High"))</f>
        <v>Moderate</v>
      </c>
      <c r="L757" s="11">
        <v>0.96923239999999999</v>
      </c>
      <c r="M757" s="11">
        <v>35.848978420000002</v>
      </c>
      <c r="N757" s="11">
        <v>1150.3777230000001</v>
      </c>
      <c r="O757" s="11">
        <v>1541.5060719999999</v>
      </c>
      <c r="P757" s="11">
        <f>Table1[[#This Row],[Installed Capacity 
(AC -MW)]]/Table1[[#This Row],[Installed Capacity 
(DC -MW)]]</f>
        <v>0.74626869390625417</v>
      </c>
      <c r="Q757" s="12">
        <v>0.22585379999999999</v>
      </c>
      <c r="R757" s="12">
        <v>0.16854762000000001</v>
      </c>
      <c r="S757" s="13">
        <v>41.879261309999997</v>
      </c>
      <c r="T757" s="11">
        <v>62.76345448</v>
      </c>
      <c r="U757" s="11">
        <v>169.949896</v>
      </c>
      <c r="V757" s="13">
        <v>455430.14270000003</v>
      </c>
      <c r="W757" s="13">
        <v>763849.4</v>
      </c>
      <c r="X757" s="13">
        <v>31.233795000000001</v>
      </c>
      <c r="Y757" s="14">
        <f>+Table1[[#This Row],[Generation Cost 
LCOE (USD/MWh)]]+Table1[[#This Row],[Transmission Cost
LCOT (USD/MWh)]]</f>
        <v>73.11305630999999</v>
      </c>
    </row>
    <row r="758" spans="1:25" x14ac:dyDescent="0.3">
      <c r="A758" s="7">
        <v>757</v>
      </c>
      <c r="B758" s="8">
        <v>7342</v>
      </c>
      <c r="C758" s="9">
        <v>48.981051999999998</v>
      </c>
      <c r="D758" s="9">
        <v>-108.09005999999999</v>
      </c>
      <c r="E758" s="10" t="s">
        <v>42</v>
      </c>
      <c r="F758" s="10" t="s">
        <v>3</v>
      </c>
      <c r="G758" s="10" t="s">
        <v>31</v>
      </c>
      <c r="H758" s="10">
        <v>-7</v>
      </c>
      <c r="I758" s="11">
        <v>880.7</v>
      </c>
      <c r="J758" s="11">
        <v>3.6833849999999999</v>
      </c>
      <c r="K758" s="11" t="str">
        <f>IF(Table1[[#This Row],[Solar 
Resource]]&lt;3,"Low", IF(Table1[[#This Row],[Solar 
Resource]]&lt;4, "Moderate","High"))</f>
        <v>Moderate</v>
      </c>
      <c r="L758" s="11">
        <v>0.96772250000000004</v>
      </c>
      <c r="M758" s="11">
        <v>18.706949999999999</v>
      </c>
      <c r="N758" s="11">
        <v>600.29760769999996</v>
      </c>
      <c r="O758" s="11">
        <v>804.39885000000004</v>
      </c>
      <c r="P758" s="11">
        <f>Table1[[#This Row],[Installed Capacity 
(AC -MW)]]/Table1[[#This Row],[Installed Capacity 
(DC -MW)]]</f>
        <v>0.74626860505829906</v>
      </c>
      <c r="Q758" s="12">
        <v>0.22555244999999999</v>
      </c>
      <c r="R758" s="12">
        <v>0.16832275999999999</v>
      </c>
      <c r="S758" s="13">
        <v>41.884072840000002</v>
      </c>
      <c r="T758" s="11">
        <v>69.378038919999995</v>
      </c>
      <c r="U758" s="11">
        <v>139.8663181</v>
      </c>
      <c r="V758" s="13">
        <v>375246.76770000003</v>
      </c>
      <c r="W758" s="13">
        <v>724006</v>
      </c>
      <c r="X758" s="13">
        <v>29.644151999999998</v>
      </c>
      <c r="Y758" s="14">
        <f>+Table1[[#This Row],[Generation Cost 
LCOE (USD/MWh)]]+Table1[[#This Row],[Transmission Cost
LCOT (USD/MWh)]]</f>
        <v>71.528224840000007</v>
      </c>
    </row>
    <row r="759" spans="1:25" x14ac:dyDescent="0.3">
      <c r="A759" s="7">
        <v>758</v>
      </c>
      <c r="B759" s="8">
        <v>7343</v>
      </c>
      <c r="C759" s="9">
        <v>48.99342</v>
      </c>
      <c r="D759" s="9">
        <v>-107.92488</v>
      </c>
      <c r="E759" s="10" t="s">
        <v>42</v>
      </c>
      <c r="F759" s="10" t="s">
        <v>3</v>
      </c>
      <c r="G759" s="10" t="s">
        <v>31</v>
      </c>
      <c r="H759" s="10">
        <v>-7</v>
      </c>
      <c r="I759" s="11">
        <v>841.55555560000005</v>
      </c>
      <c r="J759" s="11">
        <v>3.6708647999999999</v>
      </c>
      <c r="K759" s="11" t="str">
        <f>IF(Table1[[#This Row],[Solar 
Resource]]&lt;3,"Low", IF(Table1[[#This Row],[Solar 
Resource]]&lt;4, "Moderate","High"))</f>
        <v>Moderate</v>
      </c>
      <c r="L759" s="11">
        <v>0.96682805000000005</v>
      </c>
      <c r="M759" s="11">
        <v>16.13779156</v>
      </c>
      <c r="N759" s="11">
        <v>517.8545312</v>
      </c>
      <c r="O759" s="11">
        <v>693.92503729999999</v>
      </c>
      <c r="P759" s="11">
        <f>Table1[[#This Row],[Installed Capacity 
(AC -MW)]]/Table1[[#This Row],[Installed Capacity 
(DC -MW)]]</f>
        <v>0.7462686938273988</v>
      </c>
      <c r="Q759" s="12">
        <v>0.22433583000000001</v>
      </c>
      <c r="R759" s="12">
        <v>0.1674148</v>
      </c>
      <c r="S759" s="13">
        <v>42.08076251</v>
      </c>
      <c r="T759" s="11">
        <v>74.065077860000002</v>
      </c>
      <c r="U759" s="11">
        <v>139.28903890000001</v>
      </c>
      <c r="V759" s="13">
        <v>373755.08159999998</v>
      </c>
      <c r="W759" s="13">
        <v>747094.9</v>
      </c>
      <c r="X759" s="13">
        <v>30.755410000000001</v>
      </c>
      <c r="Y759" s="14">
        <f>+Table1[[#This Row],[Generation Cost 
LCOE (USD/MWh)]]+Table1[[#This Row],[Transmission Cost
LCOT (USD/MWh)]]</f>
        <v>72.836172509999997</v>
      </c>
    </row>
    <row r="760" spans="1:25" x14ac:dyDescent="0.3">
      <c r="A760" s="7">
        <v>759</v>
      </c>
      <c r="B760" s="8">
        <v>7577</v>
      </c>
      <c r="C760" s="9">
        <v>47.190776999999997</v>
      </c>
      <c r="D760" s="9">
        <v>-69.42944</v>
      </c>
      <c r="E760" s="10" t="s">
        <v>42</v>
      </c>
      <c r="F760" s="10" t="s">
        <v>2</v>
      </c>
      <c r="G760" s="10" t="s">
        <v>7</v>
      </c>
      <c r="H760" s="10">
        <v>-5</v>
      </c>
      <c r="I760" s="11">
        <v>381.1333333</v>
      </c>
      <c r="J760" s="11">
        <v>3.5755005</v>
      </c>
      <c r="K760" s="11" t="str">
        <f>IF(Table1[[#This Row],[Solar 
Resource]]&lt;3,"Low", IF(Table1[[#This Row],[Solar 
Resource]]&lt;4, "Moderate","High"))</f>
        <v>Moderate</v>
      </c>
      <c r="L760" s="11">
        <v>1.0285605</v>
      </c>
      <c r="M760" s="11">
        <v>86.768821579999994</v>
      </c>
      <c r="N760" s="11">
        <v>2784.3721089999999</v>
      </c>
      <c r="O760" s="11">
        <v>3731.0593279999998</v>
      </c>
      <c r="P760" s="11">
        <f>Table1[[#This Row],[Installed Capacity 
(AC -MW)]]/Table1[[#This Row],[Installed Capacity 
(DC -MW)]]</f>
        <v>0.74626851631773361</v>
      </c>
      <c r="Q760" s="12">
        <v>0.20872088</v>
      </c>
      <c r="R760" s="12">
        <v>0.15576187</v>
      </c>
      <c r="S760" s="13">
        <v>47.488360120000003</v>
      </c>
      <c r="T760" s="11">
        <v>248.4906751</v>
      </c>
      <c r="U760" s="11">
        <v>298.39919459999999</v>
      </c>
      <c r="V760" s="13">
        <v>2487328.727</v>
      </c>
      <c r="W760" s="13">
        <v>5955057</v>
      </c>
      <c r="X760" s="13">
        <v>263.49016999999998</v>
      </c>
      <c r="Y760" s="14">
        <f>+Table1[[#This Row],[Generation Cost 
LCOE (USD/MWh)]]+Table1[[#This Row],[Transmission Cost
LCOT (USD/MWh)]]</f>
        <v>310.97853011999996</v>
      </c>
    </row>
    <row r="761" spans="1:25" x14ac:dyDescent="0.3">
      <c r="A761" s="7">
        <v>760</v>
      </c>
      <c r="B761" s="8">
        <v>7578</v>
      </c>
      <c r="C761" s="9">
        <v>47.163690000000003</v>
      </c>
      <c r="D761" s="9">
        <v>-69.274506000000002</v>
      </c>
      <c r="E761" s="10" t="s">
        <v>42</v>
      </c>
      <c r="F761" s="10" t="s">
        <v>2</v>
      </c>
      <c r="G761" s="10" t="s">
        <v>7</v>
      </c>
      <c r="H761" s="10">
        <v>-5</v>
      </c>
      <c r="I761" s="11">
        <v>350.73684209999999</v>
      </c>
      <c r="J761" s="11">
        <v>3.5683346</v>
      </c>
      <c r="K761" s="11" t="str">
        <f>IF(Table1[[#This Row],[Solar 
Resource]]&lt;3,"Low", IF(Table1[[#This Row],[Solar 
Resource]]&lt;4, "Moderate","High"))</f>
        <v>Moderate</v>
      </c>
      <c r="L761" s="11">
        <v>1.0286325000000001</v>
      </c>
      <c r="M761" s="11">
        <v>98.154178419999994</v>
      </c>
      <c r="N761" s="11">
        <v>3149.723418</v>
      </c>
      <c r="O761" s="11">
        <v>4220.629672</v>
      </c>
      <c r="P761" s="11">
        <f>Table1[[#This Row],[Installed Capacity 
(AC -MW)]]/Table1[[#This Row],[Installed Capacity 
(DC -MW)]]</f>
        <v>0.74626860510779258</v>
      </c>
      <c r="Q761" s="12">
        <v>0.20788852999999999</v>
      </c>
      <c r="R761" s="12">
        <v>0.15514069999999999</v>
      </c>
      <c r="S761" s="13">
        <v>47.681154710000001</v>
      </c>
      <c r="T761" s="11">
        <v>325.79401280000002</v>
      </c>
      <c r="U761" s="11">
        <v>330.50379850000002</v>
      </c>
      <c r="V761" s="13">
        <v>2701813.4870000002</v>
      </c>
      <c r="W761" s="13">
        <v>5444747</v>
      </c>
      <c r="X761" s="13">
        <v>241.87533999999999</v>
      </c>
      <c r="Y761" s="14">
        <f>+Table1[[#This Row],[Generation Cost 
LCOE (USD/MWh)]]+Table1[[#This Row],[Transmission Cost
LCOT (USD/MWh)]]</f>
        <v>289.55649470999998</v>
      </c>
    </row>
    <row r="762" spans="1:25" x14ac:dyDescent="0.3">
      <c r="A762" s="7">
        <v>761</v>
      </c>
      <c r="B762" s="8">
        <v>7579</v>
      </c>
      <c r="C762" s="9">
        <v>47.136443999999997</v>
      </c>
      <c r="D762" s="9">
        <v>-69.119720000000001</v>
      </c>
      <c r="E762" s="10" t="s">
        <v>42</v>
      </c>
      <c r="F762" s="10" t="s">
        <v>2</v>
      </c>
      <c r="G762" s="10" t="s">
        <v>7</v>
      </c>
      <c r="H762" s="10">
        <v>-5</v>
      </c>
      <c r="I762" s="11">
        <v>308.61111110000002</v>
      </c>
      <c r="J762" s="11">
        <v>3.5587694999999999</v>
      </c>
      <c r="K762" s="11" t="str">
        <f>IF(Table1[[#This Row],[Solar 
Resource]]&lt;3,"Low", IF(Table1[[#This Row],[Solar 
Resource]]&lt;4, "Moderate","High"))</f>
        <v>Moderate</v>
      </c>
      <c r="L762" s="11">
        <v>1.0288098000000001</v>
      </c>
      <c r="M762" s="11">
        <v>57.611736469999997</v>
      </c>
      <c r="N762" s="11">
        <v>1848.734479</v>
      </c>
      <c r="O762" s="11">
        <v>2477.3046680000002</v>
      </c>
      <c r="P762" s="11">
        <f>Table1[[#This Row],[Installed Capacity 
(AC -MW)]]/Table1[[#This Row],[Installed Capacity 
(DC -MW)]]</f>
        <v>0.74626851629538837</v>
      </c>
      <c r="Q762" s="12">
        <v>0.20670321999999999</v>
      </c>
      <c r="R762" s="12">
        <v>0.15425614000000001</v>
      </c>
      <c r="S762" s="13">
        <v>47.961120149999999</v>
      </c>
      <c r="T762" s="11">
        <v>314.42842839999997</v>
      </c>
      <c r="U762" s="11">
        <v>335.14761670000001</v>
      </c>
      <c r="V762" s="13">
        <v>2737709.35</v>
      </c>
      <c r="W762" s="13">
        <v>5261402</v>
      </c>
      <c r="X762" s="13">
        <v>235.07077000000001</v>
      </c>
      <c r="Y762" s="14">
        <f>+Table1[[#This Row],[Generation Cost 
LCOE (USD/MWh)]]+Table1[[#This Row],[Transmission Cost
LCOT (USD/MWh)]]</f>
        <v>283.03189014999998</v>
      </c>
    </row>
    <row r="763" spans="1:25" x14ac:dyDescent="0.3">
      <c r="A763" s="7">
        <v>762</v>
      </c>
      <c r="B763" s="8">
        <v>7580</v>
      </c>
      <c r="C763" s="9">
        <v>47.109054999999998</v>
      </c>
      <c r="D763" s="9">
        <v>-68.965090000000004</v>
      </c>
      <c r="E763" s="10" t="s">
        <v>42</v>
      </c>
      <c r="F763" s="10" t="s">
        <v>2</v>
      </c>
      <c r="G763" s="10" t="s">
        <v>7</v>
      </c>
      <c r="H763" s="10">
        <v>-5</v>
      </c>
      <c r="I763" s="11">
        <v>320.05263159999998</v>
      </c>
      <c r="J763" s="11">
        <v>3.5524132000000002</v>
      </c>
      <c r="K763" s="11" t="str">
        <f>IF(Table1[[#This Row],[Solar 
Resource]]&lt;3,"Low", IF(Table1[[#This Row],[Solar 
Resource]]&lt;4, "Moderate","High"))</f>
        <v>Moderate</v>
      </c>
      <c r="L763" s="11">
        <v>1.0289128999999999</v>
      </c>
      <c r="M763" s="11">
        <v>55.087696579999999</v>
      </c>
      <c r="N763" s="11">
        <v>1767.7391849999999</v>
      </c>
      <c r="O763" s="11">
        <v>2368.7709530000002</v>
      </c>
      <c r="P763" s="11">
        <f>Table1[[#This Row],[Installed Capacity 
(AC -MW)]]/Table1[[#This Row],[Installed Capacity 
(DC -MW)]]</f>
        <v>0.74626851649003645</v>
      </c>
      <c r="Q763" s="12">
        <v>0.20640855999999999</v>
      </c>
      <c r="R763" s="12">
        <v>0.15403623999999999</v>
      </c>
      <c r="S763" s="13">
        <v>48.033415490000003</v>
      </c>
      <c r="T763" s="11">
        <v>298.82955179999999</v>
      </c>
      <c r="U763" s="11">
        <v>331.14019459999997</v>
      </c>
      <c r="V763" s="13">
        <v>2707776.8029999998</v>
      </c>
      <c r="W763" s="13">
        <v>5048658</v>
      </c>
      <c r="X763" s="13">
        <v>225.88774000000001</v>
      </c>
      <c r="Y763" s="14">
        <f>+Table1[[#This Row],[Generation Cost 
LCOE (USD/MWh)]]+Table1[[#This Row],[Transmission Cost
LCOT (USD/MWh)]]</f>
        <v>273.92115548999999</v>
      </c>
    </row>
    <row r="764" spans="1:25" x14ac:dyDescent="0.3">
      <c r="A764" s="7">
        <v>763</v>
      </c>
      <c r="B764" s="8">
        <v>7581</v>
      </c>
      <c r="C764" s="9">
        <v>47.081505</v>
      </c>
      <c r="D764" s="9">
        <v>-68.810590000000005</v>
      </c>
      <c r="E764" s="10" t="s">
        <v>42</v>
      </c>
      <c r="F764" s="10" t="s">
        <v>2</v>
      </c>
      <c r="G764" s="10" t="s">
        <v>7</v>
      </c>
      <c r="H764" s="10">
        <v>-5</v>
      </c>
      <c r="I764" s="11">
        <v>385.52631580000002</v>
      </c>
      <c r="J764" s="11">
        <v>3.5803742000000001</v>
      </c>
      <c r="K764" s="11" t="str">
        <f>IF(Table1[[#This Row],[Solar 
Resource]]&lt;3,"Low", IF(Table1[[#This Row],[Solar 
Resource]]&lt;4, "Moderate","High"))</f>
        <v>Moderate</v>
      </c>
      <c r="L764" s="11">
        <v>1.0291262000000001</v>
      </c>
      <c r="M764" s="11">
        <v>48.880264750000002</v>
      </c>
      <c r="N764" s="11">
        <v>1568.5453279999999</v>
      </c>
      <c r="O764" s="11">
        <v>2101.8513840000001</v>
      </c>
      <c r="P764" s="11">
        <f>Table1[[#This Row],[Installed Capacity 
(AC -MW)]]/Table1[[#This Row],[Installed Capacity 
(DC -MW)]]</f>
        <v>0.7462684278918551</v>
      </c>
      <c r="Q764" s="12">
        <v>0.20902914</v>
      </c>
      <c r="R764" s="12">
        <v>0.15599189999999999</v>
      </c>
      <c r="S764" s="13">
        <v>47.439001740000002</v>
      </c>
      <c r="T764" s="11">
        <v>301.72609069999999</v>
      </c>
      <c r="U764" s="11">
        <v>331.14019459999997</v>
      </c>
      <c r="V764" s="13">
        <v>2707776.8029999998</v>
      </c>
      <c r="W764" s="13">
        <v>5244492</v>
      </c>
      <c r="X764" s="13">
        <v>231.708</v>
      </c>
      <c r="Y764" s="14">
        <f>+Table1[[#This Row],[Generation Cost 
LCOE (USD/MWh)]]+Table1[[#This Row],[Transmission Cost
LCOT (USD/MWh)]]</f>
        <v>279.14700174000001</v>
      </c>
    </row>
    <row r="765" spans="1:25" x14ac:dyDescent="0.3">
      <c r="A765" s="7">
        <v>764</v>
      </c>
      <c r="B765" s="8">
        <v>7582</v>
      </c>
      <c r="C765" s="9">
        <v>47.053809999999999</v>
      </c>
      <c r="D765" s="9">
        <v>-68.65625</v>
      </c>
      <c r="E765" s="10" t="s">
        <v>42</v>
      </c>
      <c r="F765" s="10" t="s">
        <v>2</v>
      </c>
      <c r="G765" s="10" t="s">
        <v>7</v>
      </c>
      <c r="H765" s="10">
        <v>-5</v>
      </c>
      <c r="I765" s="11">
        <v>297.82352939999998</v>
      </c>
      <c r="J765" s="11">
        <v>3.5927882000000002</v>
      </c>
      <c r="K765" s="11" t="str">
        <f>IF(Table1[[#This Row],[Solar 
Resource]]&lt;3,"Low", IF(Table1[[#This Row],[Solar 
Resource]]&lt;4, "Moderate","High"))</f>
        <v>Moderate</v>
      </c>
      <c r="L765" s="11">
        <v>1.0292867000000001</v>
      </c>
      <c r="M765" s="11">
        <v>56.681209420000002</v>
      </c>
      <c r="N765" s="11">
        <v>1818.8742890000001</v>
      </c>
      <c r="O765" s="11">
        <v>2437.2920049999998</v>
      </c>
      <c r="P765" s="11">
        <f>Table1[[#This Row],[Installed Capacity 
(AC -MW)]]/Table1[[#This Row],[Installed Capacity 
(DC -MW)]]</f>
        <v>0.74626851656209336</v>
      </c>
      <c r="Q765" s="12">
        <v>0.2099625</v>
      </c>
      <c r="R765" s="12">
        <v>0.15668844000000001</v>
      </c>
      <c r="S765" s="13">
        <v>47.233953579999998</v>
      </c>
      <c r="T765" s="11">
        <v>199.36108429999999</v>
      </c>
      <c r="U765" s="11">
        <v>337.08129200000002</v>
      </c>
      <c r="V765" s="13">
        <v>2749877.8250000002</v>
      </c>
      <c r="W765" s="13">
        <v>4995895.5</v>
      </c>
      <c r="X765" s="13">
        <v>219.74348000000001</v>
      </c>
      <c r="Y765" s="14">
        <f>+Table1[[#This Row],[Generation Cost 
LCOE (USD/MWh)]]+Table1[[#This Row],[Transmission Cost
LCOT (USD/MWh)]]</f>
        <v>266.97743358000002</v>
      </c>
    </row>
    <row r="766" spans="1:25" x14ac:dyDescent="0.3">
      <c r="A766" s="7">
        <v>765</v>
      </c>
      <c r="B766" s="8">
        <v>7583</v>
      </c>
      <c r="C766" s="9">
        <v>47.025959999999998</v>
      </c>
      <c r="D766" s="9">
        <v>-68.502044999999995</v>
      </c>
      <c r="E766" s="10" t="s">
        <v>42</v>
      </c>
      <c r="F766" s="10" t="s">
        <v>2</v>
      </c>
      <c r="G766" s="10" t="s">
        <v>7</v>
      </c>
      <c r="H766" s="10">
        <v>-5</v>
      </c>
      <c r="I766" s="11">
        <v>234.35</v>
      </c>
      <c r="J766" s="11">
        <v>3.5810377999999998</v>
      </c>
      <c r="K766" s="11" t="str">
        <f>IF(Table1[[#This Row],[Solar 
Resource]]&lt;3,"Low", IF(Table1[[#This Row],[Solar 
Resource]]&lt;4, "Moderate","High"))</f>
        <v>Moderate</v>
      </c>
      <c r="L766" s="11">
        <v>1.0295844000000001</v>
      </c>
      <c r="M766" s="11">
        <v>69.333405470000002</v>
      </c>
      <c r="N766" s="11">
        <v>2224.8775179999998</v>
      </c>
      <c r="O766" s="11">
        <v>2981.3364350000002</v>
      </c>
      <c r="P766" s="11">
        <f>Table1[[#This Row],[Installed Capacity 
(AC -MW)]]/Table1[[#This Row],[Installed Capacity 
(DC -MW)]]</f>
        <v>0.74626851632060087</v>
      </c>
      <c r="Q766" s="12">
        <v>0.21039768</v>
      </c>
      <c r="R766" s="12">
        <v>0.15701319999999999</v>
      </c>
      <c r="S766" s="13">
        <v>47.147079929999997</v>
      </c>
      <c r="T766" s="11">
        <v>187.46719469999999</v>
      </c>
      <c r="U766" s="11">
        <v>335.4548959</v>
      </c>
      <c r="V766" s="13">
        <v>2738985.051</v>
      </c>
      <c r="W766" s="13">
        <v>4773714</v>
      </c>
      <c r="X766" s="13">
        <v>209.53658999999999</v>
      </c>
      <c r="Y766" s="14">
        <f>+Table1[[#This Row],[Generation Cost 
LCOE (USD/MWh)]]+Table1[[#This Row],[Transmission Cost
LCOT (USD/MWh)]]</f>
        <v>256.68366993000001</v>
      </c>
    </row>
    <row r="767" spans="1:25" x14ac:dyDescent="0.3">
      <c r="A767" s="7">
        <v>766</v>
      </c>
      <c r="B767" s="8">
        <v>7584</v>
      </c>
      <c r="C767" s="9">
        <v>46.997959999999999</v>
      </c>
      <c r="D767" s="9">
        <v>-68.348010000000002</v>
      </c>
      <c r="E767" s="10" t="s">
        <v>42</v>
      </c>
      <c r="F767" s="10" t="s">
        <v>2</v>
      </c>
      <c r="G767" s="10" t="s">
        <v>7</v>
      </c>
      <c r="H767" s="10">
        <v>-5</v>
      </c>
      <c r="I767" s="11">
        <v>223.94444440000001</v>
      </c>
      <c r="J767" s="11">
        <v>3.5661132000000002</v>
      </c>
      <c r="K767" s="11" t="str">
        <f>IF(Table1[[#This Row],[Solar 
Resource]]&lt;3,"Low", IF(Table1[[#This Row],[Solar 
Resource]]&lt;4, "Moderate","High"))</f>
        <v>Moderate</v>
      </c>
      <c r="L767" s="11">
        <v>1.0297898000000001</v>
      </c>
      <c r="M767" s="11">
        <v>79.109140429999997</v>
      </c>
      <c r="N767" s="11">
        <v>2538.5764170000002</v>
      </c>
      <c r="O767" s="11">
        <v>3401.6930379999999</v>
      </c>
      <c r="P767" s="11">
        <f>Table1[[#This Row],[Installed Capacity 
(AC -MW)]]/Table1[[#This Row],[Installed Capacity 
(DC -MW)]]</f>
        <v>0.74626851648335013</v>
      </c>
      <c r="Q767" s="12">
        <v>0.21131017999999999</v>
      </c>
      <c r="R767" s="12">
        <v>0.15769416</v>
      </c>
      <c r="S767" s="13">
        <v>46.950902759999998</v>
      </c>
      <c r="T767" s="11">
        <v>177.48404529999999</v>
      </c>
      <c r="U767" s="11">
        <v>334.4430582</v>
      </c>
      <c r="V767" s="13">
        <v>2733167.84</v>
      </c>
      <c r="W767" s="13">
        <v>4610851.5</v>
      </c>
      <c r="X767" s="13">
        <v>201.51394999999999</v>
      </c>
      <c r="Y767" s="14">
        <f>+Table1[[#This Row],[Generation Cost 
LCOE (USD/MWh)]]+Table1[[#This Row],[Transmission Cost
LCOT (USD/MWh)]]</f>
        <v>248.46485275999999</v>
      </c>
    </row>
    <row r="768" spans="1:25" x14ac:dyDescent="0.3">
      <c r="A768" s="7">
        <v>767</v>
      </c>
      <c r="B768" s="8">
        <v>7585</v>
      </c>
      <c r="C768" s="9">
        <v>46.969807000000003</v>
      </c>
      <c r="D768" s="9">
        <v>-68.194109999999995</v>
      </c>
      <c r="E768" s="10" t="s">
        <v>42</v>
      </c>
      <c r="F768" s="10" t="s">
        <v>2</v>
      </c>
      <c r="G768" s="10" t="s">
        <v>7</v>
      </c>
      <c r="H768" s="10">
        <v>-5</v>
      </c>
      <c r="I768" s="11">
        <v>221.55555559999999</v>
      </c>
      <c r="J768" s="11">
        <v>3.5949996</v>
      </c>
      <c r="K768" s="11" t="str">
        <f>IF(Table1[[#This Row],[Solar 
Resource]]&lt;3,"Low", IF(Table1[[#This Row],[Solar 
Resource]]&lt;4, "Moderate","High"))</f>
        <v>Moderate</v>
      </c>
      <c r="L768" s="11">
        <v>1.030108</v>
      </c>
      <c r="M768" s="11">
        <v>82.641056840000005</v>
      </c>
      <c r="N768" s="11">
        <v>2651.914327</v>
      </c>
      <c r="O768" s="11">
        <v>3553.5654439999998</v>
      </c>
      <c r="P768" s="11">
        <f>Table1[[#This Row],[Installed Capacity 
(AC -MW)]]/Table1[[#This Row],[Installed Capacity 
(DC -MW)]]</f>
        <v>0.74626860509284043</v>
      </c>
      <c r="Q768" s="12">
        <v>0.21389215</v>
      </c>
      <c r="R768" s="12">
        <v>0.15962098999999999</v>
      </c>
      <c r="S768" s="13">
        <v>46.395517650000002</v>
      </c>
      <c r="T768" s="11">
        <v>164.58736350000001</v>
      </c>
      <c r="U768" s="11">
        <v>336.64673349999998</v>
      </c>
      <c r="V768" s="13">
        <v>2745965.7030000002</v>
      </c>
      <c r="W768" s="13">
        <v>4445036</v>
      </c>
      <c r="X768" s="13">
        <v>191.92204000000001</v>
      </c>
      <c r="Y768" s="14">
        <f>+Table1[[#This Row],[Generation Cost 
LCOE (USD/MWh)]]+Table1[[#This Row],[Transmission Cost
LCOT (USD/MWh)]]</f>
        <v>238.31755765000003</v>
      </c>
    </row>
    <row r="769" spans="1:25" x14ac:dyDescent="0.3">
      <c r="A769" s="7">
        <v>768</v>
      </c>
      <c r="B769" s="8">
        <v>7586</v>
      </c>
      <c r="C769" s="9">
        <v>46.941504999999999</v>
      </c>
      <c r="D769" s="9">
        <v>-68.040360000000007</v>
      </c>
      <c r="E769" s="10" t="s">
        <v>42</v>
      </c>
      <c r="F769" s="10" t="s">
        <v>2</v>
      </c>
      <c r="G769" s="10" t="s">
        <v>7</v>
      </c>
      <c r="H769" s="10">
        <v>-5</v>
      </c>
      <c r="I769" s="11">
        <v>193.84210529999999</v>
      </c>
      <c r="J769" s="11">
        <v>3.5827171999999998</v>
      </c>
      <c r="K769" s="11" t="str">
        <f>IF(Table1[[#This Row],[Solar 
Resource]]&lt;3,"Low", IF(Table1[[#This Row],[Solar 
Resource]]&lt;4, "Moderate","High"))</f>
        <v>Moderate</v>
      </c>
      <c r="L769" s="11">
        <v>1.0303863</v>
      </c>
      <c r="M769" s="11">
        <v>44.53857773</v>
      </c>
      <c r="N769" s="11">
        <v>1429.2229179999999</v>
      </c>
      <c r="O769" s="11">
        <v>1915.1588429999999</v>
      </c>
      <c r="P769" s="11">
        <f>Table1[[#This Row],[Installed Capacity 
(AC -MW)]]/Table1[[#This Row],[Installed Capacity 
(DC -MW)]]</f>
        <v>0.74626860493785163</v>
      </c>
      <c r="Q769" s="12">
        <v>0.21264454999999999</v>
      </c>
      <c r="R769" s="12">
        <v>0.15868995</v>
      </c>
      <c r="S769" s="13">
        <v>46.677721429999998</v>
      </c>
      <c r="T769" s="11">
        <v>150.79862979999999</v>
      </c>
      <c r="U769" s="11">
        <v>344.12422700000002</v>
      </c>
      <c r="V769" s="13">
        <v>2806523.0419999999</v>
      </c>
      <c r="W769" s="13">
        <v>4244837</v>
      </c>
      <c r="X769" s="13">
        <v>184.35341</v>
      </c>
      <c r="Y769" s="14">
        <f>+Table1[[#This Row],[Generation Cost 
LCOE (USD/MWh)]]+Table1[[#This Row],[Transmission Cost
LCOT (USD/MWh)]]</f>
        <v>231.03113142999999</v>
      </c>
    </row>
    <row r="770" spans="1:25" x14ac:dyDescent="0.3">
      <c r="A770" s="7">
        <v>769</v>
      </c>
      <c r="B770" s="8">
        <v>7587</v>
      </c>
      <c r="C770" s="9">
        <v>46.913055</v>
      </c>
      <c r="D770" s="9">
        <v>-67.886769999999999</v>
      </c>
      <c r="E770" s="10" t="s">
        <v>42</v>
      </c>
      <c r="F770" s="10" t="s">
        <v>2</v>
      </c>
      <c r="G770" s="10" t="s">
        <v>7</v>
      </c>
      <c r="H770" s="10">
        <v>-5</v>
      </c>
      <c r="I770" s="11">
        <v>189.7222222</v>
      </c>
      <c r="J770" s="11">
        <v>3.5645718999999998</v>
      </c>
      <c r="K770" s="11" t="str">
        <f>IF(Table1[[#This Row],[Solar 
Resource]]&lt;3,"Low", IF(Table1[[#This Row],[Solar 
Resource]]&lt;4, "Moderate","High"))</f>
        <v>Moderate</v>
      </c>
      <c r="L770" s="11">
        <v>1.0307202</v>
      </c>
      <c r="M770" s="11">
        <v>35.10871831</v>
      </c>
      <c r="N770" s="11">
        <v>1126.623106</v>
      </c>
      <c r="O770" s="11">
        <v>1509.6748869999999</v>
      </c>
      <c r="P770" s="11">
        <f>Table1[[#This Row],[Installed Capacity 
(AC -MW)]]/Table1[[#This Row],[Installed Capacity 
(DC -MW)]]</f>
        <v>0.74626869381049732</v>
      </c>
      <c r="Q770" s="12">
        <v>0.21129744</v>
      </c>
      <c r="R770" s="12">
        <v>0.15768463999999999</v>
      </c>
      <c r="S770" s="13">
        <v>46.987385690000004</v>
      </c>
      <c r="T770" s="11">
        <v>144.0144545</v>
      </c>
      <c r="U770" s="11">
        <v>344.12422700000002</v>
      </c>
      <c r="V770" s="13">
        <v>2806523.0419999999</v>
      </c>
      <c r="W770" s="13">
        <v>4177723.5</v>
      </c>
      <c r="X770" s="13">
        <v>182.59540999999999</v>
      </c>
      <c r="Y770" s="14">
        <f>+Table1[[#This Row],[Generation Cost 
LCOE (USD/MWh)]]+Table1[[#This Row],[Transmission Cost
LCOT (USD/MWh)]]</f>
        <v>229.58279568999998</v>
      </c>
    </row>
    <row r="771" spans="1:25" x14ac:dyDescent="0.3">
      <c r="A771" s="7">
        <v>770</v>
      </c>
      <c r="B771" s="8">
        <v>7622</v>
      </c>
      <c r="C771" s="9">
        <v>46.824154</v>
      </c>
      <c r="D771" s="9">
        <v>-124.04236</v>
      </c>
      <c r="E771" s="10" t="s">
        <v>42</v>
      </c>
      <c r="F771" s="10" t="s">
        <v>4</v>
      </c>
      <c r="G771" s="10" t="s">
        <v>18</v>
      </c>
      <c r="H771" s="10">
        <v>-8</v>
      </c>
      <c r="I771" s="11">
        <v>44.533333329999998</v>
      </c>
      <c r="J771" s="11">
        <v>3.1774368000000002</v>
      </c>
      <c r="K771" s="11" t="str">
        <f>IF(Table1[[#This Row],[Solar 
Resource]]&lt;3,"Low", IF(Table1[[#This Row],[Solar 
Resource]]&lt;4, "Moderate","High"))</f>
        <v>Moderate</v>
      </c>
      <c r="L771" s="11">
        <v>1.0205934000000001</v>
      </c>
      <c r="M771" s="11">
        <v>23.423580399999999</v>
      </c>
      <c r="N771" s="11">
        <v>751.65206539999997</v>
      </c>
      <c r="O771" s="11">
        <v>1007.2139570000001</v>
      </c>
      <c r="P771" s="11">
        <f>Table1[[#This Row],[Installed Capacity 
(AC -MW)]]/Table1[[#This Row],[Installed Capacity 
(DC -MW)]]</f>
        <v>0.74626851641214886</v>
      </c>
      <c r="Q771" s="12">
        <v>0.18238802000000001</v>
      </c>
      <c r="R771" s="12">
        <v>0.13611047000000001</v>
      </c>
      <c r="S771" s="13">
        <v>54.010941699999997</v>
      </c>
      <c r="T771" s="11">
        <v>12.945655840000001</v>
      </c>
      <c r="U771" s="11">
        <v>237.16153879999999</v>
      </c>
      <c r="V771" s="13">
        <v>810230.2794</v>
      </c>
      <c r="W771" s="13">
        <v>894381.4</v>
      </c>
      <c r="X771" s="13">
        <v>45.286715999999998</v>
      </c>
      <c r="Y771" s="14">
        <f>+Table1[[#This Row],[Generation Cost 
LCOE (USD/MWh)]]+Table1[[#This Row],[Transmission Cost
LCOT (USD/MWh)]]</f>
        <v>99.297657700000002</v>
      </c>
    </row>
    <row r="772" spans="1:25" x14ac:dyDescent="0.3">
      <c r="A772" s="7">
        <v>771</v>
      </c>
      <c r="B772" s="8">
        <v>7623</v>
      </c>
      <c r="C772" s="9">
        <v>46.852530000000002</v>
      </c>
      <c r="D772" s="9">
        <v>-123.88898</v>
      </c>
      <c r="E772" s="10" t="s">
        <v>42</v>
      </c>
      <c r="F772" s="10" t="s">
        <v>4</v>
      </c>
      <c r="G772" s="10" t="s">
        <v>18</v>
      </c>
      <c r="H772" s="10">
        <v>-8</v>
      </c>
      <c r="I772" s="11">
        <v>84.944444439999998</v>
      </c>
      <c r="J772" s="11">
        <v>3.1130716999999999</v>
      </c>
      <c r="K772" s="11" t="str">
        <f>IF(Table1[[#This Row],[Solar 
Resource]]&lt;3,"Low", IF(Table1[[#This Row],[Solar 
Resource]]&lt;4, "Moderate","High"))</f>
        <v>Moderate</v>
      </c>
      <c r="L772" s="11">
        <v>1.0204607000000001</v>
      </c>
      <c r="M772" s="11">
        <v>32.515343919999999</v>
      </c>
      <c r="N772" s="11">
        <v>1043.4027550000001</v>
      </c>
      <c r="O772" s="11">
        <v>1398.159789</v>
      </c>
      <c r="P772" s="11">
        <f>Table1[[#This Row],[Installed Capacity 
(AC -MW)]]/Table1[[#This Row],[Installed Capacity 
(DC -MW)]]</f>
        <v>0.74626860478248247</v>
      </c>
      <c r="Q772" s="12">
        <v>0.17761189999999999</v>
      </c>
      <c r="R772" s="12">
        <v>0.1325462</v>
      </c>
      <c r="S772" s="13">
        <v>55.457633610000002</v>
      </c>
      <c r="T772" s="11">
        <v>10.124772719999999</v>
      </c>
      <c r="U772" s="11">
        <v>222.4802986</v>
      </c>
      <c r="V772" s="13">
        <v>760250.3223</v>
      </c>
      <c r="W772" s="13">
        <v>881124.25</v>
      </c>
      <c r="X772" s="13">
        <v>45.815193000000001</v>
      </c>
      <c r="Y772" s="14">
        <f>+Table1[[#This Row],[Generation Cost 
LCOE (USD/MWh)]]+Table1[[#This Row],[Transmission Cost
LCOT (USD/MWh)]]</f>
        <v>101.27282661000001</v>
      </c>
    </row>
    <row r="773" spans="1:25" x14ac:dyDescent="0.3">
      <c r="A773" s="7">
        <v>772</v>
      </c>
      <c r="B773" s="8">
        <v>7624</v>
      </c>
      <c r="C773" s="9">
        <v>46.880763999999999</v>
      </c>
      <c r="D773" s="9">
        <v>-123.73542999999999</v>
      </c>
      <c r="E773" s="10" t="s">
        <v>42</v>
      </c>
      <c r="F773" s="10" t="s">
        <v>4</v>
      </c>
      <c r="G773" s="10" t="s">
        <v>18</v>
      </c>
      <c r="H773" s="10">
        <v>-8</v>
      </c>
      <c r="I773" s="11">
        <v>91.944444439999998</v>
      </c>
      <c r="J773" s="11">
        <v>3.1126915999999998</v>
      </c>
      <c r="K773" s="11" t="str">
        <f>IF(Table1[[#This Row],[Solar 
Resource]]&lt;3,"Low", IF(Table1[[#This Row],[Solar 
Resource]]&lt;4, "Moderate","High"))</f>
        <v>Moderate</v>
      </c>
      <c r="L773" s="11">
        <v>1.0203346</v>
      </c>
      <c r="M773" s="11">
        <v>28.83259863</v>
      </c>
      <c r="N773" s="11">
        <v>925.22511599999996</v>
      </c>
      <c r="O773" s="11">
        <v>1239.801741</v>
      </c>
      <c r="P773" s="11">
        <f>Table1[[#This Row],[Installed Capacity 
(AC -MW)]]/Table1[[#This Row],[Installed Capacity 
(DC -MW)]]</f>
        <v>0.74626860521564631</v>
      </c>
      <c r="Q773" s="12">
        <v>0.17740861999999999</v>
      </c>
      <c r="R773" s="12">
        <v>0.1323945</v>
      </c>
      <c r="S773" s="13">
        <v>55.515747920000003</v>
      </c>
      <c r="T773" s="11">
        <v>2.1882337650000001</v>
      </c>
      <c r="U773" s="11">
        <v>210.30361679999999</v>
      </c>
      <c r="V773" s="13">
        <v>731898.37360000005</v>
      </c>
      <c r="W773" s="13">
        <v>789361.25</v>
      </c>
      <c r="X773" s="13">
        <v>41.090885</v>
      </c>
      <c r="Y773" s="14">
        <f>+Table1[[#This Row],[Generation Cost 
LCOE (USD/MWh)]]+Table1[[#This Row],[Transmission Cost
LCOT (USD/MWh)]]</f>
        <v>96.60663292000001</v>
      </c>
    </row>
    <row r="774" spans="1:25" x14ac:dyDescent="0.3">
      <c r="A774" s="7">
        <v>773</v>
      </c>
      <c r="B774" s="8">
        <v>7625</v>
      </c>
      <c r="C774" s="9">
        <v>46.908844000000002</v>
      </c>
      <c r="D774" s="9">
        <v>-123.58174</v>
      </c>
      <c r="E774" s="10" t="s">
        <v>42</v>
      </c>
      <c r="F774" s="10" t="s">
        <v>4</v>
      </c>
      <c r="G774" s="10" t="s">
        <v>18</v>
      </c>
      <c r="H774" s="10">
        <v>-8</v>
      </c>
      <c r="I774" s="11">
        <v>99.555555560000002</v>
      </c>
      <c r="J774" s="11">
        <v>3.1169216999999998</v>
      </c>
      <c r="K774" s="11" t="str">
        <f>IF(Table1[[#This Row],[Solar 
Resource]]&lt;3,"Low", IF(Table1[[#This Row],[Solar 
Resource]]&lt;4, "Moderate","High"))</f>
        <v>Moderate</v>
      </c>
      <c r="L774" s="11">
        <v>1.0202594</v>
      </c>
      <c r="M774" s="11">
        <v>15.211475679999999</v>
      </c>
      <c r="N774" s="11">
        <v>488.12940980000002</v>
      </c>
      <c r="O774" s="11">
        <v>654.09345440000004</v>
      </c>
      <c r="P774" s="11">
        <f>Table1[[#This Row],[Installed Capacity 
(AC -MW)]]/Table1[[#This Row],[Installed Capacity 
(DC -MW)]]</f>
        <v>0.74626860506922688</v>
      </c>
      <c r="Q774" s="12">
        <v>0.17790289000000001</v>
      </c>
      <c r="R774" s="12">
        <v>0.13276336</v>
      </c>
      <c r="S774" s="13">
        <v>55.358284640000001</v>
      </c>
      <c r="T774" s="11">
        <v>6.8128636330000001</v>
      </c>
      <c r="U774" s="11">
        <v>187.825909</v>
      </c>
      <c r="V774" s="13">
        <v>610155.97549999994</v>
      </c>
      <c r="W774" s="13">
        <v>722222.2</v>
      </c>
      <c r="X774" s="13">
        <v>37.491447000000001</v>
      </c>
      <c r="Y774" s="14">
        <f>+Table1[[#This Row],[Generation Cost 
LCOE (USD/MWh)]]+Table1[[#This Row],[Transmission Cost
LCOT (USD/MWh)]]</f>
        <v>92.849731640000002</v>
      </c>
    </row>
    <row r="775" spans="1:25" x14ac:dyDescent="0.3">
      <c r="A775" s="7">
        <v>774</v>
      </c>
      <c r="B775" s="8">
        <v>7626</v>
      </c>
      <c r="C775" s="9">
        <v>46.936770000000003</v>
      </c>
      <c r="D775" s="9">
        <v>-123.42789999999999</v>
      </c>
      <c r="E775" s="10" t="s">
        <v>42</v>
      </c>
      <c r="F775" s="10" t="s">
        <v>4</v>
      </c>
      <c r="G775" s="10" t="s">
        <v>18</v>
      </c>
      <c r="H775" s="10">
        <v>-8</v>
      </c>
      <c r="I775" s="11">
        <v>103.3888889</v>
      </c>
      <c r="J775" s="11">
        <v>3.1531028999999999</v>
      </c>
      <c r="K775" s="11" t="str">
        <f>IF(Table1[[#This Row],[Solar 
Resource]]&lt;3,"Low", IF(Table1[[#This Row],[Solar 
Resource]]&lt;4, "Moderate","High"))</f>
        <v>Moderate</v>
      </c>
      <c r="L775" s="11">
        <v>1.0202291999999999</v>
      </c>
      <c r="M775" s="11">
        <v>18.534662839999999</v>
      </c>
      <c r="N775" s="11">
        <v>594.76899030000004</v>
      </c>
      <c r="O775" s="11">
        <v>796.99050220000004</v>
      </c>
      <c r="P775" s="11">
        <f>Table1[[#This Row],[Installed Capacity 
(AC -MW)]]/Table1[[#This Row],[Installed Capacity 
(DC -MW)]]</f>
        <v>0.74626860503131354</v>
      </c>
      <c r="Q775" s="12">
        <v>0.17799551999999999</v>
      </c>
      <c r="R775" s="12">
        <v>0.13283247000000001</v>
      </c>
      <c r="S775" s="13">
        <v>55.328177429999997</v>
      </c>
      <c r="T775" s="11">
        <v>5.925655839</v>
      </c>
      <c r="U775" s="11">
        <v>178.13304539999999</v>
      </c>
      <c r="V775" s="13">
        <v>570811.74120000005</v>
      </c>
      <c r="W775" s="13">
        <v>650260.56000000006</v>
      </c>
      <c r="X775" s="13">
        <v>33.738266000000003</v>
      </c>
      <c r="Y775" s="14">
        <f>+Table1[[#This Row],[Generation Cost 
LCOE (USD/MWh)]]+Table1[[#This Row],[Transmission Cost
LCOT (USD/MWh)]]</f>
        <v>89.066443429999993</v>
      </c>
    </row>
    <row r="776" spans="1:25" x14ac:dyDescent="0.3">
      <c r="A776" s="7">
        <v>775</v>
      </c>
      <c r="B776" s="8">
        <v>7627</v>
      </c>
      <c r="C776" s="9">
        <v>46.964550000000003</v>
      </c>
      <c r="D776" s="9">
        <v>-123.27391</v>
      </c>
      <c r="E776" s="10" t="s">
        <v>42</v>
      </c>
      <c r="F776" s="10" t="s">
        <v>4</v>
      </c>
      <c r="G776" s="10" t="s">
        <v>18</v>
      </c>
      <c r="H776" s="10">
        <v>-8</v>
      </c>
      <c r="I776" s="11">
        <v>164.94444440000001</v>
      </c>
      <c r="J776" s="11">
        <v>3.1314616000000002</v>
      </c>
      <c r="K776" s="11" t="str">
        <f>IF(Table1[[#This Row],[Solar 
Resource]]&lt;3,"Low", IF(Table1[[#This Row],[Solar 
Resource]]&lt;4, "Moderate","High"))</f>
        <v>Moderate</v>
      </c>
      <c r="L776" s="11">
        <v>1.0202283000000001</v>
      </c>
      <c r="M776" s="11">
        <v>24.39825205</v>
      </c>
      <c r="N776" s="11">
        <v>782.92902260000005</v>
      </c>
      <c r="O776" s="11">
        <v>1049.124838</v>
      </c>
      <c r="P776" s="11">
        <f>Table1[[#This Row],[Installed Capacity 
(AC -MW)]]/Table1[[#This Row],[Installed Capacity 
(DC -MW)]]</f>
        <v>0.74626869390733086</v>
      </c>
      <c r="Q776" s="12">
        <v>0.17598188000000001</v>
      </c>
      <c r="R776" s="12">
        <v>0.13132975999999999</v>
      </c>
      <c r="S776" s="13">
        <v>55.961222960000001</v>
      </c>
      <c r="T776" s="11">
        <v>5.5001428529999998</v>
      </c>
      <c r="U776" s="11">
        <v>179.4713505</v>
      </c>
      <c r="V776" s="13">
        <v>570777.03729999997</v>
      </c>
      <c r="W776" s="13">
        <v>654629.80000000005</v>
      </c>
      <c r="X776" s="13">
        <v>34.353596000000003</v>
      </c>
      <c r="Y776" s="14">
        <f>+Table1[[#This Row],[Generation Cost 
LCOE (USD/MWh)]]+Table1[[#This Row],[Transmission Cost
LCOT (USD/MWh)]]</f>
        <v>90.314818959999997</v>
      </c>
    </row>
    <row r="777" spans="1:25" x14ac:dyDescent="0.3">
      <c r="A777" s="7">
        <v>776</v>
      </c>
      <c r="B777" s="8">
        <v>7628</v>
      </c>
      <c r="C777" s="9">
        <v>46.992176000000001</v>
      </c>
      <c r="D777" s="9">
        <v>-123.11977</v>
      </c>
      <c r="E777" s="10" t="s">
        <v>42</v>
      </c>
      <c r="F777" s="10" t="s">
        <v>4</v>
      </c>
      <c r="G777" s="10" t="s">
        <v>38</v>
      </c>
      <c r="H777" s="10">
        <v>-8</v>
      </c>
      <c r="I777" s="11">
        <v>294.73684209999999</v>
      </c>
      <c r="J777" s="11">
        <v>3.2479043000000001</v>
      </c>
      <c r="K777" s="11" t="str">
        <f>IF(Table1[[#This Row],[Solar 
Resource]]&lt;3,"Low", IF(Table1[[#This Row],[Solar 
Resource]]&lt;4, "Moderate","High"))</f>
        <v>Moderate</v>
      </c>
      <c r="L777" s="11">
        <v>1.0202903999999999</v>
      </c>
      <c r="M777" s="11">
        <v>11.684736470000001</v>
      </c>
      <c r="N777" s="11">
        <v>374.95793559999998</v>
      </c>
      <c r="O777" s="11">
        <v>502.44366839999998</v>
      </c>
      <c r="P777" s="11">
        <f>Table1[[#This Row],[Installed Capacity 
(AC -MW)]]/Table1[[#This Row],[Installed Capacity 
(DC -MW)]]</f>
        <v>0.74626860518320348</v>
      </c>
      <c r="Q777" s="12">
        <v>0.18536559</v>
      </c>
      <c r="R777" s="12">
        <v>0.13833253000000001</v>
      </c>
      <c r="S777" s="13">
        <v>53.130875320000001</v>
      </c>
      <c r="T777" s="11">
        <v>4.2119090889999997</v>
      </c>
      <c r="U777" s="11">
        <v>152.08996740000001</v>
      </c>
      <c r="V777" s="13">
        <v>477542.65950000001</v>
      </c>
      <c r="W777" s="13">
        <v>583555.25</v>
      </c>
      <c r="X777" s="13">
        <v>29.073498000000001</v>
      </c>
      <c r="Y777" s="14">
        <f>+Table1[[#This Row],[Generation Cost 
LCOE (USD/MWh)]]+Table1[[#This Row],[Transmission Cost
LCOT (USD/MWh)]]</f>
        <v>82.204373320000002</v>
      </c>
    </row>
    <row r="778" spans="1:25" x14ac:dyDescent="0.3">
      <c r="A778" s="7">
        <v>777</v>
      </c>
      <c r="B778" s="8">
        <v>7629</v>
      </c>
      <c r="C778" s="9">
        <v>47.019649999999999</v>
      </c>
      <c r="D778" s="9">
        <v>-122.965485</v>
      </c>
      <c r="E778" s="10" t="s">
        <v>42</v>
      </c>
      <c r="F778" s="10" t="s">
        <v>4</v>
      </c>
      <c r="G778" s="10" t="s">
        <v>38</v>
      </c>
      <c r="H778" s="10">
        <v>-8</v>
      </c>
      <c r="I778" s="11">
        <v>96.58823529</v>
      </c>
      <c r="J778" s="11">
        <v>3.2986197000000002</v>
      </c>
      <c r="K778" s="11" t="str">
        <f>IF(Table1[[#This Row],[Solar 
Resource]]&lt;3,"Low", IF(Table1[[#This Row],[Solar 
Resource]]&lt;4, "Moderate","High"))</f>
        <v>Moderate</v>
      </c>
      <c r="L778" s="11">
        <v>1.0203332000000001</v>
      </c>
      <c r="M778" s="11">
        <v>17.377414890000001</v>
      </c>
      <c r="N778" s="11">
        <v>557.63349070000004</v>
      </c>
      <c r="O778" s="11">
        <v>747.22884039999997</v>
      </c>
      <c r="P778" s="11">
        <f>Table1[[#This Row],[Installed Capacity 
(AC -MW)]]/Table1[[#This Row],[Installed Capacity 
(DC -MW)]]</f>
        <v>0.74626869380669592</v>
      </c>
      <c r="Q778" s="12">
        <v>0.18716447</v>
      </c>
      <c r="R778" s="12">
        <v>0.13967499</v>
      </c>
      <c r="S778" s="13">
        <v>52.621963600000001</v>
      </c>
      <c r="T778" s="11">
        <v>0.99639610300000003</v>
      </c>
      <c r="U778" s="11">
        <v>139.51600640000001</v>
      </c>
      <c r="V778" s="13">
        <v>437025.6202</v>
      </c>
      <c r="W778" s="13">
        <v>465189.2</v>
      </c>
      <c r="X778" s="13">
        <v>22.953588</v>
      </c>
      <c r="Y778" s="14">
        <f>+Table1[[#This Row],[Generation Cost 
LCOE (USD/MWh)]]+Table1[[#This Row],[Transmission Cost
LCOT (USD/MWh)]]</f>
        <v>75.575551599999997</v>
      </c>
    </row>
    <row r="779" spans="1:25" x14ac:dyDescent="0.3">
      <c r="A779" s="7">
        <v>778</v>
      </c>
      <c r="B779" s="8">
        <v>7630</v>
      </c>
      <c r="C779" s="9">
        <v>47.046970000000002</v>
      </c>
      <c r="D779" s="9">
        <v>-122.81104999999999</v>
      </c>
      <c r="E779" s="10" t="s">
        <v>42</v>
      </c>
      <c r="F779" s="10" t="s">
        <v>4</v>
      </c>
      <c r="G779" s="10" t="s">
        <v>38</v>
      </c>
      <c r="H779" s="10">
        <v>-8</v>
      </c>
      <c r="I779" s="11">
        <v>58.5625</v>
      </c>
      <c r="J779" s="11">
        <v>3.3199245999999998</v>
      </c>
      <c r="K779" s="11" t="str">
        <f>IF(Table1[[#This Row],[Solar 
Resource]]&lt;3,"Low", IF(Table1[[#This Row],[Solar 
Resource]]&lt;4, "Moderate","High"))</f>
        <v>Moderate</v>
      </c>
      <c r="L779" s="11">
        <v>1.0204344000000001</v>
      </c>
      <c r="M779" s="11">
        <v>22.020174319999999</v>
      </c>
      <c r="N779" s="11">
        <v>706.61756909999997</v>
      </c>
      <c r="O779" s="11">
        <v>946.86749559999998</v>
      </c>
      <c r="P779" s="11">
        <f>Table1[[#This Row],[Installed Capacity 
(AC -MW)]]/Table1[[#This Row],[Installed Capacity 
(DC -MW)]]</f>
        <v>0.74626869375449278</v>
      </c>
      <c r="Q779" s="12">
        <v>0.18753976</v>
      </c>
      <c r="R779" s="12">
        <v>0.13995504</v>
      </c>
      <c r="S779" s="13">
        <v>52.520791979999998</v>
      </c>
      <c r="T779" s="11">
        <v>1.536396103</v>
      </c>
      <c r="U779" s="11">
        <v>134.7832856</v>
      </c>
      <c r="V779" s="13">
        <v>416468.72220000002</v>
      </c>
      <c r="W779" s="13">
        <v>447740.2</v>
      </c>
      <c r="X779" s="13">
        <v>22.048403</v>
      </c>
      <c r="Y779" s="14">
        <f>+Table1[[#This Row],[Generation Cost 
LCOE (USD/MWh)]]+Table1[[#This Row],[Transmission Cost
LCOT (USD/MWh)]]</f>
        <v>74.569194979999992</v>
      </c>
    </row>
    <row r="780" spans="1:25" x14ac:dyDescent="0.3">
      <c r="A780" s="7">
        <v>779</v>
      </c>
      <c r="B780" s="8">
        <v>7631</v>
      </c>
      <c r="C780" s="9">
        <v>47.074142000000002</v>
      </c>
      <c r="D780" s="9">
        <v>-122.65648</v>
      </c>
      <c r="E780" s="10" t="s">
        <v>42</v>
      </c>
      <c r="F780" s="10" t="s">
        <v>4</v>
      </c>
      <c r="G780" s="10" t="s">
        <v>32</v>
      </c>
      <c r="H780" s="10">
        <v>-8</v>
      </c>
      <c r="I780" s="11">
        <v>79.4375</v>
      </c>
      <c r="J780" s="11">
        <v>3.3132136000000001</v>
      </c>
      <c r="K780" s="11" t="str">
        <f>IF(Table1[[#This Row],[Solar 
Resource]]&lt;3,"Low", IF(Table1[[#This Row],[Solar 
Resource]]&lt;4, "Moderate","High"))</f>
        <v>Moderate</v>
      </c>
      <c r="L780" s="11">
        <v>1.0204991999999999</v>
      </c>
      <c r="M780" s="11">
        <v>45.922135249999997</v>
      </c>
      <c r="N780" s="11">
        <v>1473.6206560000001</v>
      </c>
      <c r="O780" s="11">
        <v>1974.6518160000001</v>
      </c>
      <c r="P780" s="11">
        <f>Table1[[#This Row],[Installed Capacity 
(AC -MW)]]/Table1[[#This Row],[Installed Capacity 
(DC -MW)]]</f>
        <v>0.74626860495592306</v>
      </c>
      <c r="Q780" s="12">
        <v>0.18737054</v>
      </c>
      <c r="R780" s="12">
        <v>0.13982876999999999</v>
      </c>
      <c r="S780" s="13">
        <v>52.570861829999998</v>
      </c>
      <c r="T780" s="11">
        <v>1.7755129860000001</v>
      </c>
      <c r="U780" s="11">
        <v>93.910305140000006</v>
      </c>
      <c r="V780" s="13">
        <v>317263.04739999998</v>
      </c>
      <c r="W780" s="13">
        <v>380982.6</v>
      </c>
      <c r="X780" s="13">
        <v>18.777951999999999</v>
      </c>
      <c r="Y780" s="14">
        <f>+Table1[[#This Row],[Generation Cost 
LCOE (USD/MWh)]]+Table1[[#This Row],[Transmission Cost
LCOT (USD/MWh)]]</f>
        <v>71.348813829999997</v>
      </c>
    </row>
    <row r="781" spans="1:25" x14ac:dyDescent="0.3">
      <c r="A781" s="7">
        <v>780</v>
      </c>
      <c r="B781" s="8">
        <v>7632</v>
      </c>
      <c r="C781" s="9">
        <v>47.10116</v>
      </c>
      <c r="D781" s="9">
        <v>-122.501755</v>
      </c>
      <c r="E781" s="10" t="s">
        <v>42</v>
      </c>
      <c r="F781" s="10" t="s">
        <v>4</v>
      </c>
      <c r="G781" s="10" t="s">
        <v>32</v>
      </c>
      <c r="H781" s="10">
        <v>-8</v>
      </c>
      <c r="I781" s="11">
        <v>111.3529412</v>
      </c>
      <c r="J781" s="11">
        <v>3.272688</v>
      </c>
      <c r="K781" s="11" t="str">
        <f>IF(Table1[[#This Row],[Solar 
Resource]]&lt;3,"Low", IF(Table1[[#This Row],[Solar 
Resource]]&lt;4, "Moderate","High"))</f>
        <v>Moderate</v>
      </c>
      <c r="L781" s="11">
        <v>1.0206021999999999</v>
      </c>
      <c r="M781" s="11">
        <v>55.824306149999998</v>
      </c>
      <c r="N781" s="11">
        <v>1791.376865</v>
      </c>
      <c r="O781" s="11">
        <v>2400.4451650000001</v>
      </c>
      <c r="P781" s="11">
        <f>Table1[[#This Row],[Installed Capacity 
(AC -MW)]]/Table1[[#This Row],[Installed Capacity 
(DC -MW)]]</f>
        <v>0.74626860514016358</v>
      </c>
      <c r="Q781" s="12">
        <v>0.18497369999999999</v>
      </c>
      <c r="R781" s="12">
        <v>0.13804008000000001</v>
      </c>
      <c r="S781" s="13">
        <v>53.256315069999999</v>
      </c>
      <c r="T781" s="11">
        <v>4.8392597359999998</v>
      </c>
      <c r="U781" s="11">
        <v>80.091785669999993</v>
      </c>
      <c r="V781" s="13">
        <v>265367.51209999999</v>
      </c>
      <c r="W781" s="13">
        <v>321802.09999999998</v>
      </c>
      <c r="X781" s="13">
        <v>16.066573999999999</v>
      </c>
      <c r="Y781" s="14">
        <f>+Table1[[#This Row],[Generation Cost 
LCOE (USD/MWh)]]+Table1[[#This Row],[Transmission Cost
LCOT (USD/MWh)]]</f>
        <v>69.322889070000002</v>
      </c>
    </row>
    <row r="782" spans="1:25" x14ac:dyDescent="0.3">
      <c r="A782" s="7">
        <v>781</v>
      </c>
      <c r="B782" s="8">
        <v>7633</v>
      </c>
      <c r="C782" s="9">
        <v>47.128030000000003</v>
      </c>
      <c r="D782" s="9">
        <v>-122.34688</v>
      </c>
      <c r="E782" s="10" t="s">
        <v>42</v>
      </c>
      <c r="F782" s="10" t="s">
        <v>4</v>
      </c>
      <c r="G782" s="10" t="s">
        <v>32</v>
      </c>
      <c r="H782" s="10">
        <v>-8</v>
      </c>
      <c r="I782" s="11">
        <v>125.29411760000001</v>
      </c>
      <c r="J782" s="11">
        <v>3.2443300000000002</v>
      </c>
      <c r="K782" s="11" t="str">
        <f>IF(Table1[[#This Row],[Solar 
Resource]]&lt;3,"Low", IF(Table1[[#This Row],[Solar 
Resource]]&lt;4, "Moderate","High"))</f>
        <v>Moderate</v>
      </c>
      <c r="L782" s="11">
        <v>1.0206286</v>
      </c>
      <c r="M782" s="11">
        <v>15.520086470000001</v>
      </c>
      <c r="N782" s="11">
        <v>498.03259120000001</v>
      </c>
      <c r="O782" s="11">
        <v>667.36371840000004</v>
      </c>
      <c r="P782" s="11">
        <f>Table1[[#This Row],[Installed Capacity 
(AC -MW)]]/Table1[[#This Row],[Installed Capacity 
(DC -MW)]]</f>
        <v>0.74626860506296289</v>
      </c>
      <c r="Q782" s="12">
        <v>0.18255695999999999</v>
      </c>
      <c r="R782" s="12">
        <v>0.13623652999999999</v>
      </c>
      <c r="S782" s="13">
        <v>53.962440469999997</v>
      </c>
      <c r="T782" s="11">
        <v>2.2100714269999999</v>
      </c>
      <c r="U782" s="11">
        <v>73.467967490000007</v>
      </c>
      <c r="V782" s="13">
        <v>233768.1489</v>
      </c>
      <c r="W782" s="13">
        <v>271809.03000000003</v>
      </c>
      <c r="X782" s="13">
        <v>13.750227000000001</v>
      </c>
      <c r="Y782" s="14">
        <f>+Table1[[#This Row],[Generation Cost 
LCOE (USD/MWh)]]+Table1[[#This Row],[Transmission Cost
LCOT (USD/MWh)]]</f>
        <v>67.71266747</v>
      </c>
    </row>
    <row r="783" spans="1:25" x14ac:dyDescent="0.3">
      <c r="A783" s="7">
        <v>782</v>
      </c>
      <c r="B783" s="8">
        <v>7634</v>
      </c>
      <c r="C783" s="9">
        <v>47.154743000000003</v>
      </c>
      <c r="D783" s="9">
        <v>-122.191864</v>
      </c>
      <c r="E783" s="10" t="s">
        <v>42</v>
      </c>
      <c r="F783" s="10" t="s">
        <v>4</v>
      </c>
      <c r="G783" s="10" t="s">
        <v>32</v>
      </c>
      <c r="H783" s="10">
        <v>-8</v>
      </c>
      <c r="I783" s="11">
        <v>147.84210529999999</v>
      </c>
      <c r="J783" s="11">
        <v>3.2032492000000001</v>
      </c>
      <c r="K783" s="11" t="str">
        <f>IF(Table1[[#This Row],[Solar 
Resource]]&lt;3,"Low", IF(Table1[[#This Row],[Solar 
Resource]]&lt;4, "Moderate","High"))</f>
        <v>Moderate</v>
      </c>
      <c r="L783" s="11">
        <v>1.0206465</v>
      </c>
      <c r="M783" s="11">
        <v>22.7646446</v>
      </c>
      <c r="N783" s="11">
        <v>730.5072017</v>
      </c>
      <c r="O783" s="11">
        <v>978.87971800000003</v>
      </c>
      <c r="P783" s="11">
        <f>Table1[[#This Row],[Installed Capacity 
(AC -MW)]]/Table1[[#This Row],[Installed Capacity 
(DC -MW)]]</f>
        <v>0.74626860508718806</v>
      </c>
      <c r="Q783" s="12">
        <v>0.17973226</v>
      </c>
      <c r="R783" s="12">
        <v>0.13412856000000001</v>
      </c>
      <c r="S783" s="13">
        <v>54.811279319999997</v>
      </c>
      <c r="T783" s="11">
        <v>1.955512986</v>
      </c>
      <c r="U783" s="11">
        <v>61.313123339999997</v>
      </c>
      <c r="V783" s="13">
        <v>204040.25140000001</v>
      </c>
      <c r="W783" s="13">
        <v>239355.94</v>
      </c>
      <c r="X783" s="13">
        <v>12.298795</v>
      </c>
      <c r="Y783" s="14">
        <f>+Table1[[#This Row],[Generation Cost 
LCOE (USD/MWh)]]+Table1[[#This Row],[Transmission Cost
LCOT (USD/MWh)]]</f>
        <v>67.110074319999995</v>
      </c>
    </row>
    <row r="784" spans="1:25" x14ac:dyDescent="0.3">
      <c r="A784" s="7">
        <v>783</v>
      </c>
      <c r="B784" s="8">
        <v>7635</v>
      </c>
      <c r="C784" s="9">
        <v>47.181297000000001</v>
      </c>
      <c r="D784" s="9">
        <v>-122.03671</v>
      </c>
      <c r="E784" s="10" t="s">
        <v>42</v>
      </c>
      <c r="F784" s="10" t="s">
        <v>4</v>
      </c>
      <c r="G784" s="10" t="s">
        <v>22</v>
      </c>
      <c r="H784" s="10">
        <v>-8</v>
      </c>
      <c r="I784" s="11">
        <v>218</v>
      </c>
      <c r="J784" s="11">
        <v>3.1671388</v>
      </c>
      <c r="K784" s="11" t="str">
        <f>IF(Table1[[#This Row],[Solar 
Resource]]&lt;3,"Low", IF(Table1[[#This Row],[Solar 
Resource]]&lt;4, "Moderate","High"))</f>
        <v>Moderate</v>
      </c>
      <c r="L784" s="11">
        <v>1.020572</v>
      </c>
      <c r="M784" s="11">
        <v>27.157274999999998</v>
      </c>
      <c r="N784" s="11">
        <v>871.46473449999996</v>
      </c>
      <c r="O784" s="11">
        <v>1167.762825</v>
      </c>
      <c r="P784" s="11">
        <f>Table1[[#This Row],[Installed Capacity 
(AC -MW)]]/Table1[[#This Row],[Installed Capacity 
(DC -MW)]]</f>
        <v>0.74626860509966997</v>
      </c>
      <c r="Q784" s="12">
        <v>0.17701565999999999</v>
      </c>
      <c r="R784" s="12">
        <v>0.13210124000000001</v>
      </c>
      <c r="S784" s="13">
        <v>55.64922756</v>
      </c>
      <c r="T784" s="11">
        <v>1.160954544</v>
      </c>
      <c r="U784" s="11">
        <v>64.711285680000003</v>
      </c>
      <c r="V784" s="13">
        <v>232117.62409999999</v>
      </c>
      <c r="W784" s="13">
        <v>275578.65999999997</v>
      </c>
      <c r="X784" s="13">
        <v>14.377331</v>
      </c>
      <c r="Y784" s="14">
        <f>+Table1[[#This Row],[Generation Cost 
LCOE (USD/MWh)]]+Table1[[#This Row],[Transmission Cost
LCOT (USD/MWh)]]</f>
        <v>70.026558559999998</v>
      </c>
    </row>
    <row r="785" spans="1:25" x14ac:dyDescent="0.3">
      <c r="A785" s="7">
        <v>784</v>
      </c>
      <c r="B785" s="8">
        <v>7636</v>
      </c>
      <c r="C785" s="9">
        <v>47.207706000000002</v>
      </c>
      <c r="D785" s="9">
        <v>-121.88141</v>
      </c>
      <c r="E785" s="10" t="s">
        <v>42</v>
      </c>
      <c r="F785" s="10" t="s">
        <v>4</v>
      </c>
      <c r="G785" s="10" t="s">
        <v>22</v>
      </c>
      <c r="H785" s="10">
        <v>-8</v>
      </c>
      <c r="I785" s="11">
        <v>559.625</v>
      </c>
      <c r="J785" s="11">
        <v>3.0926619</v>
      </c>
      <c r="K785" s="11" t="str">
        <f>IF(Table1[[#This Row],[Solar 
Resource]]&lt;3,"Low", IF(Table1[[#This Row],[Solar 
Resource]]&lt;4, "Moderate","High"))</f>
        <v>Moderate</v>
      </c>
      <c r="L785" s="11">
        <v>1.0204172</v>
      </c>
      <c r="M785" s="11">
        <v>19.766108060000001</v>
      </c>
      <c r="N785" s="11">
        <v>634.28543769999999</v>
      </c>
      <c r="O785" s="11">
        <v>849.94264639999994</v>
      </c>
      <c r="P785" s="11">
        <f>Table1[[#This Row],[Installed Capacity 
(AC -MW)]]/Table1[[#This Row],[Installed Capacity 
(DC -MW)]]</f>
        <v>0.74626851633644542</v>
      </c>
      <c r="Q785" s="12">
        <v>0.17368047</v>
      </c>
      <c r="R785" s="12">
        <v>0.12961230000000001</v>
      </c>
      <c r="S785" s="13">
        <v>56.711057789999998</v>
      </c>
      <c r="T785" s="11">
        <v>4.14374675</v>
      </c>
      <c r="U785" s="11">
        <v>74.006870090000007</v>
      </c>
      <c r="V785" s="13">
        <v>278710.67910000001</v>
      </c>
      <c r="W785" s="13">
        <v>365435.44</v>
      </c>
      <c r="X785" s="13">
        <v>19.4314</v>
      </c>
      <c r="Y785" s="14">
        <f>+Table1[[#This Row],[Generation Cost 
LCOE (USD/MWh)]]+Table1[[#This Row],[Transmission Cost
LCOT (USD/MWh)]]</f>
        <v>76.142457789999995</v>
      </c>
    </row>
    <row r="786" spans="1:25" x14ac:dyDescent="0.3">
      <c r="A786" s="7">
        <v>785</v>
      </c>
      <c r="B786" s="8">
        <v>7637</v>
      </c>
      <c r="C786" s="9">
        <v>47.233963000000003</v>
      </c>
      <c r="D786" s="9">
        <v>-121.72597</v>
      </c>
      <c r="E786" s="10" t="s">
        <v>42</v>
      </c>
      <c r="F786" s="10" t="s">
        <v>4</v>
      </c>
      <c r="G786" s="10" t="s">
        <v>22</v>
      </c>
      <c r="H786" s="10">
        <v>-8</v>
      </c>
      <c r="I786" s="11">
        <v>700.30769229999999</v>
      </c>
      <c r="J786" s="11">
        <v>3.1613397999999999</v>
      </c>
      <c r="K786" s="11" t="str">
        <f>IF(Table1[[#This Row],[Solar 
Resource]]&lt;3,"Low", IF(Table1[[#This Row],[Solar 
Resource]]&lt;4, "Moderate","High"))</f>
        <v>Moderate</v>
      </c>
      <c r="L786" s="11">
        <v>1.0201344000000001</v>
      </c>
      <c r="M786" s="11">
        <v>2.6893621579999998</v>
      </c>
      <c r="N786" s="11">
        <v>86.300421490000005</v>
      </c>
      <c r="O786" s="11">
        <v>115.6425728</v>
      </c>
      <c r="P786" s="11">
        <f>Table1[[#This Row],[Installed Capacity 
(AC -MW)]]/Table1[[#This Row],[Installed Capacity 
(DC -MW)]]</f>
        <v>0.74626860506859982</v>
      </c>
      <c r="Q786" s="12">
        <v>0.17905591000000001</v>
      </c>
      <c r="R786" s="12">
        <v>0.13362382</v>
      </c>
      <c r="S786" s="13">
        <v>54.996474659999997</v>
      </c>
      <c r="T786" s="11">
        <v>0.25455844100000002</v>
      </c>
      <c r="U786" s="11">
        <v>86.036629820000002</v>
      </c>
      <c r="V786" s="13">
        <v>314605.65980000002</v>
      </c>
      <c r="W786" s="13">
        <v>353039.16</v>
      </c>
      <c r="X786" s="13">
        <v>18.208687000000001</v>
      </c>
      <c r="Y786" s="14">
        <f>+Table1[[#This Row],[Generation Cost 
LCOE (USD/MWh)]]+Table1[[#This Row],[Transmission Cost
LCOT (USD/MWh)]]</f>
        <v>73.205161660000002</v>
      </c>
    </row>
    <row r="787" spans="1:25" x14ac:dyDescent="0.3">
      <c r="A787" s="7">
        <v>786</v>
      </c>
      <c r="B787" s="8">
        <v>7638</v>
      </c>
      <c r="C787" s="9">
        <v>47.260063000000002</v>
      </c>
      <c r="D787" s="9">
        <v>-121.57037</v>
      </c>
      <c r="E787" s="10" t="s">
        <v>42</v>
      </c>
      <c r="F787" s="10" t="s">
        <v>4</v>
      </c>
      <c r="G787" s="10" t="s">
        <v>22</v>
      </c>
      <c r="H787" s="10">
        <v>-8</v>
      </c>
      <c r="I787" s="11">
        <v>959.7</v>
      </c>
      <c r="J787" s="11">
        <v>3.2366955000000002</v>
      </c>
      <c r="K787" s="11" t="str">
        <f>IF(Table1[[#This Row],[Solar 
Resource]]&lt;3,"Low", IF(Table1[[#This Row],[Solar 
Resource]]&lt;4, "Moderate","High"))</f>
        <v>Moderate</v>
      </c>
      <c r="L787" s="11">
        <v>1.0188556</v>
      </c>
      <c r="M787" s="11">
        <v>1.3394158810000001</v>
      </c>
      <c r="N787" s="11">
        <v>42.981258029999999</v>
      </c>
      <c r="O787" s="11">
        <v>57.594882900000002</v>
      </c>
      <c r="P787" s="11">
        <f>Table1[[#This Row],[Installed Capacity 
(AC -MW)]]/Table1[[#This Row],[Installed Capacity 
(DC -MW)]]</f>
        <v>0.7462686937766132</v>
      </c>
      <c r="Q787" s="12">
        <v>0.18507007</v>
      </c>
      <c r="R787" s="12">
        <v>0.13811198</v>
      </c>
      <c r="S787" s="13">
        <v>55.986409330000001</v>
      </c>
      <c r="T787" s="11">
        <v>4.7274220739999997</v>
      </c>
      <c r="U787" s="11">
        <v>83.674792159999996</v>
      </c>
      <c r="V787" s="13">
        <v>285911.77010000002</v>
      </c>
      <c r="W787" s="13">
        <v>380511.7</v>
      </c>
      <c r="X787" s="13">
        <v>18.987870000000001</v>
      </c>
      <c r="Y787" s="14">
        <f>+Table1[[#This Row],[Generation Cost 
LCOE (USD/MWh)]]+Table1[[#This Row],[Transmission Cost
LCOT (USD/MWh)]]</f>
        <v>74.974279330000002</v>
      </c>
    </row>
    <row r="788" spans="1:25" x14ac:dyDescent="0.3">
      <c r="A788" s="7">
        <v>787</v>
      </c>
      <c r="B788" s="8">
        <v>7639</v>
      </c>
      <c r="C788" s="9">
        <v>47.286009999999997</v>
      </c>
      <c r="D788" s="9">
        <v>-121.41464999999999</v>
      </c>
      <c r="E788" s="10" t="s">
        <v>42</v>
      </c>
      <c r="F788" s="10" t="s">
        <v>4</v>
      </c>
      <c r="G788" s="10" t="s">
        <v>24</v>
      </c>
      <c r="H788" s="10">
        <v>-8</v>
      </c>
      <c r="I788" s="11">
        <v>1059.75</v>
      </c>
      <c r="J788" s="11">
        <v>3.4334834000000001</v>
      </c>
      <c r="K788" s="11" t="str">
        <f>IF(Table1[[#This Row],[Solar 
Resource]]&lt;3,"Low", IF(Table1[[#This Row],[Solar 
Resource]]&lt;4, "Moderate","High"))</f>
        <v>Moderate</v>
      </c>
      <c r="L788" s="11">
        <v>1.0180686999999999</v>
      </c>
      <c r="M788" s="11">
        <v>0.383049007</v>
      </c>
      <c r="N788" s="11">
        <v>12.291870279999999</v>
      </c>
      <c r="O788" s="11">
        <v>16.471107320000002</v>
      </c>
      <c r="P788" s="11">
        <f>Table1[[#This Row],[Installed Capacity 
(AC -MW)]]/Table1[[#This Row],[Installed Capacity 
(DC -MW)]]</f>
        <v>0.74626860484811641</v>
      </c>
      <c r="Q788" s="12">
        <v>0.19777420000000001</v>
      </c>
      <c r="R788" s="12">
        <v>0.14759268</v>
      </c>
      <c r="S788" s="13">
        <v>60.053953120000003</v>
      </c>
      <c r="T788" s="11">
        <v>4.0164675299999999</v>
      </c>
      <c r="U788" s="11">
        <v>103.24801290000001</v>
      </c>
      <c r="V788" s="13">
        <v>355706.83559999999</v>
      </c>
      <c r="W788" s="13">
        <v>442160.94</v>
      </c>
      <c r="X788" s="13">
        <v>20.646915</v>
      </c>
      <c r="Y788" s="14">
        <f>+Table1[[#This Row],[Generation Cost 
LCOE (USD/MWh)]]+Table1[[#This Row],[Transmission Cost
LCOT (USD/MWh)]]</f>
        <v>80.700868119999996</v>
      </c>
    </row>
    <row r="789" spans="1:25" x14ac:dyDescent="0.3">
      <c r="A789" s="7">
        <v>788</v>
      </c>
      <c r="B789" s="8">
        <v>7640</v>
      </c>
      <c r="C789" s="9">
        <v>47.311805999999997</v>
      </c>
      <c r="D789" s="9">
        <v>-121.25879</v>
      </c>
      <c r="E789" s="10" t="s">
        <v>42</v>
      </c>
      <c r="F789" s="10" t="s">
        <v>4</v>
      </c>
      <c r="G789" s="10" t="s">
        <v>24</v>
      </c>
      <c r="H789" s="10">
        <v>-8</v>
      </c>
      <c r="I789" s="11">
        <v>876.09090909999998</v>
      </c>
      <c r="J789" s="11">
        <v>3.4937623000000002</v>
      </c>
      <c r="K789" s="11" t="str">
        <f>IF(Table1[[#This Row],[Solar 
Resource]]&lt;3,"Low", IF(Table1[[#This Row],[Solar 
Resource]]&lt;4, "Moderate","High"))</f>
        <v>Moderate</v>
      </c>
      <c r="L789" s="11">
        <v>1.0173596</v>
      </c>
      <c r="M789" s="11">
        <v>2.4018121579999998</v>
      </c>
      <c r="N789" s="11">
        <v>77.073062219999997</v>
      </c>
      <c r="O789" s="11">
        <v>103.2779228</v>
      </c>
      <c r="P789" s="11">
        <f>Table1[[#This Row],[Installed Capacity 
(AC -MW)]]/Table1[[#This Row],[Installed Capacity 
(DC -MW)]]</f>
        <v>0.74626851635323554</v>
      </c>
      <c r="Q789" s="12">
        <v>0.20035374</v>
      </c>
      <c r="R789" s="12">
        <v>0.14951772999999999</v>
      </c>
      <c r="S789" s="13">
        <v>49.044475779999999</v>
      </c>
      <c r="T789" s="11">
        <v>4.5937467500000002</v>
      </c>
      <c r="U789" s="11">
        <v>112.95101940000001</v>
      </c>
      <c r="V789" s="13">
        <v>393523.92920000001</v>
      </c>
      <c r="W789" s="13">
        <v>483443.4</v>
      </c>
      <c r="X789" s="13">
        <v>22.283971999999999</v>
      </c>
      <c r="Y789" s="14">
        <f>+Table1[[#This Row],[Generation Cost 
LCOE (USD/MWh)]]+Table1[[#This Row],[Transmission Cost
LCOT (USD/MWh)]]</f>
        <v>71.328447780000005</v>
      </c>
    </row>
    <row r="790" spans="1:25" x14ac:dyDescent="0.3">
      <c r="A790" s="7">
        <v>789</v>
      </c>
      <c r="B790" s="8">
        <v>7641</v>
      </c>
      <c r="C790" s="9">
        <v>47.337443999999998</v>
      </c>
      <c r="D790" s="9">
        <v>-121.10277600000001</v>
      </c>
      <c r="E790" s="10" t="s">
        <v>42</v>
      </c>
      <c r="F790" s="10" t="s">
        <v>4</v>
      </c>
      <c r="G790" s="10" t="s">
        <v>24</v>
      </c>
      <c r="H790" s="10">
        <v>-8</v>
      </c>
      <c r="I790" s="11">
        <v>827</v>
      </c>
      <c r="J790" s="11">
        <v>3.8250673000000002</v>
      </c>
      <c r="K790" s="11" t="str">
        <f>IF(Table1[[#This Row],[Solar 
Resource]]&lt;3,"Low", IF(Table1[[#This Row],[Solar 
Resource]]&lt;4, "Moderate","High"))</f>
        <v>Moderate</v>
      </c>
      <c r="L790" s="11">
        <v>1.0160400000000001</v>
      </c>
      <c r="M790" s="11">
        <v>0.33777000600000001</v>
      </c>
      <c r="N790" s="11">
        <v>10.838887509999999</v>
      </c>
      <c r="O790" s="11">
        <v>14.52411027</v>
      </c>
      <c r="P790" s="11">
        <f>Table1[[#This Row],[Installed Capacity 
(AC -MW)]]/Table1[[#This Row],[Installed Capacity 
(DC -MW)]]</f>
        <v>0.74626860499593273</v>
      </c>
      <c r="Q790" s="12">
        <v>0.22366837000000001</v>
      </c>
      <c r="R790" s="12">
        <v>0.16691671</v>
      </c>
      <c r="S790" s="13">
        <v>53.761848430000001</v>
      </c>
      <c r="T790" s="11">
        <v>17.77587012</v>
      </c>
      <c r="U790" s="11">
        <v>119.806461</v>
      </c>
      <c r="V790" s="13">
        <v>389266.76040000003</v>
      </c>
      <c r="W790" s="13">
        <v>516336.9</v>
      </c>
      <c r="X790" s="13">
        <v>21.319305</v>
      </c>
      <c r="Y790" s="14">
        <f>+Table1[[#This Row],[Generation Cost 
LCOE (USD/MWh)]]+Table1[[#This Row],[Transmission Cost
LCOT (USD/MWh)]]</f>
        <v>75.081153430000001</v>
      </c>
    </row>
    <row r="791" spans="1:25" x14ac:dyDescent="0.3">
      <c r="A791" s="7">
        <v>790</v>
      </c>
      <c r="B791" s="8">
        <v>7644</v>
      </c>
      <c r="C791" s="9">
        <v>47.413429999999998</v>
      </c>
      <c r="D791" s="9">
        <v>-120.63392</v>
      </c>
      <c r="E791" s="10" t="s">
        <v>42</v>
      </c>
      <c r="F791" s="10" t="s">
        <v>4</v>
      </c>
      <c r="G791" s="10" t="s">
        <v>11</v>
      </c>
      <c r="H791" s="10">
        <v>-8</v>
      </c>
      <c r="I791" s="11">
        <v>1055.090909</v>
      </c>
      <c r="J791" s="11">
        <v>3.9502790000000001</v>
      </c>
      <c r="K791" s="11" t="str">
        <f>IF(Table1[[#This Row],[Solar 
Resource]]&lt;3,"Low", IF(Table1[[#This Row],[Solar 
Resource]]&lt;4, "Moderate","High"))</f>
        <v>Moderate</v>
      </c>
      <c r="L791" s="11">
        <v>1.012006</v>
      </c>
      <c r="M791" s="11">
        <v>0.30034801500000002</v>
      </c>
      <c r="N791" s="11">
        <v>9.6380326449999991</v>
      </c>
      <c r="O791" s="11">
        <v>12.914964640000001</v>
      </c>
      <c r="P791" s="11">
        <f>Table1[[#This Row],[Installed Capacity 
(AC -MW)]]/Table1[[#This Row],[Installed Capacity 
(DC -MW)]]</f>
        <v>0.74626860495995895</v>
      </c>
      <c r="Q791" s="12">
        <v>0.23774672999999999</v>
      </c>
      <c r="R791" s="12">
        <v>0.17742297000000001</v>
      </c>
      <c r="S791" s="13">
        <v>51.076729309999997</v>
      </c>
      <c r="T791" s="11">
        <v>17.724246740000002</v>
      </c>
      <c r="U791" s="11">
        <v>131.47137649999999</v>
      </c>
      <c r="V791" s="13">
        <v>407445.65659999999</v>
      </c>
      <c r="W791" s="13">
        <v>589359.4</v>
      </c>
      <c r="X791" s="13">
        <v>22.893387000000001</v>
      </c>
      <c r="Y791" s="14">
        <f>+Table1[[#This Row],[Generation Cost 
LCOE (USD/MWh)]]+Table1[[#This Row],[Transmission Cost
LCOT (USD/MWh)]]</f>
        <v>73.970116309999995</v>
      </c>
    </row>
    <row r="792" spans="1:25" x14ac:dyDescent="0.3">
      <c r="A792" s="7">
        <v>791</v>
      </c>
      <c r="B792" s="8">
        <v>7645</v>
      </c>
      <c r="C792" s="9">
        <v>47.438454</v>
      </c>
      <c r="D792" s="9">
        <v>-120.477356</v>
      </c>
      <c r="E792" s="10" t="s">
        <v>42</v>
      </c>
      <c r="F792" s="10" t="s">
        <v>4</v>
      </c>
      <c r="G792" s="10" t="s">
        <v>11</v>
      </c>
      <c r="H792" s="10">
        <v>-8</v>
      </c>
      <c r="I792" s="11">
        <v>624.7857143</v>
      </c>
      <c r="J792" s="11">
        <v>3.9591536999999999</v>
      </c>
      <c r="K792" s="11" t="str">
        <f>IF(Table1[[#This Row],[Solar 
Resource]]&lt;3,"Low", IF(Table1[[#This Row],[Solar 
Resource]]&lt;4, "Moderate","High"))</f>
        <v>Moderate</v>
      </c>
      <c r="L792" s="11">
        <v>1.0106264</v>
      </c>
      <c r="M792" s="11">
        <v>0.82020601699999995</v>
      </c>
      <c r="N792" s="11">
        <v>26.320042019999999</v>
      </c>
      <c r="O792" s="11">
        <v>35.268858739999999</v>
      </c>
      <c r="P792" s="11">
        <f>Table1[[#This Row],[Installed Capacity 
(AC -MW)]]/Table1[[#This Row],[Installed Capacity 
(DC -MW)]]</f>
        <v>0.74626860523131289</v>
      </c>
      <c r="Q792" s="12">
        <v>0.23590597999999999</v>
      </c>
      <c r="R792" s="12">
        <v>0.17604923</v>
      </c>
      <c r="S792" s="13">
        <v>46.01908134</v>
      </c>
      <c r="T792" s="11">
        <v>7.3155844119999998</v>
      </c>
      <c r="U792" s="11">
        <v>114.31911030000001</v>
      </c>
      <c r="V792" s="13">
        <v>340930.44150000002</v>
      </c>
      <c r="W792" s="13">
        <v>448667.66</v>
      </c>
      <c r="X792" s="13">
        <v>17.564274000000001</v>
      </c>
      <c r="Y792" s="14">
        <f>+Table1[[#This Row],[Generation Cost 
LCOE (USD/MWh)]]+Table1[[#This Row],[Transmission Cost
LCOT (USD/MWh)]]</f>
        <v>63.583355339999997</v>
      </c>
    </row>
    <row r="793" spans="1:25" x14ac:dyDescent="0.3">
      <c r="A793" s="7">
        <v>792</v>
      </c>
      <c r="B793" s="8">
        <v>7646</v>
      </c>
      <c r="C793" s="9">
        <v>47.463318000000001</v>
      </c>
      <c r="D793" s="9">
        <v>-120.32066</v>
      </c>
      <c r="E793" s="10" t="s">
        <v>42</v>
      </c>
      <c r="F793" s="10" t="s">
        <v>4</v>
      </c>
      <c r="G793" s="10" t="s">
        <v>11</v>
      </c>
      <c r="H793" s="10">
        <v>-8</v>
      </c>
      <c r="I793" s="11">
        <v>474.125</v>
      </c>
      <c r="J793" s="11">
        <v>4.0489179999999996</v>
      </c>
      <c r="K793" s="11" t="str">
        <f>IF(Table1[[#This Row],[Solar 
Resource]]&lt;3,"Low", IF(Table1[[#This Row],[Solar 
Resource]]&lt;4, "Moderate","High"))</f>
        <v>High</v>
      </c>
      <c r="L793" s="11">
        <v>1.0082414</v>
      </c>
      <c r="M793" s="11">
        <v>9.5040537230000002</v>
      </c>
      <c r="N793" s="11">
        <v>304.98080729999998</v>
      </c>
      <c r="O793" s="11">
        <v>408.67431010000001</v>
      </c>
      <c r="P793" s="11">
        <f>Table1[[#This Row],[Installed Capacity 
(AC -MW)]]/Table1[[#This Row],[Installed Capacity 
(DC -MW)]]</f>
        <v>0.74626860500571501</v>
      </c>
      <c r="Q793" s="12">
        <v>0.2438266</v>
      </c>
      <c r="R793" s="12">
        <v>0.18196014999999999</v>
      </c>
      <c r="S793" s="13">
        <v>40.014468100000002</v>
      </c>
      <c r="T793" s="11">
        <v>0.18</v>
      </c>
      <c r="U793" s="11">
        <v>112.2235259</v>
      </c>
      <c r="V793" s="13">
        <v>338744.06069999997</v>
      </c>
      <c r="W793" s="13">
        <v>378092.2</v>
      </c>
      <c r="X793" s="13">
        <v>14.320595000000001</v>
      </c>
      <c r="Y793" s="14">
        <f>+Table1[[#This Row],[Generation Cost 
LCOE (USD/MWh)]]+Table1[[#This Row],[Transmission Cost
LCOT (USD/MWh)]]</f>
        <v>54.335063099999999</v>
      </c>
    </row>
    <row r="794" spans="1:25" x14ac:dyDescent="0.3">
      <c r="A794" s="7">
        <v>793</v>
      </c>
      <c r="B794" s="8">
        <v>7647</v>
      </c>
      <c r="C794" s="9">
        <v>47.488025999999998</v>
      </c>
      <c r="D794" s="9">
        <v>-120.16382</v>
      </c>
      <c r="E794" s="10" t="s">
        <v>42</v>
      </c>
      <c r="F794" s="10" t="s">
        <v>4</v>
      </c>
      <c r="G794" s="10" t="s">
        <v>13</v>
      </c>
      <c r="H794" s="10">
        <v>-8</v>
      </c>
      <c r="I794" s="11">
        <v>912.9375</v>
      </c>
      <c r="J794" s="11">
        <v>4.1048635999999998</v>
      </c>
      <c r="K794" s="11" t="str">
        <f>IF(Table1[[#This Row],[Solar 
Resource]]&lt;3,"Low", IF(Table1[[#This Row],[Solar 
Resource]]&lt;4, "Moderate","High"))</f>
        <v>High</v>
      </c>
      <c r="L794" s="11">
        <v>1.0063848</v>
      </c>
      <c r="M794" s="11">
        <v>34.25781885</v>
      </c>
      <c r="N794" s="11">
        <v>1099.317861</v>
      </c>
      <c r="O794" s="11">
        <v>1473.0862099999999</v>
      </c>
      <c r="P794" s="11">
        <f>Table1[[#This Row],[Installed Capacity 
(AC -MW)]]/Table1[[#This Row],[Installed Capacity 
(DC -MW)]]</f>
        <v>0.74626851676250505</v>
      </c>
      <c r="Q794" s="12">
        <v>0.25121805000000003</v>
      </c>
      <c r="R794" s="12">
        <v>0.18747616</v>
      </c>
      <c r="S794" s="13">
        <v>38.78067746</v>
      </c>
      <c r="T794" s="11">
        <v>5.0991168819999997</v>
      </c>
      <c r="U794" s="11">
        <v>105.260448</v>
      </c>
      <c r="V794" s="13">
        <v>311053.73210000002</v>
      </c>
      <c r="W794" s="13">
        <v>388332.84</v>
      </c>
      <c r="X794" s="13">
        <v>14.275709000000001</v>
      </c>
      <c r="Y794" s="14">
        <f>+Table1[[#This Row],[Generation Cost 
LCOE (USD/MWh)]]+Table1[[#This Row],[Transmission Cost
LCOT (USD/MWh)]]</f>
        <v>53.056386459999999</v>
      </c>
    </row>
    <row r="795" spans="1:25" x14ac:dyDescent="0.3">
      <c r="A795" s="7">
        <v>794</v>
      </c>
      <c r="B795" s="8">
        <v>7648</v>
      </c>
      <c r="C795" s="9">
        <v>47.512577</v>
      </c>
      <c r="D795" s="9">
        <v>-120.00686</v>
      </c>
      <c r="E795" s="10" t="s">
        <v>42</v>
      </c>
      <c r="F795" s="10" t="s">
        <v>4</v>
      </c>
      <c r="G795" s="10" t="s">
        <v>13</v>
      </c>
      <c r="H795" s="10">
        <v>-8</v>
      </c>
      <c r="I795" s="11">
        <v>842.47368419999998</v>
      </c>
      <c r="J795" s="11">
        <v>4.0502076000000002</v>
      </c>
      <c r="K795" s="11" t="str">
        <f>IF(Table1[[#This Row],[Solar 
Resource]]&lt;3,"Low", IF(Table1[[#This Row],[Solar 
Resource]]&lt;4, "Moderate","High"))</f>
        <v>High</v>
      </c>
      <c r="L795" s="11">
        <v>1.0042359999999999</v>
      </c>
      <c r="M795" s="11">
        <v>29.622427729999998</v>
      </c>
      <c r="N795" s="11">
        <v>950.57048940000004</v>
      </c>
      <c r="O795" s="11">
        <v>1273.7643929999999</v>
      </c>
      <c r="P795" s="11">
        <f>Table1[[#This Row],[Installed Capacity 
(AC -MW)]]/Table1[[#This Row],[Installed Capacity 
(DC -MW)]]</f>
        <v>0.74626869350712033</v>
      </c>
      <c r="Q795" s="12">
        <v>0.24730468</v>
      </c>
      <c r="R795" s="12">
        <v>0.18455572000000001</v>
      </c>
      <c r="S795" s="13">
        <v>39.327976300000003</v>
      </c>
      <c r="T795" s="11">
        <v>16.172409080000001</v>
      </c>
      <c r="U795" s="11">
        <v>120.3080843</v>
      </c>
      <c r="V795" s="13">
        <v>361074.89279999997</v>
      </c>
      <c r="W795" s="13">
        <v>489410.38</v>
      </c>
      <c r="X795" s="13">
        <v>18.276173</v>
      </c>
      <c r="Y795" s="14">
        <f>+Table1[[#This Row],[Generation Cost 
LCOE (USD/MWh)]]+Table1[[#This Row],[Transmission Cost
LCOT (USD/MWh)]]</f>
        <v>57.604149300000003</v>
      </c>
    </row>
    <row r="796" spans="1:25" x14ac:dyDescent="0.3">
      <c r="A796" s="7">
        <v>795</v>
      </c>
      <c r="B796" s="8">
        <v>7649</v>
      </c>
      <c r="C796" s="9">
        <v>47.536976000000003</v>
      </c>
      <c r="D796" s="9">
        <v>-119.84975</v>
      </c>
      <c r="E796" s="10" t="s">
        <v>42</v>
      </c>
      <c r="F796" s="10" t="s">
        <v>4</v>
      </c>
      <c r="G796" s="10" t="s">
        <v>13</v>
      </c>
      <c r="H796" s="10">
        <v>-8</v>
      </c>
      <c r="I796" s="11">
        <v>668.47368419999998</v>
      </c>
      <c r="J796" s="11">
        <v>4.0039030000000002</v>
      </c>
      <c r="K796" s="11" t="str">
        <f>IF(Table1[[#This Row],[Solar 
Resource]]&lt;3,"Low", IF(Table1[[#This Row],[Solar 
Resource]]&lt;4, "Moderate","High"))</f>
        <v>High</v>
      </c>
      <c r="L796" s="11">
        <v>1.0020081000000001</v>
      </c>
      <c r="M796" s="11">
        <v>44.679762160000003</v>
      </c>
      <c r="N796" s="11">
        <v>1433.753463</v>
      </c>
      <c r="O796" s="11">
        <v>1921.229773</v>
      </c>
      <c r="P796" s="11">
        <f>Table1[[#This Row],[Installed Capacity 
(AC -MW)]]/Table1[[#This Row],[Installed Capacity 
(DC -MW)]]</f>
        <v>0.74626860521799754</v>
      </c>
      <c r="Q796" s="12">
        <v>0.24304124999999999</v>
      </c>
      <c r="R796" s="12">
        <v>0.18137407</v>
      </c>
      <c r="S796" s="13">
        <v>39.947834360000002</v>
      </c>
      <c r="T796" s="11">
        <v>17.463292190000001</v>
      </c>
      <c r="U796" s="11">
        <v>103.0951493</v>
      </c>
      <c r="V796" s="13">
        <v>291170.99420000002</v>
      </c>
      <c r="W796" s="13">
        <v>416971.8</v>
      </c>
      <c r="X796" s="13">
        <v>15.84423</v>
      </c>
      <c r="Y796" s="14">
        <f>+Table1[[#This Row],[Generation Cost 
LCOE (USD/MWh)]]+Table1[[#This Row],[Transmission Cost
LCOT (USD/MWh)]]</f>
        <v>55.792064359999998</v>
      </c>
    </row>
    <row r="797" spans="1:25" x14ac:dyDescent="0.3">
      <c r="A797" s="7">
        <v>796</v>
      </c>
      <c r="B797" s="8">
        <v>7650</v>
      </c>
      <c r="C797" s="9">
        <v>47.561219999999999</v>
      </c>
      <c r="D797" s="9">
        <v>-119.69252</v>
      </c>
      <c r="E797" s="10" t="s">
        <v>42</v>
      </c>
      <c r="F797" s="10" t="s">
        <v>4</v>
      </c>
      <c r="G797" s="10" t="s">
        <v>13</v>
      </c>
      <c r="H797" s="10">
        <v>-8</v>
      </c>
      <c r="I797" s="11">
        <v>673</v>
      </c>
      <c r="J797" s="11">
        <v>4.0117050000000001</v>
      </c>
      <c r="K797" s="11" t="str">
        <f>IF(Table1[[#This Row],[Solar 
Resource]]&lt;3,"Low", IF(Table1[[#This Row],[Solar 
Resource]]&lt;4, "Moderate","High"))</f>
        <v>High</v>
      </c>
      <c r="L797" s="11">
        <v>0.99969730000000001</v>
      </c>
      <c r="M797" s="11">
        <v>39.955599319999997</v>
      </c>
      <c r="N797" s="11">
        <v>1282.15705</v>
      </c>
      <c r="O797" s="11">
        <v>1718.0907709999999</v>
      </c>
      <c r="P797" s="11">
        <f>Table1[[#This Row],[Installed Capacity 
(AC -MW)]]/Table1[[#This Row],[Installed Capacity 
(DC -MW)]]</f>
        <v>0.74626851598401378</v>
      </c>
      <c r="Q797" s="12">
        <v>0.24449651999999999</v>
      </c>
      <c r="R797" s="12">
        <v>0.18246009999999999</v>
      </c>
      <c r="S797" s="13">
        <v>39.637861180000002</v>
      </c>
      <c r="T797" s="11">
        <v>11.084987</v>
      </c>
      <c r="U797" s="11">
        <v>115.1791817</v>
      </c>
      <c r="V797" s="13">
        <v>322792.58630000002</v>
      </c>
      <c r="W797" s="13">
        <v>427900.06</v>
      </c>
      <c r="X797" s="13">
        <v>16.162704000000002</v>
      </c>
      <c r="Y797" s="14">
        <f>+Table1[[#This Row],[Generation Cost 
LCOE (USD/MWh)]]+Table1[[#This Row],[Transmission Cost
LCOT (USD/MWh)]]</f>
        <v>55.800565180000007</v>
      </c>
    </row>
    <row r="798" spans="1:25" x14ac:dyDescent="0.3">
      <c r="A798" s="7">
        <v>797</v>
      </c>
      <c r="B798" s="8">
        <v>7651</v>
      </c>
      <c r="C798" s="9">
        <v>47.585304000000001</v>
      </c>
      <c r="D798" s="9">
        <v>-119.53514</v>
      </c>
      <c r="E798" s="10" t="s">
        <v>42</v>
      </c>
      <c r="F798" s="10" t="s">
        <v>4</v>
      </c>
      <c r="G798" s="10" t="s">
        <v>13</v>
      </c>
      <c r="H798" s="10">
        <v>-8</v>
      </c>
      <c r="I798" s="11">
        <v>716.05555560000005</v>
      </c>
      <c r="J798" s="11">
        <v>4.0051055</v>
      </c>
      <c r="K798" s="11" t="str">
        <f>IF(Table1[[#This Row],[Solar 
Resource]]&lt;3,"Low", IF(Table1[[#This Row],[Solar 
Resource]]&lt;4, "Moderate","High"))</f>
        <v>High</v>
      </c>
      <c r="L798" s="11">
        <v>0.99736689999999995</v>
      </c>
      <c r="M798" s="11">
        <v>30.24458723</v>
      </c>
      <c r="N798" s="11">
        <v>970.53519470000003</v>
      </c>
      <c r="O798" s="11">
        <v>1300.517251</v>
      </c>
      <c r="P798" s="11">
        <f>Table1[[#This Row],[Installed Capacity 
(AC -MW)]]/Table1[[#This Row],[Installed Capacity 
(DC -MW)]]</f>
        <v>0.7462686050136832</v>
      </c>
      <c r="Q798" s="12">
        <v>0.24418434999999999</v>
      </c>
      <c r="R798" s="12">
        <v>0.18222712999999999</v>
      </c>
      <c r="S798" s="13">
        <v>39.615635320000003</v>
      </c>
      <c r="T798" s="11">
        <v>4.845655839</v>
      </c>
      <c r="U798" s="11">
        <v>126.52777260000001</v>
      </c>
      <c r="V798" s="13">
        <v>357172.1004</v>
      </c>
      <c r="W798" s="13">
        <v>428137.62</v>
      </c>
      <c r="X798" s="13">
        <v>16.192352</v>
      </c>
      <c r="Y798" s="14">
        <f>+Table1[[#This Row],[Generation Cost 
LCOE (USD/MWh)]]+Table1[[#This Row],[Transmission Cost
LCOT (USD/MWh)]]</f>
        <v>55.807987320000002</v>
      </c>
    </row>
    <row r="799" spans="1:25" x14ac:dyDescent="0.3">
      <c r="A799" s="7">
        <v>798</v>
      </c>
      <c r="B799" s="8">
        <v>7652</v>
      </c>
      <c r="C799" s="9">
        <v>47.609229999999997</v>
      </c>
      <c r="D799" s="9">
        <v>-119.37764</v>
      </c>
      <c r="E799" s="10" t="s">
        <v>42</v>
      </c>
      <c r="F799" s="10" t="s">
        <v>4</v>
      </c>
      <c r="G799" s="10" t="s">
        <v>13</v>
      </c>
      <c r="H799" s="10">
        <v>-8</v>
      </c>
      <c r="I799" s="11">
        <v>644.20000000000005</v>
      </c>
      <c r="J799" s="11">
        <v>3.9629897999999999</v>
      </c>
      <c r="K799" s="11" t="str">
        <f>IF(Table1[[#This Row],[Solar 
Resource]]&lt;3,"Low", IF(Table1[[#This Row],[Solar 
Resource]]&lt;4, "Moderate","High"))</f>
        <v>Moderate</v>
      </c>
      <c r="L799" s="11">
        <v>0.99514484000000003</v>
      </c>
      <c r="M799" s="11">
        <v>21.666202729999998</v>
      </c>
      <c r="N799" s="11">
        <v>695.258779</v>
      </c>
      <c r="O799" s="11">
        <v>931.64671759999999</v>
      </c>
      <c r="P799" s="11">
        <f>Table1[[#This Row],[Installed Capacity 
(AC -MW)]]/Table1[[#This Row],[Installed Capacity 
(DC -MW)]]</f>
        <v>0.74626869377165295</v>
      </c>
      <c r="Q799" s="12">
        <v>0.24097022000000001</v>
      </c>
      <c r="R799" s="12">
        <v>0.17982851</v>
      </c>
      <c r="S799" s="13">
        <v>40.073593799999998</v>
      </c>
      <c r="T799" s="11">
        <v>1.977350647</v>
      </c>
      <c r="U799" s="11">
        <v>135.1417337</v>
      </c>
      <c r="V799" s="13">
        <v>385564.93400000001</v>
      </c>
      <c r="W799" s="13">
        <v>439973.72</v>
      </c>
      <c r="X799" s="13">
        <v>16.86195</v>
      </c>
      <c r="Y799" s="14">
        <f>+Table1[[#This Row],[Generation Cost 
LCOE (USD/MWh)]]+Table1[[#This Row],[Transmission Cost
LCOT (USD/MWh)]]</f>
        <v>56.935543799999998</v>
      </c>
    </row>
    <row r="800" spans="1:25" x14ac:dyDescent="0.3">
      <c r="A800" s="7">
        <v>799</v>
      </c>
      <c r="B800" s="8">
        <v>7654</v>
      </c>
      <c r="C800" s="9">
        <v>47.656619999999997</v>
      </c>
      <c r="D800" s="9">
        <v>-119.06224</v>
      </c>
      <c r="E800" s="10" t="s">
        <v>42</v>
      </c>
      <c r="F800" s="10" t="s">
        <v>4</v>
      </c>
      <c r="G800" s="10" t="s">
        <v>17</v>
      </c>
      <c r="H800" s="10">
        <v>-8</v>
      </c>
      <c r="I800" s="11">
        <v>555.5</v>
      </c>
      <c r="J800" s="11">
        <v>3.9597346999999998</v>
      </c>
      <c r="K800" s="11" t="str">
        <f>IF(Table1[[#This Row],[Solar 
Resource]]&lt;3,"Low", IF(Table1[[#This Row],[Solar 
Resource]]&lt;4, "Moderate","High"))</f>
        <v>Moderate</v>
      </c>
      <c r="L800" s="11">
        <v>0.98877320000000002</v>
      </c>
      <c r="M800" s="11">
        <v>0.57704398300000004</v>
      </c>
      <c r="N800" s="11">
        <v>18.517081749999999</v>
      </c>
      <c r="O800" s="11">
        <v>24.812891260000001</v>
      </c>
      <c r="P800" s="11">
        <f>Table1[[#This Row],[Installed Capacity 
(AC -MW)]]/Table1[[#This Row],[Installed Capacity 
(DC -MW)]]</f>
        <v>0.74626860513634474</v>
      </c>
      <c r="Q800" s="12">
        <v>0.24066911999999999</v>
      </c>
      <c r="R800" s="12">
        <v>0.17960379000000001</v>
      </c>
      <c r="S800" s="13">
        <v>46.050438960000001</v>
      </c>
      <c r="T800" s="11">
        <v>7.9866103830000004</v>
      </c>
      <c r="U800" s="11">
        <v>73.372668790000006</v>
      </c>
      <c r="V800" s="13">
        <v>201784.35269999999</v>
      </c>
      <c r="W800" s="13">
        <v>280887.2</v>
      </c>
      <c r="X800" s="13">
        <v>10.778441000000001</v>
      </c>
      <c r="Y800" s="14">
        <f>+Table1[[#This Row],[Generation Cost 
LCOE (USD/MWh)]]+Table1[[#This Row],[Transmission Cost
LCOT (USD/MWh)]]</f>
        <v>56.828879960000002</v>
      </c>
    </row>
    <row r="801" spans="1:25" x14ac:dyDescent="0.3">
      <c r="A801" s="7">
        <v>800</v>
      </c>
      <c r="B801" s="8">
        <v>7655</v>
      </c>
      <c r="C801" s="9">
        <v>47.680076999999997</v>
      </c>
      <c r="D801" s="9">
        <v>-118.90434</v>
      </c>
      <c r="E801" s="10" t="s">
        <v>42</v>
      </c>
      <c r="F801" s="10" t="s">
        <v>4</v>
      </c>
      <c r="G801" s="10" t="s">
        <v>27</v>
      </c>
      <c r="H801" s="10">
        <v>-8</v>
      </c>
      <c r="I801" s="11">
        <v>604</v>
      </c>
      <c r="J801" s="11">
        <v>3.9588093999999998</v>
      </c>
      <c r="K801" s="11" t="str">
        <f>IF(Table1[[#This Row],[Solar 
Resource]]&lt;3,"Low", IF(Table1[[#This Row],[Solar 
Resource]]&lt;4, "Moderate","High"))</f>
        <v>Moderate</v>
      </c>
      <c r="L801" s="11">
        <v>0.98795310000000003</v>
      </c>
      <c r="M801" s="11">
        <v>55.48272979</v>
      </c>
      <c r="N801" s="11">
        <v>1780.415833</v>
      </c>
      <c r="O801" s="11">
        <v>2385.7573809999999</v>
      </c>
      <c r="P801" s="11">
        <f>Table1[[#This Row],[Installed Capacity 
(AC -MW)]]/Table1[[#This Row],[Installed Capacity 
(DC -MW)]]</f>
        <v>0.74626860517297511</v>
      </c>
      <c r="Q801" s="12">
        <v>0.24122848</v>
      </c>
      <c r="R801" s="12">
        <v>0.18002127000000001</v>
      </c>
      <c r="S801" s="13">
        <v>39.802934870000001</v>
      </c>
      <c r="T801" s="11">
        <v>13.05594155</v>
      </c>
      <c r="U801" s="11">
        <v>137.7548376</v>
      </c>
      <c r="V801" s="13">
        <v>426080.13130000001</v>
      </c>
      <c r="W801" s="13">
        <v>514300.75</v>
      </c>
      <c r="X801" s="13">
        <v>19.689425</v>
      </c>
      <c r="Y801" s="14">
        <f>+Table1[[#This Row],[Generation Cost 
LCOE (USD/MWh)]]+Table1[[#This Row],[Transmission Cost
LCOT (USD/MWh)]]</f>
        <v>59.492359870000001</v>
      </c>
    </row>
    <row r="802" spans="1:25" x14ac:dyDescent="0.3">
      <c r="A802" s="7">
        <v>801</v>
      </c>
      <c r="B802" s="8">
        <v>7656</v>
      </c>
      <c r="C802" s="9">
        <v>47.703377000000003</v>
      </c>
      <c r="D802" s="9">
        <v>-118.746315</v>
      </c>
      <c r="E802" s="10" t="s">
        <v>42</v>
      </c>
      <c r="F802" s="10" t="s">
        <v>4</v>
      </c>
      <c r="G802" s="10" t="s">
        <v>27</v>
      </c>
      <c r="H802" s="10">
        <v>-8</v>
      </c>
      <c r="I802" s="11">
        <v>669.94736839999996</v>
      </c>
      <c r="J802" s="11">
        <v>3.944423</v>
      </c>
      <c r="K802" s="11" t="str">
        <f>IF(Table1[[#This Row],[Solar 
Resource]]&lt;3,"Low", IF(Table1[[#This Row],[Solar 
Resource]]&lt;4, "Moderate","High"))</f>
        <v>Moderate</v>
      </c>
      <c r="L802" s="11">
        <v>0.98603430000000003</v>
      </c>
      <c r="M802" s="11">
        <v>59.750781150000002</v>
      </c>
      <c r="N802" s="11">
        <v>1917.375908</v>
      </c>
      <c r="O802" s="11">
        <v>2569.28359</v>
      </c>
      <c r="P802" s="11">
        <f>Table1[[#This Row],[Installed Capacity 
(AC -MW)]]/Table1[[#This Row],[Installed Capacity 
(DC -MW)]]</f>
        <v>0.7462686935232401</v>
      </c>
      <c r="Q802" s="12">
        <v>0.24019024</v>
      </c>
      <c r="R802" s="12">
        <v>0.17924646999999999</v>
      </c>
      <c r="S802" s="13">
        <v>39.91396469</v>
      </c>
      <c r="T802" s="11">
        <v>0.09</v>
      </c>
      <c r="U802" s="11">
        <v>129.96741549999999</v>
      </c>
      <c r="V802" s="13">
        <v>404423.04570000002</v>
      </c>
      <c r="W802" s="13">
        <v>440173.3</v>
      </c>
      <c r="X802" s="13">
        <v>16.924379999999999</v>
      </c>
      <c r="Y802" s="14">
        <f>+Table1[[#This Row],[Generation Cost 
LCOE (USD/MWh)]]+Table1[[#This Row],[Transmission Cost
LCOT (USD/MWh)]]</f>
        <v>56.83834469</v>
      </c>
    </row>
    <row r="803" spans="1:25" x14ac:dyDescent="0.3">
      <c r="A803" s="7">
        <v>802</v>
      </c>
      <c r="B803" s="8">
        <v>7657</v>
      </c>
      <c r="C803" s="9">
        <v>47.726520000000001</v>
      </c>
      <c r="D803" s="9">
        <v>-118.58816</v>
      </c>
      <c r="E803" s="10" t="s">
        <v>42</v>
      </c>
      <c r="F803" s="10" t="s">
        <v>4</v>
      </c>
      <c r="G803" s="10" t="s">
        <v>27</v>
      </c>
      <c r="H803" s="10">
        <v>-8</v>
      </c>
      <c r="I803" s="11">
        <v>713.63157890000002</v>
      </c>
      <c r="J803" s="11">
        <v>3.901913</v>
      </c>
      <c r="K803" s="11" t="str">
        <f>IF(Table1[[#This Row],[Solar 
Resource]]&lt;3,"Low", IF(Table1[[#This Row],[Solar 
Resource]]&lt;4, "Moderate","High"))</f>
        <v>Moderate</v>
      </c>
      <c r="L803" s="11">
        <v>0.98411053000000004</v>
      </c>
      <c r="M803" s="11">
        <v>40.220146579999998</v>
      </c>
      <c r="N803" s="11">
        <v>1290.646252</v>
      </c>
      <c r="O803" s="11">
        <v>1729.4663029999999</v>
      </c>
      <c r="P803" s="11">
        <f>Table1[[#This Row],[Installed Capacity 
(AC -MW)]]/Table1[[#This Row],[Installed Capacity 
(DC -MW)]]</f>
        <v>0.7462685163400955</v>
      </c>
      <c r="Q803" s="12">
        <v>0.23630029999999999</v>
      </c>
      <c r="R803" s="12">
        <v>0.17634349999999999</v>
      </c>
      <c r="S803" s="13">
        <v>40.508829079999998</v>
      </c>
      <c r="T803" s="11">
        <v>8.4430064859999998</v>
      </c>
      <c r="U803" s="11">
        <v>94.448110349999993</v>
      </c>
      <c r="V803" s="13">
        <v>308131.98349999997</v>
      </c>
      <c r="W803" s="13">
        <v>369986.2</v>
      </c>
      <c r="X803" s="13">
        <v>14.459911</v>
      </c>
      <c r="Y803" s="14">
        <f>+Table1[[#This Row],[Generation Cost 
LCOE (USD/MWh)]]+Table1[[#This Row],[Transmission Cost
LCOT (USD/MWh)]]</f>
        <v>54.968740079999996</v>
      </c>
    </row>
    <row r="804" spans="1:25" x14ac:dyDescent="0.3">
      <c r="A804" s="7">
        <v>803</v>
      </c>
      <c r="B804" s="8">
        <v>7658</v>
      </c>
      <c r="C804" s="9">
        <v>47.749507999999999</v>
      </c>
      <c r="D804" s="9">
        <v>-118.42988</v>
      </c>
      <c r="E804" s="10" t="s">
        <v>42</v>
      </c>
      <c r="F804" s="10" t="s">
        <v>4</v>
      </c>
      <c r="G804" s="10" t="s">
        <v>27</v>
      </c>
      <c r="H804" s="10">
        <v>-8</v>
      </c>
      <c r="I804" s="11">
        <v>694.1</v>
      </c>
      <c r="J804" s="11">
        <v>3.8741436</v>
      </c>
      <c r="K804" s="11" t="str">
        <f>IF(Table1[[#This Row],[Solar 
Resource]]&lt;3,"Low", IF(Table1[[#This Row],[Solar 
Resource]]&lt;4, "Moderate","High"))</f>
        <v>Moderate</v>
      </c>
      <c r="L804" s="11">
        <v>0.98254870000000005</v>
      </c>
      <c r="M804" s="11">
        <v>82.777633589999994</v>
      </c>
      <c r="N804" s="11">
        <v>2656.2966980000001</v>
      </c>
      <c r="O804" s="11">
        <v>3559.4382449999998</v>
      </c>
      <c r="P804" s="11">
        <f>Table1[[#This Row],[Installed Capacity 
(AC -MW)]]/Table1[[#This Row],[Installed Capacity 
(DC -MW)]]</f>
        <v>0.74626851631190483</v>
      </c>
      <c r="Q804" s="12">
        <v>0.23408143000000001</v>
      </c>
      <c r="R804" s="12">
        <v>0.17468764000000001</v>
      </c>
      <c r="S804" s="13">
        <v>40.841838199999998</v>
      </c>
      <c r="T804" s="11">
        <v>0.74183766200000001</v>
      </c>
      <c r="U804" s="11">
        <v>88.248707760000002</v>
      </c>
      <c r="V804" s="13">
        <v>291919.92070000002</v>
      </c>
      <c r="W804" s="13">
        <v>334338.96999999997</v>
      </c>
      <c r="X804" s="13">
        <v>13.190595999999999</v>
      </c>
      <c r="Y804" s="14">
        <f>+Table1[[#This Row],[Generation Cost 
LCOE (USD/MWh)]]+Table1[[#This Row],[Transmission Cost
LCOT (USD/MWh)]]</f>
        <v>54.032434199999997</v>
      </c>
    </row>
    <row r="805" spans="1:25" x14ac:dyDescent="0.3">
      <c r="A805" s="7">
        <v>804</v>
      </c>
      <c r="B805" s="8">
        <v>7659</v>
      </c>
      <c r="C805" s="9">
        <v>47.772334999999998</v>
      </c>
      <c r="D805" s="9">
        <v>-118.27146999999999</v>
      </c>
      <c r="E805" s="10" t="s">
        <v>42</v>
      </c>
      <c r="F805" s="10" t="s">
        <v>4</v>
      </c>
      <c r="G805" s="10" t="s">
        <v>27</v>
      </c>
      <c r="H805" s="10">
        <v>-8</v>
      </c>
      <c r="I805" s="11">
        <v>683.64705879999997</v>
      </c>
      <c r="J805" s="11">
        <v>3.8587215000000001</v>
      </c>
      <c r="K805" s="11" t="str">
        <f>IF(Table1[[#This Row],[Solar 
Resource]]&lt;3,"Low", IF(Table1[[#This Row],[Solar 
Resource]]&lt;4, "Moderate","High"))</f>
        <v>Moderate</v>
      </c>
      <c r="L805" s="11">
        <v>0.98124250000000002</v>
      </c>
      <c r="M805" s="11">
        <v>26.897345290000001</v>
      </c>
      <c r="N805" s="11">
        <v>863.12370699999997</v>
      </c>
      <c r="O805" s="11">
        <v>1156.5858470000001</v>
      </c>
      <c r="P805" s="11">
        <f>Table1[[#This Row],[Installed Capacity 
(AC -MW)]]/Table1[[#This Row],[Installed Capacity 
(DC -MW)]]</f>
        <v>0.74626860534287687</v>
      </c>
      <c r="Q805" s="12">
        <v>0.23217214999999999</v>
      </c>
      <c r="R805" s="12">
        <v>0.17326279</v>
      </c>
      <c r="S805" s="13">
        <v>41.134730810000001</v>
      </c>
      <c r="T805" s="11">
        <v>4.7763961029999997</v>
      </c>
      <c r="U805" s="11">
        <v>76.730259709999999</v>
      </c>
      <c r="V805" s="13">
        <v>261238.2911</v>
      </c>
      <c r="W805" s="13">
        <v>333583.56</v>
      </c>
      <c r="X805" s="13">
        <v>13.269023000000001</v>
      </c>
      <c r="Y805" s="14">
        <f>+Table1[[#This Row],[Generation Cost 
LCOE (USD/MWh)]]+Table1[[#This Row],[Transmission Cost
LCOT (USD/MWh)]]</f>
        <v>54.403753809999998</v>
      </c>
    </row>
    <row r="806" spans="1:25" x14ac:dyDescent="0.3">
      <c r="A806" s="7">
        <v>805</v>
      </c>
      <c r="B806" s="8">
        <v>7660</v>
      </c>
      <c r="C806" s="9">
        <v>47.795006000000001</v>
      </c>
      <c r="D806" s="9">
        <v>-118.11293000000001</v>
      </c>
      <c r="E806" s="10" t="s">
        <v>42</v>
      </c>
      <c r="F806" s="10" t="s">
        <v>4</v>
      </c>
      <c r="G806" s="10" t="s">
        <v>27</v>
      </c>
      <c r="H806" s="10">
        <v>-8</v>
      </c>
      <c r="I806" s="11">
        <v>674.42105260000005</v>
      </c>
      <c r="J806" s="11">
        <v>3.819674</v>
      </c>
      <c r="K806" s="11" t="str">
        <f>IF(Table1[[#This Row],[Solar 
Resource]]&lt;3,"Low", IF(Table1[[#This Row],[Solar 
Resource]]&lt;4, "Moderate","High"))</f>
        <v>Moderate</v>
      </c>
      <c r="L806" s="11">
        <v>0.98020260000000003</v>
      </c>
      <c r="M806" s="11">
        <v>32.662439210000002</v>
      </c>
      <c r="N806" s="11">
        <v>1048.1231009999999</v>
      </c>
      <c r="O806" s="11">
        <v>1404.484886</v>
      </c>
      <c r="P806" s="11">
        <f>Table1[[#This Row],[Installed Capacity 
(AC -MW)]]/Table1[[#This Row],[Installed Capacity 
(DC -MW)]]</f>
        <v>0.74626869356001024</v>
      </c>
      <c r="Q806" s="12">
        <v>0.22768287000000001</v>
      </c>
      <c r="R806" s="12">
        <v>0.16991259</v>
      </c>
      <c r="S806" s="13">
        <v>41.910895629999999</v>
      </c>
      <c r="T806" s="11">
        <v>4.991025971</v>
      </c>
      <c r="U806" s="11">
        <v>75.73386361</v>
      </c>
      <c r="V806" s="13">
        <v>254408.30160000001</v>
      </c>
      <c r="W806" s="13">
        <v>338256.84</v>
      </c>
      <c r="X806" s="13">
        <v>13.720205999999999</v>
      </c>
      <c r="Y806" s="14">
        <f>+Table1[[#This Row],[Generation Cost 
LCOE (USD/MWh)]]+Table1[[#This Row],[Transmission Cost
LCOT (USD/MWh)]]</f>
        <v>55.631101629999996</v>
      </c>
    </row>
    <row r="807" spans="1:25" x14ac:dyDescent="0.3">
      <c r="A807" s="7">
        <v>806</v>
      </c>
      <c r="B807" s="8">
        <v>7661</v>
      </c>
      <c r="C807" s="9">
        <v>47.817515999999998</v>
      </c>
      <c r="D807" s="9">
        <v>-117.95426</v>
      </c>
      <c r="E807" s="10" t="s">
        <v>42</v>
      </c>
      <c r="F807" s="10" t="s">
        <v>4</v>
      </c>
      <c r="G807" s="10" t="s">
        <v>37</v>
      </c>
      <c r="H807" s="10">
        <v>-8</v>
      </c>
      <c r="I807" s="11">
        <v>632.63157890000002</v>
      </c>
      <c r="J807" s="11">
        <v>3.7857449999999999</v>
      </c>
      <c r="K807" s="11" t="str">
        <f>IF(Table1[[#This Row],[Solar 
Resource]]&lt;3,"Low", IF(Table1[[#This Row],[Solar 
Resource]]&lt;4, "Moderate","High"))</f>
        <v>Moderate</v>
      </c>
      <c r="L807" s="11">
        <v>0.97937655000000001</v>
      </c>
      <c r="M807" s="11">
        <v>41.647364209999999</v>
      </c>
      <c r="N807" s="11">
        <v>1336.4451770000001</v>
      </c>
      <c r="O807" s="11">
        <v>1790.836661</v>
      </c>
      <c r="P807" s="11">
        <f>Table1[[#This Row],[Installed Capacity 
(AC -MW)]]/Table1[[#This Row],[Installed Capacity 
(DC -MW)]]</f>
        <v>0.7462686051187557</v>
      </c>
      <c r="Q807" s="12">
        <v>0.22503944000000001</v>
      </c>
      <c r="R807" s="12">
        <v>0.16793986</v>
      </c>
      <c r="S807" s="13">
        <v>42.375178990000002</v>
      </c>
      <c r="T807" s="11">
        <v>3.0573506469999998</v>
      </c>
      <c r="U807" s="11">
        <v>52.260402560000003</v>
      </c>
      <c r="V807" s="13">
        <v>184298.63260000001</v>
      </c>
      <c r="W807" s="13">
        <v>250348.86</v>
      </c>
      <c r="X807" s="13">
        <v>10.273807</v>
      </c>
      <c r="Y807" s="14">
        <f>+Table1[[#This Row],[Generation Cost 
LCOE (USD/MWh)]]+Table1[[#This Row],[Transmission Cost
LCOT (USD/MWh)]]</f>
        <v>52.64898599</v>
      </c>
    </row>
    <row r="808" spans="1:25" x14ac:dyDescent="0.3">
      <c r="A808" s="7">
        <v>807</v>
      </c>
      <c r="B808" s="8">
        <v>7662</v>
      </c>
      <c r="C808" s="9">
        <v>47.839866999999998</v>
      </c>
      <c r="D808" s="9">
        <v>-117.79546999999999</v>
      </c>
      <c r="E808" s="10" t="s">
        <v>42</v>
      </c>
      <c r="F808" s="10" t="s">
        <v>4</v>
      </c>
      <c r="G808" s="10" t="s">
        <v>37</v>
      </c>
      <c r="H808" s="10">
        <v>-8</v>
      </c>
      <c r="I808" s="11">
        <v>610.15789470000004</v>
      </c>
      <c r="J808" s="11">
        <v>3.7547581000000001</v>
      </c>
      <c r="K808" s="11" t="str">
        <f>IF(Table1[[#This Row],[Solar 
Resource]]&lt;3,"Low", IF(Table1[[#This Row],[Solar 
Resource]]&lt;4, "Moderate","High"))</f>
        <v>Moderate</v>
      </c>
      <c r="L808" s="11">
        <v>0.97880180000000006</v>
      </c>
      <c r="M808" s="11">
        <v>45.853451370000002</v>
      </c>
      <c r="N808" s="11">
        <v>1471.4166210000001</v>
      </c>
      <c r="O808" s="11">
        <v>1971.6984090000001</v>
      </c>
      <c r="P808" s="11">
        <f>Table1[[#This Row],[Installed Capacity 
(AC -MW)]]/Table1[[#This Row],[Installed Capacity 
(DC -MW)]]</f>
        <v>0.74626860491624003</v>
      </c>
      <c r="Q808" s="12">
        <v>0.22202714000000001</v>
      </c>
      <c r="R808" s="12">
        <v>0.16569188000000001</v>
      </c>
      <c r="S808" s="13">
        <v>42.930309059999999</v>
      </c>
      <c r="T808" s="11">
        <v>4.14374675</v>
      </c>
      <c r="U808" s="11">
        <v>48.004818149999998</v>
      </c>
      <c r="V808" s="13">
        <v>170945.9633</v>
      </c>
      <c r="W808" s="13">
        <v>238936.12</v>
      </c>
      <c r="X808" s="13">
        <v>9.9384840000000008</v>
      </c>
      <c r="Y808" s="14">
        <f>+Table1[[#This Row],[Generation Cost 
LCOE (USD/MWh)]]+Table1[[#This Row],[Transmission Cost
LCOT (USD/MWh)]]</f>
        <v>52.868793060000002</v>
      </c>
    </row>
    <row r="809" spans="1:25" x14ac:dyDescent="0.3">
      <c r="A809" s="7">
        <v>808</v>
      </c>
      <c r="B809" s="8">
        <v>7663</v>
      </c>
      <c r="C809" s="9">
        <v>47.86206</v>
      </c>
      <c r="D809" s="9">
        <v>-117.63655</v>
      </c>
      <c r="E809" s="10" t="s">
        <v>42</v>
      </c>
      <c r="F809" s="10" t="s">
        <v>4</v>
      </c>
      <c r="G809" s="10" t="s">
        <v>37</v>
      </c>
      <c r="H809" s="10">
        <v>-8</v>
      </c>
      <c r="I809" s="11">
        <v>653.44444439999995</v>
      </c>
      <c r="J809" s="11">
        <v>3.7219180000000001</v>
      </c>
      <c r="K809" s="11" t="str">
        <f>IF(Table1[[#This Row],[Solar 
Resource]]&lt;3,"Low", IF(Table1[[#This Row],[Solar 
Resource]]&lt;4, "Moderate","High"))</f>
        <v>Moderate</v>
      </c>
      <c r="L809" s="11">
        <v>0.97842050000000003</v>
      </c>
      <c r="M809" s="11">
        <v>32.508456150000001</v>
      </c>
      <c r="N809" s="11">
        <v>1043.18173</v>
      </c>
      <c r="O809" s="11">
        <v>1397.863615</v>
      </c>
      <c r="P809" s="11">
        <f>Table1[[#This Row],[Installed Capacity 
(AC -MW)]]/Table1[[#This Row],[Installed Capacity 
(DC -MW)]]</f>
        <v>0.74626860503841075</v>
      </c>
      <c r="Q809" s="12">
        <v>0.21915543000000001</v>
      </c>
      <c r="R809" s="12">
        <v>0.16354883000000001</v>
      </c>
      <c r="S809" s="13">
        <v>43.479555449999999</v>
      </c>
      <c r="T809" s="11">
        <v>14.514032459999999</v>
      </c>
      <c r="U809" s="11">
        <v>52.859974000000001</v>
      </c>
      <c r="V809" s="13">
        <v>194253.4051</v>
      </c>
      <c r="W809" s="13">
        <v>294854.62</v>
      </c>
      <c r="X809" s="13">
        <v>12.425106</v>
      </c>
      <c r="Y809" s="14">
        <f>+Table1[[#This Row],[Generation Cost 
LCOE (USD/MWh)]]+Table1[[#This Row],[Transmission Cost
LCOT (USD/MWh)]]</f>
        <v>55.904661449999999</v>
      </c>
    </row>
    <row r="810" spans="1:25" x14ac:dyDescent="0.3">
      <c r="A810" s="7">
        <v>809</v>
      </c>
      <c r="B810" s="8">
        <v>7664</v>
      </c>
      <c r="C810" s="9">
        <v>47.884093999999997</v>
      </c>
      <c r="D810" s="9">
        <v>-117.47752</v>
      </c>
      <c r="E810" s="10" t="s">
        <v>42</v>
      </c>
      <c r="F810" s="10" t="s">
        <v>4</v>
      </c>
      <c r="G810" s="10" t="s">
        <v>36</v>
      </c>
      <c r="H810" s="10">
        <v>-8</v>
      </c>
      <c r="I810" s="11">
        <v>651.77777779999997</v>
      </c>
      <c r="J810" s="11">
        <v>3.68303</v>
      </c>
      <c r="K810" s="11" t="str">
        <f>IF(Table1[[#This Row],[Solar 
Resource]]&lt;3,"Low", IF(Table1[[#This Row],[Solar 
Resource]]&lt;4, "Moderate","High"))</f>
        <v>Moderate</v>
      </c>
      <c r="L810" s="11">
        <v>0.97837317000000001</v>
      </c>
      <c r="M810" s="11">
        <v>41.002279100000003</v>
      </c>
      <c r="N810" s="11">
        <v>1315.744686</v>
      </c>
      <c r="O810" s="11">
        <v>1763.0980010000001</v>
      </c>
      <c r="P810" s="11">
        <f>Table1[[#This Row],[Installed Capacity 
(AC -MW)]]/Table1[[#This Row],[Installed Capacity 
(DC -MW)]]</f>
        <v>0.74626860517891314</v>
      </c>
      <c r="Q810" s="12">
        <v>0.21535351999999999</v>
      </c>
      <c r="R810" s="12">
        <v>0.16071160000000001</v>
      </c>
      <c r="S810" s="13">
        <v>44.245475249999998</v>
      </c>
      <c r="T810" s="11">
        <v>3.33374675</v>
      </c>
      <c r="U810" s="11">
        <v>44.914389589999999</v>
      </c>
      <c r="V810" s="13">
        <v>170729.70370000001</v>
      </c>
      <c r="W810" s="13">
        <v>211792.25</v>
      </c>
      <c r="X810" s="13">
        <v>9.0824379999999998</v>
      </c>
      <c r="Y810" s="14">
        <f>+Table1[[#This Row],[Generation Cost 
LCOE (USD/MWh)]]+Table1[[#This Row],[Transmission Cost
LCOT (USD/MWh)]]</f>
        <v>53.327913249999995</v>
      </c>
    </row>
    <row r="811" spans="1:25" x14ac:dyDescent="0.3">
      <c r="A811" s="7">
        <v>810</v>
      </c>
      <c r="B811" s="8">
        <v>7665</v>
      </c>
      <c r="C811" s="9">
        <v>47.905974999999998</v>
      </c>
      <c r="D811" s="9">
        <v>-117.31836</v>
      </c>
      <c r="E811" s="10" t="s">
        <v>42</v>
      </c>
      <c r="F811" s="10" t="s">
        <v>4</v>
      </c>
      <c r="G811" s="10" t="s">
        <v>36</v>
      </c>
      <c r="H811" s="10">
        <v>-8</v>
      </c>
      <c r="I811" s="11">
        <v>633.70000000000005</v>
      </c>
      <c r="J811" s="11">
        <v>3.6508189999999998</v>
      </c>
      <c r="K811" s="11" t="str">
        <f>IF(Table1[[#This Row],[Solar 
Resource]]&lt;3,"Low", IF(Table1[[#This Row],[Solar 
Resource]]&lt;4, "Moderate","High"))</f>
        <v>Moderate</v>
      </c>
      <c r="L811" s="11">
        <v>0.97844730000000002</v>
      </c>
      <c r="M811" s="11">
        <v>41.032250679999997</v>
      </c>
      <c r="N811" s="11">
        <v>1316.706461</v>
      </c>
      <c r="O811" s="11">
        <v>1764.3867789999999</v>
      </c>
      <c r="P811" s="11">
        <f>Table1[[#This Row],[Installed Capacity 
(AC -MW)]]/Table1[[#This Row],[Installed Capacity 
(DC -MW)]]</f>
        <v>0.74626860542803919</v>
      </c>
      <c r="Q811" s="12">
        <v>0.21311960999999999</v>
      </c>
      <c r="R811" s="12">
        <v>0.15904449000000001</v>
      </c>
      <c r="S811" s="13">
        <v>44.711906149999997</v>
      </c>
      <c r="T811" s="11">
        <v>0.34455844099999999</v>
      </c>
      <c r="U811" s="11">
        <v>50.260116859999997</v>
      </c>
      <c r="V811" s="13">
        <v>169648.68299999999</v>
      </c>
      <c r="W811" s="13">
        <v>210815.48</v>
      </c>
      <c r="X811" s="13">
        <v>9.1353150000000003</v>
      </c>
      <c r="Y811" s="14">
        <f>+Table1[[#This Row],[Generation Cost 
LCOE (USD/MWh)]]+Table1[[#This Row],[Transmission Cost
LCOT (USD/MWh)]]</f>
        <v>53.847221149999996</v>
      </c>
    </row>
    <row r="812" spans="1:25" x14ac:dyDescent="0.3">
      <c r="A812" s="7">
        <v>811</v>
      </c>
      <c r="B812" s="8">
        <v>7666</v>
      </c>
      <c r="C812" s="9">
        <v>47.927689999999998</v>
      </c>
      <c r="D812" s="9">
        <v>-117.15907</v>
      </c>
      <c r="E812" s="10" t="s">
        <v>42</v>
      </c>
      <c r="F812" s="10" t="s">
        <v>4</v>
      </c>
      <c r="G812" s="10" t="s">
        <v>36</v>
      </c>
      <c r="H812" s="10">
        <v>-8</v>
      </c>
      <c r="I812" s="11">
        <v>936.9375</v>
      </c>
      <c r="J812" s="11">
        <v>3.6436380000000002</v>
      </c>
      <c r="K812" s="11" t="str">
        <f>IF(Table1[[#This Row],[Solar 
Resource]]&lt;3,"Low", IF(Table1[[#This Row],[Solar 
Resource]]&lt;4, "Moderate","High"))</f>
        <v>Moderate</v>
      </c>
      <c r="L812" s="11">
        <v>0.97874760000000005</v>
      </c>
      <c r="M812" s="11">
        <v>16.148646280000001</v>
      </c>
      <c r="N812" s="11">
        <v>518.20279240000002</v>
      </c>
      <c r="O812" s="11">
        <v>694.39178990000005</v>
      </c>
      <c r="P812" s="11">
        <f>Table1[[#This Row],[Installed Capacity 
(AC -MW)]]/Table1[[#This Row],[Installed Capacity 
(DC -MW)]]</f>
        <v>0.74626860504014148</v>
      </c>
      <c r="Q812" s="12">
        <v>0.21366963999999999</v>
      </c>
      <c r="R812" s="12">
        <v>0.15945493999999999</v>
      </c>
      <c r="S812" s="13">
        <v>44.60754884</v>
      </c>
      <c r="T812" s="11">
        <v>16.5685909</v>
      </c>
      <c r="U812" s="11">
        <v>56.080331139999998</v>
      </c>
      <c r="V812" s="13">
        <v>184827.50330000001</v>
      </c>
      <c r="W812" s="13">
        <v>315127.09999999998</v>
      </c>
      <c r="X812" s="13">
        <v>13.62032</v>
      </c>
      <c r="Y812" s="14">
        <f>+Table1[[#This Row],[Generation Cost 
LCOE (USD/MWh)]]+Table1[[#This Row],[Transmission Cost
LCOT (USD/MWh)]]</f>
        <v>58.227868839999999</v>
      </c>
    </row>
    <row r="813" spans="1:25" x14ac:dyDescent="0.3">
      <c r="A813" s="7">
        <v>812</v>
      </c>
      <c r="B813" s="8">
        <v>7667</v>
      </c>
      <c r="C813" s="9">
        <v>47.949244999999998</v>
      </c>
      <c r="D813" s="9">
        <v>-116.999664</v>
      </c>
      <c r="E813" s="10" t="s">
        <v>42</v>
      </c>
      <c r="F813" s="10" t="s">
        <v>1</v>
      </c>
      <c r="G813" s="10" t="s">
        <v>25</v>
      </c>
      <c r="H813" s="10">
        <v>-8</v>
      </c>
      <c r="I813" s="11">
        <v>950.82352939999998</v>
      </c>
      <c r="J813" s="11">
        <v>3.6099212000000001</v>
      </c>
      <c r="K813" s="11" t="str">
        <f>IF(Table1[[#This Row],[Solar 
Resource]]&lt;3,"Low", IF(Table1[[#This Row],[Solar 
Resource]]&lt;4, "Moderate","High"))</f>
        <v>Moderate</v>
      </c>
      <c r="L813" s="11">
        <v>0.97908569999999995</v>
      </c>
      <c r="M813" s="11">
        <v>6.9036299010000004</v>
      </c>
      <c r="N813" s="11">
        <v>221.5344034</v>
      </c>
      <c r="O813" s="11">
        <v>296.85608569999999</v>
      </c>
      <c r="P813" s="11">
        <f>Table1[[#This Row],[Installed Capacity 
(AC -MW)]]/Table1[[#This Row],[Installed Capacity 
(DC -MW)]]</f>
        <v>0.74626869406302354</v>
      </c>
      <c r="Q813" s="12">
        <v>0.21107746999999999</v>
      </c>
      <c r="R813" s="12">
        <v>0.15752049000000001</v>
      </c>
      <c r="S813" s="13">
        <v>45.167602530000003</v>
      </c>
      <c r="T813" s="11">
        <v>12.65491557</v>
      </c>
      <c r="U813" s="11">
        <v>320.90101279999999</v>
      </c>
      <c r="V813" s="13">
        <v>1148183.9890000001</v>
      </c>
      <c r="W813" s="13">
        <v>1287518</v>
      </c>
      <c r="X813" s="13">
        <v>56.332090000000001</v>
      </c>
      <c r="Y813" s="14">
        <f>+Table1[[#This Row],[Generation Cost 
LCOE (USD/MWh)]]+Table1[[#This Row],[Transmission Cost
LCOT (USD/MWh)]]</f>
        <v>101.49969253</v>
      </c>
    </row>
    <row r="814" spans="1:25" x14ac:dyDescent="0.3">
      <c r="A814" s="7">
        <v>813</v>
      </c>
      <c r="B814" s="8">
        <v>7668</v>
      </c>
      <c r="C814" s="9">
        <v>47.970641999999998</v>
      </c>
      <c r="D814" s="9">
        <v>-116.84013</v>
      </c>
      <c r="E814" s="10" t="s">
        <v>42</v>
      </c>
      <c r="F814" s="10" t="s">
        <v>1</v>
      </c>
      <c r="G814" s="10" t="s">
        <v>25</v>
      </c>
      <c r="H814" s="10">
        <v>-8</v>
      </c>
      <c r="I814" s="11">
        <v>803.0625</v>
      </c>
      <c r="J814" s="11">
        <v>3.5729825000000002</v>
      </c>
      <c r="K814" s="11" t="str">
        <f>IF(Table1[[#This Row],[Solar 
Resource]]&lt;3,"Low", IF(Table1[[#This Row],[Solar 
Resource]]&lt;4, "Moderate","High"))</f>
        <v>Moderate</v>
      </c>
      <c r="L814" s="11">
        <v>0.97960745999999999</v>
      </c>
      <c r="M814" s="11">
        <v>58.15087295</v>
      </c>
      <c r="N814" s="11">
        <v>1866.0353459999999</v>
      </c>
      <c r="O814" s="11">
        <v>2500.487537</v>
      </c>
      <c r="P814" s="11">
        <f>Table1[[#This Row],[Installed Capacity 
(AC -MW)]]/Table1[[#This Row],[Installed Capacity 
(DC -MW)]]</f>
        <v>0.746268604977254</v>
      </c>
      <c r="Q814" s="12">
        <v>0.20700355000000001</v>
      </c>
      <c r="R814" s="12">
        <v>0.15448026000000001</v>
      </c>
      <c r="S814" s="13">
        <v>46.07577242</v>
      </c>
      <c r="T814" s="11">
        <v>1.409116882</v>
      </c>
      <c r="U814" s="11">
        <v>254.00149339999999</v>
      </c>
      <c r="V814" s="13">
        <v>861842.80980000005</v>
      </c>
      <c r="W814" s="13">
        <v>895044.06</v>
      </c>
      <c r="X814" s="13">
        <v>39.931075999999997</v>
      </c>
      <c r="Y814" s="14">
        <f>+Table1[[#This Row],[Generation Cost 
LCOE (USD/MWh)]]+Table1[[#This Row],[Transmission Cost
LCOT (USD/MWh)]]</f>
        <v>86.006848419999997</v>
      </c>
    </row>
    <row r="815" spans="1:25" x14ac:dyDescent="0.3">
      <c r="A815" s="7">
        <v>814</v>
      </c>
      <c r="B815" s="8">
        <v>7669</v>
      </c>
      <c r="C815" s="9">
        <v>47.991880000000002</v>
      </c>
      <c r="D815" s="9">
        <v>-116.68049999999999</v>
      </c>
      <c r="E815" s="10" t="s">
        <v>42</v>
      </c>
      <c r="F815" s="10" t="s">
        <v>1</v>
      </c>
      <c r="G815" s="10" t="s">
        <v>9</v>
      </c>
      <c r="H815" s="10">
        <v>-8</v>
      </c>
      <c r="I815" s="11">
        <v>741.23809519999998</v>
      </c>
      <c r="J815" s="11">
        <v>3.5488498000000002</v>
      </c>
      <c r="K815" s="11" t="str">
        <f>IF(Table1[[#This Row],[Solar 
Resource]]&lt;3,"Low", IF(Table1[[#This Row],[Solar 
Resource]]&lt;4, "Moderate","High"))</f>
        <v>Moderate</v>
      </c>
      <c r="L815" s="11">
        <v>0.98014840000000003</v>
      </c>
      <c r="M815" s="11">
        <v>54.79285342</v>
      </c>
      <c r="N815" s="11">
        <v>1758.278219</v>
      </c>
      <c r="O815" s="11">
        <v>2356.092697</v>
      </c>
      <c r="P815" s="11">
        <f>Table1[[#This Row],[Installed Capacity 
(AC -MW)]]/Table1[[#This Row],[Installed Capacity 
(DC -MW)]]</f>
        <v>0.74626869360395121</v>
      </c>
      <c r="Q815" s="12">
        <v>0.20483377999999999</v>
      </c>
      <c r="R815" s="12">
        <v>0.15286104</v>
      </c>
      <c r="S815" s="13">
        <v>46.584011220000001</v>
      </c>
      <c r="T815" s="11">
        <v>5.4319805150000002</v>
      </c>
      <c r="U815" s="11">
        <v>259.75884400000001</v>
      </c>
      <c r="V815" s="13">
        <v>883897.19460000005</v>
      </c>
      <c r="W815" s="13">
        <v>946007.7</v>
      </c>
      <c r="X815" s="13">
        <v>42.651814000000002</v>
      </c>
      <c r="Y815" s="14">
        <f>+Table1[[#This Row],[Generation Cost 
LCOE (USD/MWh)]]+Table1[[#This Row],[Transmission Cost
LCOT (USD/MWh)]]</f>
        <v>89.235825220000009</v>
      </c>
    </row>
    <row r="816" spans="1:25" x14ac:dyDescent="0.3">
      <c r="A816" s="7">
        <v>815</v>
      </c>
      <c r="B816" s="8">
        <v>7670</v>
      </c>
      <c r="C816" s="9">
        <v>48.012954999999998</v>
      </c>
      <c r="D816" s="9">
        <v>-116.52072</v>
      </c>
      <c r="E816" s="10" t="s">
        <v>42</v>
      </c>
      <c r="F816" s="10" t="s">
        <v>1</v>
      </c>
      <c r="G816" s="10" t="s">
        <v>9</v>
      </c>
      <c r="H816" s="10">
        <v>-8</v>
      </c>
      <c r="I816" s="11">
        <v>824.90909090000002</v>
      </c>
      <c r="J816" s="11">
        <v>3.5297976000000002</v>
      </c>
      <c r="K816" s="11" t="str">
        <f>IF(Table1[[#This Row],[Solar 
Resource]]&lt;3,"Low", IF(Table1[[#This Row],[Solar 
Resource]]&lt;4, "Moderate","High"))</f>
        <v>Moderate</v>
      </c>
      <c r="L816" s="11">
        <v>0.98010260000000005</v>
      </c>
      <c r="M816" s="11">
        <v>11.83717903</v>
      </c>
      <c r="N816" s="11">
        <v>379.84970329999999</v>
      </c>
      <c r="O816" s="11">
        <v>508.99869819999998</v>
      </c>
      <c r="P816" s="11">
        <f>Table1[[#This Row],[Installed Capacity 
(AC -MW)]]/Table1[[#This Row],[Installed Capacity 
(DC -MW)]]</f>
        <v>0.74626851629146274</v>
      </c>
      <c r="Q816" s="12">
        <v>0.20364694</v>
      </c>
      <c r="R816" s="12">
        <v>0.15197532</v>
      </c>
      <c r="S816" s="13">
        <v>46.853781820000002</v>
      </c>
      <c r="T816" s="11">
        <v>18.188590900000001</v>
      </c>
      <c r="U816" s="11">
        <v>259.75884400000001</v>
      </c>
      <c r="V816" s="13">
        <v>883897.19460000005</v>
      </c>
      <c r="W816" s="13">
        <v>1029972.1</v>
      </c>
      <c r="X816" s="13">
        <v>46.708075999999998</v>
      </c>
      <c r="Y816" s="14">
        <f>+Table1[[#This Row],[Generation Cost 
LCOE (USD/MWh)]]+Table1[[#This Row],[Transmission Cost
LCOT (USD/MWh)]]</f>
        <v>93.56185782</v>
      </c>
    </row>
    <row r="817" spans="1:25" x14ac:dyDescent="0.3">
      <c r="A817" s="7">
        <v>816</v>
      </c>
      <c r="B817" s="8">
        <v>7671</v>
      </c>
      <c r="C817" s="9">
        <v>48.033875000000002</v>
      </c>
      <c r="D817" s="9">
        <v>-116.36084</v>
      </c>
      <c r="E817" s="10" t="s">
        <v>42</v>
      </c>
      <c r="F817" s="10" t="s">
        <v>1</v>
      </c>
      <c r="G817" s="10" t="s">
        <v>9</v>
      </c>
      <c r="H817" s="10">
        <v>-8</v>
      </c>
      <c r="I817" s="11">
        <v>1136.0999999999999</v>
      </c>
      <c r="J817" s="11">
        <v>3.5120027</v>
      </c>
      <c r="K817" s="11" t="str">
        <f>IF(Table1[[#This Row],[Solar 
Resource]]&lt;3,"Low", IF(Table1[[#This Row],[Solar 
Resource]]&lt;4, "Moderate","High"))</f>
        <v>Moderate</v>
      </c>
      <c r="L817" s="11">
        <v>0.98033020000000004</v>
      </c>
      <c r="M817" s="11">
        <v>1.1074320099999999</v>
      </c>
      <c r="N817" s="11">
        <v>35.536994870000001</v>
      </c>
      <c r="O817" s="11">
        <v>47.619576430000002</v>
      </c>
      <c r="P817" s="11">
        <f>Table1[[#This Row],[Installed Capacity 
(AC -MW)]]/Table1[[#This Row],[Installed Capacity 
(DC -MW)]]</f>
        <v>0.74626860493475411</v>
      </c>
      <c r="Q817" s="12">
        <v>0.20279833999999999</v>
      </c>
      <c r="R817" s="12">
        <v>0.15134202999999999</v>
      </c>
      <c r="S817" s="13">
        <v>50.564513499999997</v>
      </c>
      <c r="T817" s="11">
        <v>6.9002142800000001</v>
      </c>
      <c r="U817" s="11">
        <v>273.14920119999999</v>
      </c>
      <c r="V817" s="13">
        <v>952064.43480000005</v>
      </c>
      <c r="W817" s="13">
        <v>1080183.6000000001</v>
      </c>
      <c r="X817" s="13">
        <v>49.190086000000001</v>
      </c>
      <c r="Y817" s="14">
        <f>+Table1[[#This Row],[Generation Cost 
LCOE (USD/MWh)]]+Table1[[#This Row],[Transmission Cost
LCOT (USD/MWh)]]</f>
        <v>99.754599499999998</v>
      </c>
    </row>
    <row r="818" spans="1:25" x14ac:dyDescent="0.3">
      <c r="A818" s="7">
        <v>817</v>
      </c>
      <c r="B818" s="8">
        <v>7672</v>
      </c>
      <c r="C818" s="9">
        <v>48.054625999999999</v>
      </c>
      <c r="D818" s="9">
        <v>-116.20084</v>
      </c>
      <c r="E818" s="10" t="s">
        <v>42</v>
      </c>
      <c r="F818" s="10" t="s">
        <v>1</v>
      </c>
      <c r="G818" s="10" t="s">
        <v>9</v>
      </c>
      <c r="H818" s="10">
        <v>-8</v>
      </c>
      <c r="I818" s="11">
        <v>1200.0714290000001</v>
      </c>
      <c r="J818" s="11">
        <v>3.4300991999999999</v>
      </c>
      <c r="K818" s="11" t="str">
        <f>IF(Table1[[#This Row],[Solar 
Resource]]&lt;3,"Low", IF(Table1[[#This Row],[Solar 
Resource]]&lt;4, "Moderate","High"))</f>
        <v>Moderate</v>
      </c>
      <c r="L818" s="11">
        <v>0.98098160000000001</v>
      </c>
      <c r="M818" s="11">
        <v>2.4504119110000002</v>
      </c>
      <c r="N818" s="11">
        <v>78.632615580000007</v>
      </c>
      <c r="O818" s="11">
        <v>105.3677122</v>
      </c>
      <c r="P818" s="11">
        <f>Table1[[#This Row],[Installed Capacity 
(AC -MW)]]/Table1[[#This Row],[Installed Capacity 
(DC -MW)]]</f>
        <v>0.74626860485255941</v>
      </c>
      <c r="Q818" s="12">
        <v>0.19822724</v>
      </c>
      <c r="R818" s="12">
        <v>0.14793079000000001</v>
      </c>
      <c r="S818" s="13">
        <v>48.168679779999998</v>
      </c>
      <c r="T818" s="11">
        <v>7.5520519420000003</v>
      </c>
      <c r="U818" s="11">
        <v>310.41094140000001</v>
      </c>
      <c r="V818" s="13">
        <v>1133866.8419999999</v>
      </c>
      <c r="W818" s="13">
        <v>1270951.1000000001</v>
      </c>
      <c r="X818" s="13">
        <v>59.212029999999999</v>
      </c>
      <c r="Y818" s="14">
        <f>+Table1[[#This Row],[Generation Cost 
LCOE (USD/MWh)]]+Table1[[#This Row],[Transmission Cost
LCOT (USD/MWh)]]</f>
        <v>107.38070977999999</v>
      </c>
    </row>
    <row r="819" spans="1:25" x14ac:dyDescent="0.3">
      <c r="A819" s="7">
        <v>818</v>
      </c>
      <c r="B819" s="8">
        <v>7673</v>
      </c>
      <c r="C819" s="9">
        <v>48.075221999999997</v>
      </c>
      <c r="D819" s="9">
        <v>-116.04072600000001</v>
      </c>
      <c r="E819" s="10" t="s">
        <v>42</v>
      </c>
      <c r="F819" s="10" t="s">
        <v>1</v>
      </c>
      <c r="G819" s="10" t="s">
        <v>9</v>
      </c>
      <c r="H819" s="10">
        <v>-8</v>
      </c>
      <c r="I819" s="11">
        <v>985.2142857</v>
      </c>
      <c r="J819" s="11">
        <v>3.3990664000000002</v>
      </c>
      <c r="K819" s="11" t="str">
        <f>IF(Table1[[#This Row],[Solar 
Resource]]&lt;3,"Low", IF(Table1[[#This Row],[Solar 
Resource]]&lt;4, "Moderate","High"))</f>
        <v>Moderate</v>
      </c>
      <c r="L819" s="11">
        <v>0.98144350000000002</v>
      </c>
      <c r="M819" s="11">
        <v>30.352968239999999</v>
      </c>
      <c r="N819" s="11">
        <v>974.01309249999997</v>
      </c>
      <c r="O819" s="11">
        <v>1305.1776339999999</v>
      </c>
      <c r="P819" s="11">
        <f>Table1[[#This Row],[Installed Capacity 
(AC -MW)]]/Table1[[#This Row],[Installed Capacity 
(DC -MW)]]</f>
        <v>0.74626860522802985</v>
      </c>
      <c r="Q819" s="12">
        <v>0.19511248</v>
      </c>
      <c r="R819" s="12">
        <v>0.14560632000000001</v>
      </c>
      <c r="S819" s="13">
        <v>48.955730320000001</v>
      </c>
      <c r="T819" s="11">
        <v>1.3191168820000001</v>
      </c>
      <c r="U819" s="11">
        <v>253.6509154</v>
      </c>
      <c r="V819" s="13">
        <v>925141.02780000004</v>
      </c>
      <c r="W819" s="13">
        <v>969907.56</v>
      </c>
      <c r="X819" s="13">
        <v>45.908141999999998</v>
      </c>
      <c r="Y819" s="14">
        <f>+Table1[[#This Row],[Generation Cost 
LCOE (USD/MWh)]]+Table1[[#This Row],[Transmission Cost
LCOT (USD/MWh)]]</f>
        <v>94.863872319999999</v>
      </c>
    </row>
    <row r="820" spans="1:25" x14ac:dyDescent="0.3">
      <c r="A820" s="7">
        <v>819</v>
      </c>
      <c r="B820" s="8">
        <v>7674</v>
      </c>
      <c r="C820" s="9">
        <v>48.095657000000003</v>
      </c>
      <c r="D820" s="9">
        <v>-115.88048999999999</v>
      </c>
      <c r="E820" s="10" t="s">
        <v>42</v>
      </c>
      <c r="F820" s="10" t="s">
        <v>3</v>
      </c>
      <c r="G820" s="10" t="s">
        <v>33</v>
      </c>
      <c r="H820" s="10">
        <v>-7</v>
      </c>
      <c r="I820" s="11">
        <v>964.5</v>
      </c>
      <c r="J820" s="11">
        <v>3.3935884999999999</v>
      </c>
      <c r="K820" s="11" t="str">
        <f>IF(Table1[[#This Row],[Solar 
Resource]]&lt;3,"Low", IF(Table1[[#This Row],[Solar 
Resource]]&lt;4, "Moderate","High"))</f>
        <v>Moderate</v>
      </c>
      <c r="L820" s="11">
        <v>0.98184185999999996</v>
      </c>
      <c r="M820" s="11">
        <v>4.0120920590000004</v>
      </c>
      <c r="N820" s="11">
        <v>128.74622880000001</v>
      </c>
      <c r="O820" s="11">
        <v>172.5199586</v>
      </c>
      <c r="P820" s="11">
        <f>Table1[[#This Row],[Installed Capacity 
(AC -MW)]]/Table1[[#This Row],[Installed Capacity 
(DC -MW)]]</f>
        <v>0.74626860477347701</v>
      </c>
      <c r="Q820" s="12">
        <v>0.19332916</v>
      </c>
      <c r="R820" s="12">
        <v>0.14427546999999999</v>
      </c>
      <c r="S820" s="13">
        <v>49.423054290000003</v>
      </c>
      <c r="T820" s="11">
        <v>6.8064675299999999</v>
      </c>
      <c r="U820" s="11">
        <v>240.89055830000001</v>
      </c>
      <c r="V820" s="13">
        <v>866864.88439999998</v>
      </c>
      <c r="W820" s="13">
        <v>1015762.7</v>
      </c>
      <c r="X820" s="13">
        <v>48.522069999999999</v>
      </c>
      <c r="Y820" s="14">
        <f>+Table1[[#This Row],[Generation Cost 
LCOE (USD/MWh)]]+Table1[[#This Row],[Transmission Cost
LCOT (USD/MWh)]]</f>
        <v>97.945124289999995</v>
      </c>
    </row>
    <row r="821" spans="1:25" x14ac:dyDescent="0.3">
      <c r="A821" s="7">
        <v>820</v>
      </c>
      <c r="B821" s="8">
        <v>7675</v>
      </c>
      <c r="C821" s="9">
        <v>48.115929999999999</v>
      </c>
      <c r="D821" s="9">
        <v>-115.72014</v>
      </c>
      <c r="E821" s="10" t="s">
        <v>42</v>
      </c>
      <c r="F821" s="10" t="s">
        <v>3</v>
      </c>
      <c r="G821" s="10" t="s">
        <v>33</v>
      </c>
      <c r="H821" s="10">
        <v>-7</v>
      </c>
      <c r="I821" s="11">
        <v>1132.333333</v>
      </c>
      <c r="J821" s="11">
        <v>3.3579473000000002</v>
      </c>
      <c r="K821" s="11" t="str">
        <f>IF(Table1[[#This Row],[Solar 
Resource]]&lt;3,"Low", IF(Table1[[#This Row],[Solar 
Resource]]&lt;4, "Moderate","High"))</f>
        <v>Moderate</v>
      </c>
      <c r="L821" s="11">
        <v>0.98222816000000002</v>
      </c>
      <c r="M821" s="11">
        <v>0.57153598000000005</v>
      </c>
      <c r="N821" s="11">
        <v>18.340334599999998</v>
      </c>
      <c r="O821" s="11">
        <v>24.576047150000001</v>
      </c>
      <c r="P821" s="11">
        <f>Table1[[#This Row],[Installed Capacity 
(AC -MW)]]/Table1[[#This Row],[Installed Capacity 
(DC -MW)]]</f>
        <v>0.74626869358036685</v>
      </c>
      <c r="Q821" s="12">
        <v>0.19105512999999999</v>
      </c>
      <c r="R821" s="12">
        <v>0.14257848000000001</v>
      </c>
      <c r="S821" s="13">
        <v>57.756771180000001</v>
      </c>
      <c r="T821" s="11">
        <v>14.89587012</v>
      </c>
      <c r="U821" s="11">
        <v>238.87592839999999</v>
      </c>
      <c r="V821" s="13">
        <v>856595.1605</v>
      </c>
      <c r="W821" s="13">
        <v>1039362.2</v>
      </c>
      <c r="X821" s="13">
        <v>50.240344999999998</v>
      </c>
      <c r="Y821" s="14">
        <f>+Table1[[#This Row],[Generation Cost 
LCOE (USD/MWh)]]+Table1[[#This Row],[Transmission Cost
LCOT (USD/MWh)]]</f>
        <v>107.99711618000001</v>
      </c>
    </row>
    <row r="822" spans="1:25" x14ac:dyDescent="0.3">
      <c r="A822" s="7">
        <v>821</v>
      </c>
      <c r="B822" s="8">
        <v>7676</v>
      </c>
      <c r="C822" s="9">
        <v>48.136043999999998</v>
      </c>
      <c r="D822" s="9">
        <v>-115.55968</v>
      </c>
      <c r="E822" s="10" t="s">
        <v>42</v>
      </c>
      <c r="F822" s="10" t="s">
        <v>3</v>
      </c>
      <c r="G822" s="10" t="s">
        <v>27</v>
      </c>
      <c r="H822" s="10">
        <v>-7</v>
      </c>
      <c r="I822" s="11">
        <v>1331.1</v>
      </c>
      <c r="J822" s="11">
        <v>3.5134807000000001</v>
      </c>
      <c r="K822" s="11" t="str">
        <f>IF(Table1[[#This Row],[Solar 
Resource]]&lt;3,"Low", IF(Table1[[#This Row],[Solar 
Resource]]&lt;4, "Moderate","High"))</f>
        <v>Moderate</v>
      </c>
      <c r="L822" s="11">
        <v>0.98257899999999998</v>
      </c>
      <c r="M822" s="11">
        <v>8.8473871580000001</v>
      </c>
      <c r="N822" s="11">
        <v>283.90867270000001</v>
      </c>
      <c r="O822" s="11">
        <v>380.43764779999998</v>
      </c>
      <c r="P822" s="11">
        <f>Table1[[#This Row],[Installed Capacity 
(AC -MW)]]/Table1[[#This Row],[Installed Capacity 
(DC -MW)]]</f>
        <v>0.74626860496533653</v>
      </c>
      <c r="Q822" s="12">
        <v>0.20146202999999999</v>
      </c>
      <c r="R822" s="12">
        <v>0.15034481999999999</v>
      </c>
      <c r="S822" s="13">
        <v>47.45582624</v>
      </c>
      <c r="T822" s="11">
        <v>23.06887661</v>
      </c>
      <c r="U822" s="11">
        <v>248.04688300000001</v>
      </c>
      <c r="V822" s="13">
        <v>951632.97389999998</v>
      </c>
      <c r="W822" s="13">
        <v>1179755.5</v>
      </c>
      <c r="X822" s="13">
        <v>54.080813999999997</v>
      </c>
      <c r="Y822" s="14">
        <f>+Table1[[#This Row],[Generation Cost 
LCOE (USD/MWh)]]+Table1[[#This Row],[Transmission Cost
LCOT (USD/MWh)]]</f>
        <v>101.53664024</v>
      </c>
    </row>
    <row r="823" spans="1:25" x14ac:dyDescent="0.3">
      <c r="A823" s="7">
        <v>822</v>
      </c>
      <c r="B823" s="8">
        <v>7677</v>
      </c>
      <c r="C823" s="9">
        <v>48.155994</v>
      </c>
      <c r="D823" s="9">
        <v>-115.39909</v>
      </c>
      <c r="E823" s="10" t="s">
        <v>42</v>
      </c>
      <c r="F823" s="10" t="s">
        <v>3</v>
      </c>
      <c r="G823" s="10" t="s">
        <v>27</v>
      </c>
      <c r="H823" s="10">
        <v>-7</v>
      </c>
      <c r="I823" s="11">
        <v>1191.7894739999999</v>
      </c>
      <c r="J823" s="11">
        <v>3.5544055000000001</v>
      </c>
      <c r="K823" s="11" t="str">
        <f>IF(Table1[[#This Row],[Solar 
Resource]]&lt;3,"Low", IF(Table1[[#This Row],[Solar 
Resource]]&lt;4, "Moderate","High"))</f>
        <v>Moderate</v>
      </c>
      <c r="L823" s="11">
        <v>0.98290290000000002</v>
      </c>
      <c r="M823" s="11">
        <v>6.8927756840000001</v>
      </c>
      <c r="N823" s="11">
        <v>221.18607009999999</v>
      </c>
      <c r="O823" s="11">
        <v>296.3893544</v>
      </c>
      <c r="P823" s="11">
        <f>Table1[[#This Row],[Installed Capacity 
(AC -MW)]]/Table1[[#This Row],[Installed Capacity 
(DC -MW)]]</f>
        <v>0.74626860518577387</v>
      </c>
      <c r="Q823" s="12">
        <v>0.20513745999999999</v>
      </c>
      <c r="R823" s="12">
        <v>0.15308765999999999</v>
      </c>
      <c r="S823" s="13">
        <v>46.617636070000003</v>
      </c>
      <c r="T823" s="11">
        <v>19.048662329999999</v>
      </c>
      <c r="U823" s="11">
        <v>248.04688300000001</v>
      </c>
      <c r="V823" s="13">
        <v>951632.97389999998</v>
      </c>
      <c r="W823" s="13">
        <v>1103649.8999999999</v>
      </c>
      <c r="X823" s="13">
        <v>49.685623</v>
      </c>
      <c r="Y823" s="14">
        <f>+Table1[[#This Row],[Generation Cost 
LCOE (USD/MWh)]]+Table1[[#This Row],[Transmission Cost
LCOT (USD/MWh)]]</f>
        <v>96.303259069999996</v>
      </c>
    </row>
    <row r="824" spans="1:25" x14ac:dyDescent="0.3">
      <c r="A824" s="7">
        <v>823</v>
      </c>
      <c r="B824" s="8">
        <v>7678</v>
      </c>
      <c r="C824" s="9">
        <v>48.175784999999998</v>
      </c>
      <c r="D824" s="9">
        <v>-115.2384</v>
      </c>
      <c r="E824" s="10" t="s">
        <v>42</v>
      </c>
      <c r="F824" s="10" t="s">
        <v>3</v>
      </c>
      <c r="G824" s="10" t="s">
        <v>27</v>
      </c>
      <c r="H824" s="10">
        <v>-7</v>
      </c>
      <c r="I824" s="11">
        <v>1176.857143</v>
      </c>
      <c r="J824" s="11">
        <v>3.5573315999999999</v>
      </c>
      <c r="K824" s="11" t="str">
        <f>IF(Table1[[#This Row],[Solar 
Resource]]&lt;3,"Low", IF(Table1[[#This Row],[Solar 
Resource]]&lt;4, "Moderate","High"))</f>
        <v>Moderate</v>
      </c>
      <c r="L824" s="11">
        <v>0.98319524999999997</v>
      </c>
      <c r="M824" s="11">
        <v>9.8541354860000006</v>
      </c>
      <c r="N824" s="11">
        <v>316.21481119999999</v>
      </c>
      <c r="O824" s="11">
        <v>423.72782590000003</v>
      </c>
      <c r="P824" s="11">
        <f>Table1[[#This Row],[Installed Capacity 
(AC -MW)]]/Table1[[#This Row],[Installed Capacity 
(DC -MW)]]</f>
        <v>0.74626869389178807</v>
      </c>
      <c r="Q824" s="12">
        <v>0.20468658000000001</v>
      </c>
      <c r="R824" s="12">
        <v>0.15275119000000001</v>
      </c>
      <c r="S824" s="13">
        <v>46.731226130000003</v>
      </c>
      <c r="T824" s="11">
        <v>10.70579869</v>
      </c>
      <c r="U824" s="11">
        <v>267.40282450000001</v>
      </c>
      <c r="V824" s="13">
        <v>1036350.326</v>
      </c>
      <c r="W824" s="13">
        <v>1178367.2</v>
      </c>
      <c r="X824" s="13">
        <v>53.16621</v>
      </c>
      <c r="Y824" s="14">
        <f>+Table1[[#This Row],[Generation Cost 
LCOE (USD/MWh)]]+Table1[[#This Row],[Transmission Cost
LCOT (USD/MWh)]]</f>
        <v>99.897436130000003</v>
      </c>
    </row>
    <row r="825" spans="1:25" x14ac:dyDescent="0.3">
      <c r="A825" s="7">
        <v>824</v>
      </c>
      <c r="B825" s="8">
        <v>7679</v>
      </c>
      <c r="C825" s="9">
        <v>48.195410000000003</v>
      </c>
      <c r="D825" s="9">
        <v>-115.07761000000001</v>
      </c>
      <c r="E825" s="10" t="s">
        <v>42</v>
      </c>
      <c r="F825" s="10" t="s">
        <v>3</v>
      </c>
      <c r="G825" s="10" t="s">
        <v>27</v>
      </c>
      <c r="H825" s="10">
        <v>-7</v>
      </c>
      <c r="I825" s="11">
        <v>1271.2666670000001</v>
      </c>
      <c r="J825" s="11">
        <v>3.5886936</v>
      </c>
      <c r="K825" s="11" t="str">
        <f>IF(Table1[[#This Row],[Solar 
Resource]]&lt;3,"Low", IF(Table1[[#This Row],[Solar 
Resource]]&lt;4, "Moderate","High"))</f>
        <v>Moderate</v>
      </c>
      <c r="L825" s="11">
        <v>0.98341626000000004</v>
      </c>
      <c r="M825" s="11">
        <v>9.5408290279999992</v>
      </c>
      <c r="N825" s="11">
        <v>306.16087390000001</v>
      </c>
      <c r="O825" s="11">
        <v>410.2556482</v>
      </c>
      <c r="P825" s="11">
        <f>Table1[[#This Row],[Installed Capacity 
(AC -MW)]]/Table1[[#This Row],[Installed Capacity 
(DC -MW)]]</f>
        <v>0.74626851633434743</v>
      </c>
      <c r="Q825" s="12">
        <v>0.20817867000000001</v>
      </c>
      <c r="R825" s="12">
        <v>0.15535723000000001</v>
      </c>
      <c r="S825" s="13">
        <v>45.955435540000003</v>
      </c>
      <c r="T825" s="11">
        <v>3.2155129859999998</v>
      </c>
      <c r="U825" s="11">
        <v>247.35648040000001</v>
      </c>
      <c r="V825" s="13">
        <v>1006648.578</v>
      </c>
      <c r="W825" s="13">
        <v>1082195</v>
      </c>
      <c r="X825" s="13">
        <v>48.008006999999999</v>
      </c>
      <c r="Y825" s="14">
        <f>+Table1[[#This Row],[Generation Cost 
LCOE (USD/MWh)]]+Table1[[#This Row],[Transmission Cost
LCOT (USD/MWh)]]</f>
        <v>93.963442540000003</v>
      </c>
    </row>
    <row r="826" spans="1:25" x14ac:dyDescent="0.3">
      <c r="A826" s="7">
        <v>825</v>
      </c>
      <c r="B826" s="8">
        <v>7680</v>
      </c>
      <c r="C826" s="9">
        <v>48.214877999999999</v>
      </c>
      <c r="D826" s="9">
        <v>-114.91669</v>
      </c>
      <c r="E826" s="10" t="s">
        <v>42</v>
      </c>
      <c r="F826" s="10" t="s">
        <v>3</v>
      </c>
      <c r="G826" s="10" t="s">
        <v>15</v>
      </c>
      <c r="H826" s="10">
        <v>-7</v>
      </c>
      <c r="I826" s="11">
        <v>1208.3846149999999</v>
      </c>
      <c r="J826" s="11">
        <v>3.5757167000000001</v>
      </c>
      <c r="K826" s="11" t="str">
        <f>IF(Table1[[#This Row],[Solar 
Resource]]&lt;3,"Low", IF(Table1[[#This Row],[Solar 
Resource]]&lt;4, "Moderate","High"))</f>
        <v>Moderate</v>
      </c>
      <c r="L826" s="11">
        <v>0.98363566000000002</v>
      </c>
      <c r="M826" s="11">
        <v>11.23048784</v>
      </c>
      <c r="N826" s="11">
        <v>360.3813442</v>
      </c>
      <c r="O826" s="11">
        <v>482.91097719999999</v>
      </c>
      <c r="P826" s="11">
        <f>Table1[[#This Row],[Installed Capacity 
(AC -MW)]]/Table1[[#This Row],[Installed Capacity 
(DC -MW)]]</f>
        <v>0.74626869384819605</v>
      </c>
      <c r="Q826" s="12">
        <v>0.20759148999999999</v>
      </c>
      <c r="R826" s="12">
        <v>0.15491904000000001</v>
      </c>
      <c r="S826" s="13">
        <v>46.093503269999999</v>
      </c>
      <c r="T826" s="11">
        <v>6.667493501</v>
      </c>
      <c r="U826" s="11">
        <v>231.0281038</v>
      </c>
      <c r="V826" s="13">
        <v>953477.14619999996</v>
      </c>
      <c r="W826" s="13">
        <v>1071983.6000000001</v>
      </c>
      <c r="X826" s="13">
        <v>47.689529999999998</v>
      </c>
      <c r="Y826" s="14">
        <f>+Table1[[#This Row],[Generation Cost 
LCOE (USD/MWh)]]+Table1[[#This Row],[Transmission Cost
LCOT (USD/MWh)]]</f>
        <v>93.783033270000004</v>
      </c>
    </row>
    <row r="827" spans="1:25" x14ac:dyDescent="0.3">
      <c r="A827" s="7">
        <v>826</v>
      </c>
      <c r="B827" s="8">
        <v>7681</v>
      </c>
      <c r="C827" s="9">
        <v>48.234180000000002</v>
      </c>
      <c r="D827" s="9">
        <v>-114.75566000000001</v>
      </c>
      <c r="E827" s="10" t="s">
        <v>42</v>
      </c>
      <c r="F827" s="10" t="s">
        <v>3</v>
      </c>
      <c r="G827" s="10" t="s">
        <v>15</v>
      </c>
      <c r="H827" s="10">
        <v>-7</v>
      </c>
      <c r="I827" s="11">
        <v>1508.1</v>
      </c>
      <c r="J827" s="11">
        <v>3.5523527000000001</v>
      </c>
      <c r="K827" s="11" t="str">
        <f>IF(Table1[[#This Row],[Solar 
Resource]]&lt;3,"Low", IF(Table1[[#This Row],[Solar 
Resource]]&lt;4, "Moderate","High"))</f>
        <v>Moderate</v>
      </c>
      <c r="L827" s="11">
        <v>0.98372800000000005</v>
      </c>
      <c r="M827" s="11">
        <v>2.4837841190000001</v>
      </c>
      <c r="N827" s="11">
        <v>79.703505239999998</v>
      </c>
      <c r="O827" s="11">
        <v>106.8027171</v>
      </c>
      <c r="P827" s="11">
        <f>Table1[[#This Row],[Installed Capacity 
(AC -MW)]]/Table1[[#This Row],[Installed Capacity 
(DC -MW)]]</f>
        <v>0.74626851642147973</v>
      </c>
      <c r="Q827" s="12">
        <v>0.20778606999999999</v>
      </c>
      <c r="R827" s="12">
        <v>0.15506423</v>
      </c>
      <c r="S827" s="13">
        <v>46.053736919999999</v>
      </c>
      <c r="T827" s="11">
        <v>6.7266103829999997</v>
      </c>
      <c r="U827" s="11">
        <v>226.88170769999999</v>
      </c>
      <c r="V827" s="13">
        <v>936859.43220000004</v>
      </c>
      <c r="W827" s="13">
        <v>1036601.1</v>
      </c>
      <c r="X827" s="13">
        <v>46.072277</v>
      </c>
      <c r="Y827" s="14">
        <f>+Table1[[#This Row],[Generation Cost 
LCOE (USD/MWh)]]+Table1[[#This Row],[Transmission Cost
LCOT (USD/MWh)]]</f>
        <v>92.126013919999991</v>
      </c>
    </row>
    <row r="828" spans="1:25" x14ac:dyDescent="0.3">
      <c r="A828" s="7">
        <v>827</v>
      </c>
      <c r="B828" s="8">
        <v>7682</v>
      </c>
      <c r="C828" s="9">
        <v>48.253323000000002</v>
      </c>
      <c r="D828" s="9">
        <v>-114.59453000000001</v>
      </c>
      <c r="E828" s="10" t="s">
        <v>42</v>
      </c>
      <c r="F828" s="10" t="s">
        <v>3</v>
      </c>
      <c r="G828" s="10" t="s">
        <v>15</v>
      </c>
      <c r="H828" s="10">
        <v>-7</v>
      </c>
      <c r="I828" s="11">
        <v>1369.4666669999999</v>
      </c>
      <c r="J828" s="11">
        <v>3.5554041999999999</v>
      </c>
      <c r="K828" s="11" t="str">
        <f>IF(Table1[[#This Row],[Solar 
Resource]]&lt;3,"Low", IF(Table1[[#This Row],[Solar 
Resource]]&lt;4, "Moderate","High"))</f>
        <v>Moderate</v>
      </c>
      <c r="L828" s="11">
        <v>0.98390359999999999</v>
      </c>
      <c r="M828" s="11">
        <v>7.6230719599999999</v>
      </c>
      <c r="N828" s="11">
        <v>244.620949</v>
      </c>
      <c r="O828" s="11">
        <v>327.79209429999997</v>
      </c>
      <c r="P828" s="11">
        <f>Table1[[#This Row],[Installed Capacity 
(AC -MW)]]/Table1[[#This Row],[Installed Capacity 
(DC -MW)]]</f>
        <v>0.74626860517300775</v>
      </c>
      <c r="Q828" s="12">
        <v>0.20885997000000001</v>
      </c>
      <c r="R828" s="12">
        <v>0.15586564999999999</v>
      </c>
      <c r="S828" s="13">
        <v>45.823366759999999</v>
      </c>
      <c r="T828" s="11">
        <v>15.997707780000001</v>
      </c>
      <c r="U828" s="11">
        <v>191.05357129999999</v>
      </c>
      <c r="V828" s="13">
        <v>743314.69</v>
      </c>
      <c r="W828" s="13">
        <v>905732</v>
      </c>
      <c r="X828" s="13">
        <v>40.048748000000003</v>
      </c>
      <c r="Y828" s="14">
        <f>+Table1[[#This Row],[Generation Cost 
LCOE (USD/MWh)]]+Table1[[#This Row],[Transmission Cost
LCOT (USD/MWh)]]</f>
        <v>85.872114760000002</v>
      </c>
    </row>
    <row r="829" spans="1:25" x14ac:dyDescent="0.3">
      <c r="A829" s="7">
        <v>828</v>
      </c>
      <c r="B829" s="8">
        <v>7683</v>
      </c>
      <c r="C829" s="9">
        <v>48.272300000000001</v>
      </c>
      <c r="D829" s="9">
        <v>-114.43328</v>
      </c>
      <c r="E829" s="10" t="s">
        <v>42</v>
      </c>
      <c r="F829" s="10" t="s">
        <v>3</v>
      </c>
      <c r="G829" s="10" t="s">
        <v>15</v>
      </c>
      <c r="H829" s="10">
        <v>-7</v>
      </c>
      <c r="I829" s="11">
        <v>1043.25</v>
      </c>
      <c r="J829" s="11">
        <v>3.5317178</v>
      </c>
      <c r="K829" s="11" t="str">
        <f>IF(Table1[[#This Row],[Solar 
Resource]]&lt;3,"Low", IF(Table1[[#This Row],[Solar 
Resource]]&lt;4, "Moderate","High"))</f>
        <v>Moderate</v>
      </c>
      <c r="L829" s="11">
        <v>0.98119204999999998</v>
      </c>
      <c r="M829" s="11">
        <v>43.94168921</v>
      </c>
      <c r="N829" s="11">
        <v>1410.069201</v>
      </c>
      <c r="O829" s="11">
        <v>1889.4926359999999</v>
      </c>
      <c r="P829" s="11">
        <f>Table1[[#This Row],[Installed Capacity 
(AC -MW)]]/Table1[[#This Row],[Installed Capacity 
(DC -MW)]]</f>
        <v>0.74626869358171977</v>
      </c>
      <c r="Q829" s="12">
        <v>0.20426080999999999</v>
      </c>
      <c r="R829" s="12">
        <v>0.15243344</v>
      </c>
      <c r="S829" s="13">
        <v>46.753722850000003</v>
      </c>
      <c r="T829" s="11">
        <v>7.9685194719999997</v>
      </c>
      <c r="U829" s="11">
        <v>185.57526609999999</v>
      </c>
      <c r="V829" s="13">
        <v>718662.88529999997</v>
      </c>
      <c r="W829" s="13">
        <v>803131.2</v>
      </c>
      <c r="X829" s="13">
        <v>36.311638000000002</v>
      </c>
      <c r="Y829" s="14">
        <f>+Table1[[#This Row],[Generation Cost 
LCOE (USD/MWh)]]+Table1[[#This Row],[Transmission Cost
LCOT (USD/MWh)]]</f>
        <v>83.065360850000005</v>
      </c>
    </row>
    <row r="830" spans="1:25" x14ac:dyDescent="0.3">
      <c r="A830" s="7">
        <v>829</v>
      </c>
      <c r="B830" s="8">
        <v>7684</v>
      </c>
      <c r="C830" s="9">
        <v>48.291110000000003</v>
      </c>
      <c r="D830" s="9">
        <v>-114.27193</v>
      </c>
      <c r="E830" s="10" t="s">
        <v>42</v>
      </c>
      <c r="F830" s="10" t="s">
        <v>3</v>
      </c>
      <c r="G830" s="10" t="s">
        <v>15</v>
      </c>
      <c r="H830" s="10">
        <v>-7</v>
      </c>
      <c r="I830" s="11">
        <v>923.17647060000002</v>
      </c>
      <c r="J830" s="11">
        <v>3.5018113</v>
      </c>
      <c r="K830" s="11" t="str">
        <f>IF(Table1[[#This Row],[Solar 
Resource]]&lt;3,"Low", IF(Table1[[#This Row],[Solar 
Resource]]&lt;4, "Moderate","High"))</f>
        <v>Moderate</v>
      </c>
      <c r="L830" s="11">
        <v>0.98125320000000005</v>
      </c>
      <c r="M830" s="11">
        <v>34.750941939999997</v>
      </c>
      <c r="N830" s="11">
        <v>1115.1422219999999</v>
      </c>
      <c r="O830" s="11">
        <v>1494.2905040000001</v>
      </c>
      <c r="P830" s="11">
        <f>Table1[[#This Row],[Installed Capacity 
(AC -MW)]]/Table1[[#This Row],[Installed Capacity 
(DC -MW)]]</f>
        <v>0.74626869341331226</v>
      </c>
      <c r="Q830" s="12">
        <v>0.20139492000000001</v>
      </c>
      <c r="R830" s="12">
        <v>0.1502947</v>
      </c>
      <c r="S830" s="13">
        <v>47.421364560000001</v>
      </c>
      <c r="T830" s="11">
        <v>1.536396103</v>
      </c>
      <c r="U830" s="11">
        <v>195.76555189999999</v>
      </c>
      <c r="V830" s="13">
        <v>742332.75349999999</v>
      </c>
      <c r="W830" s="13">
        <v>787620.5</v>
      </c>
      <c r="X830" s="13">
        <v>36.117103999999998</v>
      </c>
      <c r="Y830" s="14">
        <f>+Table1[[#This Row],[Generation Cost 
LCOE (USD/MWh)]]+Table1[[#This Row],[Transmission Cost
LCOT (USD/MWh)]]</f>
        <v>83.538468559999998</v>
      </c>
    </row>
    <row r="831" spans="1:25" x14ac:dyDescent="0.3">
      <c r="A831" s="7">
        <v>830</v>
      </c>
      <c r="B831" s="8">
        <v>7685</v>
      </c>
      <c r="C831" s="9">
        <v>48.30977</v>
      </c>
      <c r="D831" s="9">
        <v>-114.110466</v>
      </c>
      <c r="E831" s="10" t="s">
        <v>42</v>
      </c>
      <c r="F831" s="10" t="s">
        <v>3</v>
      </c>
      <c r="G831" s="10" t="s">
        <v>15</v>
      </c>
      <c r="H831" s="10">
        <v>-7</v>
      </c>
      <c r="I831" s="11">
        <v>964.77777779999997</v>
      </c>
      <c r="J831" s="11">
        <v>3.4470622999999998</v>
      </c>
      <c r="K831" s="11" t="str">
        <f>IF(Table1[[#This Row],[Solar 
Resource]]&lt;3,"Low", IF(Table1[[#This Row],[Solar 
Resource]]&lt;4, "Moderate","High"))</f>
        <v>Moderate</v>
      </c>
      <c r="L831" s="11">
        <v>0.98133990000000004</v>
      </c>
      <c r="M831" s="11">
        <v>10.776563530000001</v>
      </c>
      <c r="N831" s="11">
        <v>345.81511540000002</v>
      </c>
      <c r="O831" s="11">
        <v>463.3922316</v>
      </c>
      <c r="P831" s="11">
        <f>Table1[[#This Row],[Installed Capacity 
(AC -MW)]]/Table1[[#This Row],[Installed Capacity 
(DC -MW)]]</f>
        <v>0.74626869381467642</v>
      </c>
      <c r="Q831" s="12">
        <v>0.19706380000000001</v>
      </c>
      <c r="R831" s="12">
        <v>0.14706253999999999</v>
      </c>
      <c r="S831" s="13">
        <v>48.466954520000002</v>
      </c>
      <c r="T831" s="11">
        <v>3.4391883089999999</v>
      </c>
      <c r="U831" s="11">
        <v>194.2137142</v>
      </c>
      <c r="V831" s="13">
        <v>706896.14350000001</v>
      </c>
      <c r="W831" s="13">
        <v>789264.1</v>
      </c>
      <c r="X831" s="13">
        <v>36.987920000000003</v>
      </c>
      <c r="Y831" s="14">
        <f>+Table1[[#This Row],[Generation Cost 
LCOE (USD/MWh)]]+Table1[[#This Row],[Transmission Cost
LCOT (USD/MWh)]]</f>
        <v>85.454874520000004</v>
      </c>
    </row>
    <row r="832" spans="1:25" x14ac:dyDescent="0.3">
      <c r="A832" s="7">
        <v>831</v>
      </c>
      <c r="B832" s="8">
        <v>7686</v>
      </c>
      <c r="C832" s="9">
        <v>48.32826</v>
      </c>
      <c r="D832" s="9">
        <v>-113.94889999999999</v>
      </c>
      <c r="E832" s="10" t="s">
        <v>42</v>
      </c>
      <c r="F832" s="10" t="s">
        <v>3</v>
      </c>
      <c r="G832" s="10" t="s">
        <v>15</v>
      </c>
      <c r="H832" s="10">
        <v>-7</v>
      </c>
      <c r="I832" s="11">
        <v>1283.7777779999999</v>
      </c>
      <c r="J832" s="11">
        <v>3.3518238</v>
      </c>
      <c r="K832" s="11" t="str">
        <f>IF(Table1[[#This Row],[Solar 
Resource]]&lt;3,"Low", IF(Table1[[#This Row],[Solar 
Resource]]&lt;4, "Moderate","High"))</f>
        <v>Moderate</v>
      </c>
      <c r="L832" s="11">
        <v>0.98145294000000005</v>
      </c>
      <c r="M832" s="11">
        <v>1.2755879649999999</v>
      </c>
      <c r="N832" s="11">
        <v>40.933048679999999</v>
      </c>
      <c r="O832" s="11">
        <v>54.85028251</v>
      </c>
      <c r="P832" s="11">
        <f>Table1[[#This Row],[Installed Capacity 
(AC -MW)]]/Table1[[#This Row],[Installed Capacity 
(DC -MW)]]</f>
        <v>0.74626869373986016</v>
      </c>
      <c r="Q832" s="12">
        <v>0.19258555999999999</v>
      </c>
      <c r="R832" s="12">
        <v>0.14372057999999999</v>
      </c>
      <c r="S832" s="13">
        <v>52.491866190000003</v>
      </c>
      <c r="T832" s="11">
        <v>5.7238181770000001</v>
      </c>
      <c r="U832" s="11">
        <v>213.3278895</v>
      </c>
      <c r="V832" s="13">
        <v>797324.3112</v>
      </c>
      <c r="W832" s="13">
        <v>949481.9</v>
      </c>
      <c r="X832" s="13">
        <v>45.531019999999998</v>
      </c>
      <c r="Y832" s="14">
        <f>+Table1[[#This Row],[Generation Cost 
LCOE (USD/MWh)]]+Table1[[#This Row],[Transmission Cost
LCOT (USD/MWh)]]</f>
        <v>98.022886190000008</v>
      </c>
    </row>
    <row r="833" spans="1:25" x14ac:dyDescent="0.3">
      <c r="A833" s="7">
        <v>832</v>
      </c>
      <c r="B833" s="8">
        <v>7687</v>
      </c>
      <c r="C833" s="9">
        <v>48.346589999999999</v>
      </c>
      <c r="D833" s="9">
        <v>-113.78722999999999</v>
      </c>
      <c r="E833" s="10" t="s">
        <v>42</v>
      </c>
      <c r="F833" s="10" t="s">
        <v>3</v>
      </c>
      <c r="G833" s="10" t="s">
        <v>15</v>
      </c>
      <c r="H833" s="10">
        <v>-7</v>
      </c>
      <c r="I833" s="11">
        <v>1220</v>
      </c>
      <c r="J833" s="11">
        <v>3.3048573000000001</v>
      </c>
      <c r="K833" s="11" t="str">
        <f>IF(Table1[[#This Row],[Solar 
Resource]]&lt;3,"Low", IF(Table1[[#This Row],[Solar 
Resource]]&lt;4, "Moderate","High"))</f>
        <v>Moderate</v>
      </c>
      <c r="L833" s="11">
        <v>0.98158276</v>
      </c>
      <c r="M833" s="11">
        <v>2.7216001E-2</v>
      </c>
      <c r="N833" s="11">
        <v>0.87334922800000003</v>
      </c>
      <c r="O833" s="11">
        <v>1.1702880470000001</v>
      </c>
      <c r="P833" s="11">
        <f>Table1[[#This Row],[Installed Capacity 
(AC -MW)]]/Table1[[#This Row],[Installed Capacity 
(DC -MW)]]</f>
        <v>0.74626860475829504</v>
      </c>
      <c r="Q833" s="12">
        <v>0.18934677999999999</v>
      </c>
      <c r="R833" s="12">
        <v>0.14130354000000001</v>
      </c>
      <c r="S833" s="13">
        <v>82.23183779</v>
      </c>
      <c r="T833" s="11">
        <v>18.414915570000002</v>
      </c>
      <c r="U833" s="11">
        <v>213.3278895</v>
      </c>
      <c r="V833" s="13">
        <v>797324.3112</v>
      </c>
      <c r="W833" s="13">
        <v>1062444.5</v>
      </c>
      <c r="X833" s="13">
        <v>51.819443</v>
      </c>
      <c r="Y833" s="14">
        <f>+Table1[[#This Row],[Generation Cost 
LCOE (USD/MWh)]]+Table1[[#This Row],[Transmission Cost
LCOT (USD/MWh)]]</f>
        <v>134.05128078999999</v>
      </c>
    </row>
    <row r="834" spans="1:25" x14ac:dyDescent="0.3">
      <c r="A834" s="7">
        <v>833</v>
      </c>
      <c r="B834" s="8">
        <v>7688</v>
      </c>
      <c r="C834" s="9">
        <v>48.364745999999997</v>
      </c>
      <c r="D834" s="9">
        <v>-113.62546</v>
      </c>
      <c r="E834" s="10" t="s">
        <v>42</v>
      </c>
      <c r="F834" s="10" t="s">
        <v>3</v>
      </c>
      <c r="G834" s="10" t="s">
        <v>15</v>
      </c>
      <c r="H834" s="10">
        <v>-7</v>
      </c>
      <c r="I834" s="11">
        <v>1393.666667</v>
      </c>
      <c r="J834" s="11">
        <v>3.3108686999999999</v>
      </c>
      <c r="K834" s="11" t="str">
        <f>IF(Table1[[#This Row],[Solar 
Resource]]&lt;3,"Low", IF(Table1[[#This Row],[Solar 
Resource]]&lt;4, "Moderate","High"))</f>
        <v>Moderate</v>
      </c>
      <c r="L834" s="11">
        <v>0.98168330000000004</v>
      </c>
      <c r="M834" s="11">
        <v>0.40435201599999998</v>
      </c>
      <c r="N834" s="11">
        <v>12.975472699999999</v>
      </c>
      <c r="O834" s="11">
        <v>17.387136689999998</v>
      </c>
      <c r="P834" s="11">
        <f>Table1[[#This Row],[Installed Capacity 
(AC -MW)]]/Table1[[#This Row],[Installed Capacity 
(DC -MW)]]</f>
        <v>0.74626851627977853</v>
      </c>
      <c r="Q834" s="12">
        <v>0.18816972000000001</v>
      </c>
      <c r="R834" s="12">
        <v>0.14042515999999999</v>
      </c>
      <c r="S834" s="13">
        <v>60.888433220000003</v>
      </c>
      <c r="T834" s="11">
        <v>58.254220740000001</v>
      </c>
      <c r="U834" s="11">
        <v>213.20061029999999</v>
      </c>
      <c r="V834" s="13">
        <v>796745.88260000001</v>
      </c>
      <c r="W834" s="13">
        <v>1298258</v>
      </c>
      <c r="X834" s="13">
        <v>63.717052000000002</v>
      </c>
      <c r="Y834" s="14">
        <f>+Table1[[#This Row],[Generation Cost 
LCOE (USD/MWh)]]+Table1[[#This Row],[Transmission Cost
LCOT (USD/MWh)]]</f>
        <v>124.60548522000001</v>
      </c>
    </row>
    <row r="835" spans="1:25" x14ac:dyDescent="0.3">
      <c r="A835" s="7">
        <v>834</v>
      </c>
      <c r="B835" s="8">
        <v>7690</v>
      </c>
      <c r="C835" s="9">
        <v>48.400579999999998</v>
      </c>
      <c r="D835" s="9">
        <v>-113.30159</v>
      </c>
      <c r="E835" s="10" t="s">
        <v>42</v>
      </c>
      <c r="F835" s="10" t="s">
        <v>3</v>
      </c>
      <c r="G835" s="10" t="s">
        <v>16</v>
      </c>
      <c r="H835" s="10">
        <v>-7</v>
      </c>
      <c r="I835" s="11">
        <v>1552</v>
      </c>
      <c r="J835" s="11">
        <v>3.6641536000000001</v>
      </c>
      <c r="K835" s="11" t="str">
        <f>IF(Table1[[#This Row],[Solar 
Resource]]&lt;3,"Low", IF(Table1[[#This Row],[Solar 
Resource]]&lt;4, "Moderate","High"))</f>
        <v>Moderate</v>
      </c>
      <c r="L835" s="11">
        <v>0.98201780000000005</v>
      </c>
      <c r="M835" s="11">
        <v>10.67709529</v>
      </c>
      <c r="N835" s="11">
        <v>342.62318329999999</v>
      </c>
      <c r="O835" s="11">
        <v>459.11509740000002</v>
      </c>
      <c r="P835" s="11">
        <f>Table1[[#This Row],[Installed Capacity 
(AC -MW)]]/Table1[[#This Row],[Installed Capacity 
(DC -MW)]]</f>
        <v>0.7462686050628663</v>
      </c>
      <c r="Q835" s="12">
        <v>0.2186786</v>
      </c>
      <c r="R835" s="12">
        <v>0.16319299000000001</v>
      </c>
      <c r="S835" s="13">
        <v>43.70002058</v>
      </c>
      <c r="T835" s="11">
        <v>34.925032430000002</v>
      </c>
      <c r="U835" s="11">
        <v>239.31888950000001</v>
      </c>
      <c r="V835" s="13">
        <v>641934.87360000005</v>
      </c>
      <c r="W835" s="13">
        <v>880910.4</v>
      </c>
      <c r="X835" s="13">
        <v>37.202305000000003</v>
      </c>
      <c r="Y835" s="14">
        <f>+Table1[[#This Row],[Generation Cost 
LCOE (USD/MWh)]]+Table1[[#This Row],[Transmission Cost
LCOT (USD/MWh)]]</f>
        <v>80.902325579999996</v>
      </c>
    </row>
    <row r="836" spans="1:25" x14ac:dyDescent="0.3">
      <c r="A836" s="7">
        <v>835</v>
      </c>
      <c r="B836" s="8">
        <v>7691</v>
      </c>
      <c r="C836" s="9">
        <v>48.418255000000002</v>
      </c>
      <c r="D836" s="9">
        <v>-113.1395</v>
      </c>
      <c r="E836" s="10" t="s">
        <v>42</v>
      </c>
      <c r="F836" s="10" t="s">
        <v>3</v>
      </c>
      <c r="G836" s="10" t="s">
        <v>16</v>
      </c>
      <c r="H836" s="10">
        <v>-7</v>
      </c>
      <c r="I836" s="11">
        <v>1513.3125</v>
      </c>
      <c r="J836" s="11">
        <v>3.7045028000000002</v>
      </c>
      <c r="K836" s="11" t="str">
        <f>IF(Table1[[#This Row],[Solar 
Resource]]&lt;3,"Low", IF(Table1[[#This Row],[Solar 
Resource]]&lt;4, "Moderate","High"))</f>
        <v>Moderate</v>
      </c>
      <c r="L836" s="11">
        <v>0.98215187000000004</v>
      </c>
      <c r="M836" s="11">
        <v>60.816018159999999</v>
      </c>
      <c r="N836" s="11">
        <v>1951.5584249999999</v>
      </c>
      <c r="O836" s="11">
        <v>2615.0887809999999</v>
      </c>
      <c r="P836" s="11">
        <f>Table1[[#This Row],[Installed Capacity 
(AC -MW)]]/Table1[[#This Row],[Installed Capacity 
(DC -MW)]]</f>
        <v>0.74626851645691794</v>
      </c>
      <c r="Q836" s="12">
        <v>0.22236949</v>
      </c>
      <c r="R836" s="12">
        <v>0.16594738000000001</v>
      </c>
      <c r="S836" s="13">
        <v>42.97929938</v>
      </c>
      <c r="T836" s="11">
        <v>25.039831150000001</v>
      </c>
      <c r="U836" s="11">
        <v>239.22888950000001</v>
      </c>
      <c r="V836" s="13">
        <v>641654.40899999999</v>
      </c>
      <c r="W836" s="13">
        <v>800277.2</v>
      </c>
      <c r="X836" s="13">
        <v>33.236065000000004</v>
      </c>
      <c r="Y836" s="14">
        <f>+Table1[[#This Row],[Generation Cost 
LCOE (USD/MWh)]]+Table1[[#This Row],[Transmission Cost
LCOT (USD/MWh)]]</f>
        <v>76.215364380000011</v>
      </c>
    </row>
    <row r="837" spans="1:25" x14ac:dyDescent="0.3">
      <c r="A837" s="7">
        <v>836</v>
      </c>
      <c r="B837" s="8">
        <v>7692</v>
      </c>
      <c r="C837" s="9">
        <v>48.435763999999999</v>
      </c>
      <c r="D837" s="9">
        <v>-112.97732499999999</v>
      </c>
      <c r="E837" s="10" t="s">
        <v>42</v>
      </c>
      <c r="F837" s="10" t="s">
        <v>3</v>
      </c>
      <c r="G837" s="10" t="s">
        <v>16</v>
      </c>
      <c r="H837" s="10">
        <v>-7</v>
      </c>
      <c r="I837" s="11">
        <v>1412.0526319999999</v>
      </c>
      <c r="J837" s="11">
        <v>3.7396332999999999</v>
      </c>
      <c r="K837" s="11" t="str">
        <f>IF(Table1[[#This Row],[Solar 
Resource]]&lt;3,"Low", IF(Table1[[#This Row],[Solar 
Resource]]&lt;4, "Moderate","High"))</f>
        <v>Moderate</v>
      </c>
      <c r="L837" s="11">
        <v>0.98228514</v>
      </c>
      <c r="M837" s="11">
        <v>82.156116800000007</v>
      </c>
      <c r="N837" s="11">
        <v>2636.3525060000002</v>
      </c>
      <c r="O837" s="11">
        <v>3532.7130219999999</v>
      </c>
      <c r="P837" s="11">
        <f>Table1[[#This Row],[Installed Capacity 
(AC -MW)]]/Table1[[#This Row],[Installed Capacity 
(DC -MW)]]</f>
        <v>0.74626851645805725</v>
      </c>
      <c r="Q837" s="12">
        <v>0.22563216</v>
      </c>
      <c r="R837" s="12">
        <v>0.16838220000000001</v>
      </c>
      <c r="S837" s="13">
        <v>42.362335960000003</v>
      </c>
      <c r="T837" s="11">
        <v>20.292123369999999</v>
      </c>
      <c r="U837" s="11">
        <v>235.6379349</v>
      </c>
      <c r="V837" s="13">
        <v>632636.89560000005</v>
      </c>
      <c r="W837" s="13">
        <v>763748.25</v>
      </c>
      <c r="X837" s="13">
        <v>31.260334</v>
      </c>
      <c r="Y837" s="14">
        <f>+Table1[[#This Row],[Generation Cost 
LCOE (USD/MWh)]]+Table1[[#This Row],[Transmission Cost
LCOT (USD/MWh)]]</f>
        <v>73.622669959999996</v>
      </c>
    </row>
    <row r="838" spans="1:25" x14ac:dyDescent="0.3">
      <c r="A838" s="7">
        <v>837</v>
      </c>
      <c r="B838" s="8">
        <v>7693</v>
      </c>
      <c r="C838" s="9">
        <v>48.453105999999998</v>
      </c>
      <c r="D838" s="9">
        <v>-112.81502999999999</v>
      </c>
      <c r="E838" s="10" t="s">
        <v>42</v>
      </c>
      <c r="F838" s="10" t="s">
        <v>3</v>
      </c>
      <c r="G838" s="10" t="s">
        <v>16</v>
      </c>
      <c r="H838" s="10">
        <v>-7</v>
      </c>
      <c r="I838" s="11">
        <v>1296.2666670000001</v>
      </c>
      <c r="J838" s="11">
        <v>3.7460846999999999</v>
      </c>
      <c r="K838" s="11" t="str">
        <f>IF(Table1[[#This Row],[Solar 
Resource]]&lt;3,"Low", IF(Table1[[#This Row],[Solar 
Resource]]&lt;4, "Moderate","High"))</f>
        <v>Moderate</v>
      </c>
      <c r="L838" s="11">
        <v>0.98245249999999995</v>
      </c>
      <c r="M838" s="11">
        <v>86.876716110000004</v>
      </c>
      <c r="N838" s="11">
        <v>2787.8340640000001</v>
      </c>
      <c r="O838" s="11">
        <v>3735.698793</v>
      </c>
      <c r="P838" s="11">
        <f>Table1[[#This Row],[Installed Capacity 
(AC -MW)]]/Table1[[#This Row],[Installed Capacity 
(DC -MW)]]</f>
        <v>0.74626842753593492</v>
      </c>
      <c r="Q838" s="12">
        <v>0.22760937000000001</v>
      </c>
      <c r="R838" s="12">
        <v>0.16985774000000001</v>
      </c>
      <c r="S838" s="13">
        <v>41.999941479999997</v>
      </c>
      <c r="T838" s="11">
        <v>18.893149340000001</v>
      </c>
      <c r="U838" s="11">
        <v>222.1059544</v>
      </c>
      <c r="V838" s="13">
        <v>597137.27509999997</v>
      </c>
      <c r="W838" s="13">
        <v>721814.9</v>
      </c>
      <c r="X838" s="13">
        <v>29.287354000000001</v>
      </c>
      <c r="Y838" s="14">
        <f>+Table1[[#This Row],[Generation Cost 
LCOE (USD/MWh)]]+Table1[[#This Row],[Transmission Cost
LCOT (USD/MWh)]]</f>
        <v>71.287295479999997</v>
      </c>
    </row>
    <row r="839" spans="1:25" x14ac:dyDescent="0.3">
      <c r="A839" s="7">
        <v>838</v>
      </c>
      <c r="B839" s="8">
        <v>7694</v>
      </c>
      <c r="C839" s="9">
        <v>48.470286999999999</v>
      </c>
      <c r="D839" s="9">
        <v>-112.65264000000001</v>
      </c>
      <c r="E839" s="10" t="s">
        <v>42</v>
      </c>
      <c r="F839" s="10" t="s">
        <v>3</v>
      </c>
      <c r="G839" s="10" t="s">
        <v>16</v>
      </c>
      <c r="H839" s="10">
        <v>-7</v>
      </c>
      <c r="I839" s="11">
        <v>1217.7619050000001</v>
      </c>
      <c r="J839" s="11">
        <v>3.7573295</v>
      </c>
      <c r="K839" s="11" t="str">
        <f>IF(Table1[[#This Row],[Solar 
Resource]]&lt;3,"Low", IF(Table1[[#This Row],[Solar 
Resource]]&lt;4, "Moderate","High"))</f>
        <v>Moderate</v>
      </c>
      <c r="L839" s="11">
        <v>0.9825931</v>
      </c>
      <c r="M839" s="11">
        <v>91.971616109999999</v>
      </c>
      <c r="N839" s="11">
        <v>2951.3274249999999</v>
      </c>
      <c r="O839" s="11">
        <v>3954.779493</v>
      </c>
      <c r="P839" s="11">
        <f>Table1[[#This Row],[Installed Capacity 
(AC -MW)]]/Table1[[#This Row],[Installed Capacity 
(DC -MW)]]</f>
        <v>0.74626851641763581</v>
      </c>
      <c r="Q839" s="12">
        <v>0.22929849999999999</v>
      </c>
      <c r="R839" s="12">
        <v>0.17111829000000001</v>
      </c>
      <c r="S839" s="13">
        <v>41.695240130000002</v>
      </c>
      <c r="T839" s="11">
        <v>15.35007143</v>
      </c>
      <c r="U839" s="11">
        <v>214.65404530000001</v>
      </c>
      <c r="V839" s="13">
        <v>578240.55799999996</v>
      </c>
      <c r="W839" s="13">
        <v>694800</v>
      </c>
      <c r="X839" s="13">
        <v>27.983561999999999</v>
      </c>
      <c r="Y839" s="14">
        <f>+Table1[[#This Row],[Generation Cost 
LCOE (USD/MWh)]]+Table1[[#This Row],[Transmission Cost
LCOT (USD/MWh)]]</f>
        <v>69.678802130000008</v>
      </c>
    </row>
    <row r="840" spans="1:25" x14ac:dyDescent="0.3">
      <c r="A840" s="7">
        <v>839</v>
      </c>
      <c r="B840" s="8">
        <v>7695</v>
      </c>
      <c r="C840" s="9">
        <v>48.487299999999998</v>
      </c>
      <c r="D840" s="9">
        <v>-112.49016</v>
      </c>
      <c r="E840" s="10" t="s">
        <v>42</v>
      </c>
      <c r="F840" s="10" t="s">
        <v>3</v>
      </c>
      <c r="G840" s="10" t="s">
        <v>16</v>
      </c>
      <c r="H840" s="10">
        <v>-7</v>
      </c>
      <c r="I840" s="11">
        <v>1183.0625</v>
      </c>
      <c r="J840" s="11">
        <v>3.7770638000000001</v>
      </c>
      <c r="K840" s="11" t="str">
        <f>IF(Table1[[#This Row],[Solar 
Resource]]&lt;3,"Low", IF(Table1[[#This Row],[Solar 
Resource]]&lt;4, "Moderate","High"))</f>
        <v>Moderate</v>
      </c>
      <c r="L840" s="11">
        <v>0.98272866000000003</v>
      </c>
      <c r="M840" s="11">
        <v>87.0261627</v>
      </c>
      <c r="N840" s="11">
        <v>2792.6300689999998</v>
      </c>
      <c r="O840" s="11">
        <v>3742.124996</v>
      </c>
      <c r="P840" s="11">
        <f>Table1[[#This Row],[Installed Capacity 
(AC -MW)]]/Table1[[#This Row],[Installed Capacity 
(DC -MW)]]</f>
        <v>0.74626851641382208</v>
      </c>
      <c r="Q840" s="12">
        <v>0.23083140999999999</v>
      </c>
      <c r="R840" s="12">
        <v>0.17226225000000001</v>
      </c>
      <c r="S840" s="13">
        <v>41.422831680000002</v>
      </c>
      <c r="T840" s="11">
        <v>13.727422069999999</v>
      </c>
      <c r="U840" s="11">
        <v>201.9166233</v>
      </c>
      <c r="V840" s="13">
        <v>547129.66059999994</v>
      </c>
      <c r="W840" s="13">
        <v>655339.43999999994</v>
      </c>
      <c r="X840" s="13">
        <v>26.218983000000001</v>
      </c>
      <c r="Y840" s="14">
        <f>+Table1[[#This Row],[Generation Cost 
LCOE (USD/MWh)]]+Table1[[#This Row],[Transmission Cost
LCOT (USD/MWh)]]</f>
        <v>67.64181468000001</v>
      </c>
    </row>
    <row r="841" spans="1:25" x14ac:dyDescent="0.3">
      <c r="A841" s="7">
        <v>840</v>
      </c>
      <c r="B841" s="8">
        <v>7696</v>
      </c>
      <c r="C841" s="9">
        <v>48.504150000000003</v>
      </c>
      <c r="D841" s="9">
        <v>-112.32757599999999</v>
      </c>
      <c r="E841" s="10" t="s">
        <v>42</v>
      </c>
      <c r="F841" s="10" t="s">
        <v>3</v>
      </c>
      <c r="G841" s="10" t="s">
        <v>16</v>
      </c>
      <c r="H841" s="10">
        <v>-7</v>
      </c>
      <c r="I841" s="11">
        <v>1138.2857140000001</v>
      </c>
      <c r="J841" s="11">
        <v>3.7643034000000002</v>
      </c>
      <c r="K841" s="11" t="str">
        <f>IF(Table1[[#This Row],[Solar 
Resource]]&lt;3,"Low", IF(Table1[[#This Row],[Solar 
Resource]]&lt;4, "Moderate","High"))</f>
        <v>Moderate</v>
      </c>
      <c r="L841" s="11">
        <v>0.98285997000000003</v>
      </c>
      <c r="M841" s="11">
        <v>46.116535249999998</v>
      </c>
      <c r="N841" s="11">
        <v>1479.8590409999999</v>
      </c>
      <c r="O841" s="11">
        <v>1983.0110159999999</v>
      </c>
      <c r="P841" s="11">
        <f>Table1[[#This Row],[Installed Capacity 
(AC -MW)]]/Table1[[#This Row],[Installed Capacity 
(DC -MW)]]</f>
        <v>0.7462686939506139</v>
      </c>
      <c r="Q841" s="12">
        <v>0.22943287000000001</v>
      </c>
      <c r="R841" s="12">
        <v>0.17121855999999999</v>
      </c>
      <c r="S841" s="13">
        <v>41.67971387</v>
      </c>
      <c r="T841" s="11">
        <v>6.1173506470000003</v>
      </c>
      <c r="U841" s="11">
        <v>171.25686350000001</v>
      </c>
      <c r="V841" s="13">
        <v>456240.8334</v>
      </c>
      <c r="W841" s="13">
        <v>535144.30000000005</v>
      </c>
      <c r="X841" s="13">
        <v>21.540694999999999</v>
      </c>
      <c r="Y841" s="14">
        <f>+Table1[[#This Row],[Generation Cost 
LCOE (USD/MWh)]]+Table1[[#This Row],[Transmission Cost
LCOT (USD/MWh)]]</f>
        <v>63.22040887</v>
      </c>
    </row>
    <row r="842" spans="1:25" x14ac:dyDescent="0.3">
      <c r="A842" s="7">
        <v>841</v>
      </c>
      <c r="B842" s="8">
        <v>7697</v>
      </c>
      <c r="C842" s="9">
        <v>48.520836000000003</v>
      </c>
      <c r="D842" s="9">
        <v>-112.16489</v>
      </c>
      <c r="E842" s="10" t="s">
        <v>42</v>
      </c>
      <c r="F842" s="10" t="s">
        <v>3</v>
      </c>
      <c r="G842" s="10" t="s">
        <v>39</v>
      </c>
      <c r="H842" s="10">
        <v>-7</v>
      </c>
      <c r="I842" s="11">
        <v>1120</v>
      </c>
      <c r="J842" s="11">
        <v>3.7572117</v>
      </c>
      <c r="K842" s="11" t="str">
        <f>IF(Table1[[#This Row],[Solar 
Resource]]&lt;3,"Low", IF(Table1[[#This Row],[Solar 
Resource]]&lt;4, "Moderate","High"))</f>
        <v>Moderate</v>
      </c>
      <c r="L842" s="11">
        <v>0.98295622999999999</v>
      </c>
      <c r="M842" s="11">
        <v>47.242597410000002</v>
      </c>
      <c r="N842" s="11">
        <v>1515.9936929999999</v>
      </c>
      <c r="O842" s="11">
        <v>2031.431689</v>
      </c>
      <c r="P842" s="11">
        <f>Table1[[#This Row],[Installed Capacity 
(AC -MW)]]/Table1[[#This Row],[Installed Capacity 
(DC -MW)]]</f>
        <v>0.74626860514628901</v>
      </c>
      <c r="Q842" s="12">
        <v>0.22897234999999999</v>
      </c>
      <c r="R842" s="12">
        <v>0.1708749</v>
      </c>
      <c r="S842" s="13">
        <v>41.766743990000002</v>
      </c>
      <c r="T842" s="11">
        <v>1.08</v>
      </c>
      <c r="U842" s="11">
        <v>178.34877259999999</v>
      </c>
      <c r="V842" s="13">
        <v>474287.9252</v>
      </c>
      <c r="W842" s="13">
        <v>517086</v>
      </c>
      <c r="X842" s="13">
        <v>20.85567</v>
      </c>
      <c r="Y842" s="14">
        <f>+Table1[[#This Row],[Generation Cost 
LCOE (USD/MWh)]]+Table1[[#This Row],[Transmission Cost
LCOT (USD/MWh)]]</f>
        <v>62.622413989999998</v>
      </c>
    </row>
    <row r="843" spans="1:25" x14ac:dyDescent="0.3">
      <c r="A843" s="7">
        <v>842</v>
      </c>
      <c r="B843" s="8">
        <v>7698</v>
      </c>
      <c r="C843" s="9">
        <v>48.537357</v>
      </c>
      <c r="D843" s="9">
        <v>-112.00211</v>
      </c>
      <c r="E843" s="10" t="s">
        <v>42</v>
      </c>
      <c r="F843" s="10" t="s">
        <v>3</v>
      </c>
      <c r="G843" s="10" t="s">
        <v>39</v>
      </c>
      <c r="H843" s="10">
        <v>-7</v>
      </c>
      <c r="I843" s="11">
        <v>1062.1111109999999</v>
      </c>
      <c r="J843" s="11">
        <v>3.7488703999999999</v>
      </c>
      <c r="K843" s="11" t="str">
        <f>IF(Table1[[#This Row],[Solar 
Resource]]&lt;3,"Low", IF(Table1[[#This Row],[Solar 
Resource]]&lt;4, "Moderate","High"))</f>
        <v>Moderate</v>
      </c>
      <c r="L843" s="11">
        <v>0.98306506999999999</v>
      </c>
      <c r="M843" s="11">
        <v>48.24473115</v>
      </c>
      <c r="N843" s="11">
        <v>1548.151713</v>
      </c>
      <c r="O843" s="11">
        <v>2074.5234399999999</v>
      </c>
      <c r="P843" s="11">
        <f>Table1[[#This Row],[Installed Capacity 
(AC -MW)]]/Table1[[#This Row],[Installed Capacity 
(DC -MW)]]</f>
        <v>0.74626860470663081</v>
      </c>
      <c r="Q843" s="12">
        <v>0.22799388000000001</v>
      </c>
      <c r="R843" s="12">
        <v>0.17014468999999999</v>
      </c>
      <c r="S843" s="13">
        <v>41.949636849999997</v>
      </c>
      <c r="T843" s="11">
        <v>3.2991168819999999</v>
      </c>
      <c r="U843" s="11">
        <v>177.21120769999999</v>
      </c>
      <c r="V843" s="13">
        <v>469180.84350000002</v>
      </c>
      <c r="W843" s="13">
        <v>527318</v>
      </c>
      <c r="X843" s="13">
        <v>21.359635999999998</v>
      </c>
      <c r="Y843" s="14">
        <f>+Table1[[#This Row],[Generation Cost 
LCOE (USD/MWh)]]+Table1[[#This Row],[Transmission Cost
LCOT (USD/MWh)]]</f>
        <v>63.309272849999999</v>
      </c>
    </row>
    <row r="844" spans="1:25" x14ac:dyDescent="0.3">
      <c r="A844" s="7">
        <v>843</v>
      </c>
      <c r="B844" s="8">
        <v>7699</v>
      </c>
      <c r="C844" s="9">
        <v>48.553710000000002</v>
      </c>
      <c r="D844" s="9">
        <v>-111.83923</v>
      </c>
      <c r="E844" s="10" t="s">
        <v>42</v>
      </c>
      <c r="F844" s="10" t="s">
        <v>3</v>
      </c>
      <c r="G844" s="10" t="s">
        <v>39</v>
      </c>
      <c r="H844" s="10">
        <v>-7</v>
      </c>
      <c r="I844" s="11">
        <v>1039.4000000000001</v>
      </c>
      <c r="J844" s="11">
        <v>3.7564706999999999</v>
      </c>
      <c r="K844" s="11" t="str">
        <f>IF(Table1[[#This Row],[Solar 
Resource]]&lt;3,"Low", IF(Table1[[#This Row],[Solar 
Resource]]&lt;4, "Moderate","High"))</f>
        <v>Moderate</v>
      </c>
      <c r="L844" s="11">
        <v>0.98309709999999995</v>
      </c>
      <c r="M844" s="11">
        <v>61.671778420000003</v>
      </c>
      <c r="N844" s="11">
        <v>1979.019618</v>
      </c>
      <c r="O844" s="11">
        <v>2651.8864720000001</v>
      </c>
      <c r="P844" s="11">
        <f>Table1[[#This Row],[Installed Capacity 
(AC -MW)]]/Table1[[#This Row],[Installed Capacity 
(DC -MW)]]</f>
        <v>0.74626860497065806</v>
      </c>
      <c r="Q844" s="12">
        <v>0.22848287</v>
      </c>
      <c r="R844" s="12">
        <v>0.17050962</v>
      </c>
      <c r="S844" s="13">
        <v>41.860927719999999</v>
      </c>
      <c r="T844" s="11">
        <v>6.5002857069999997</v>
      </c>
      <c r="U844" s="11">
        <v>169.2720194</v>
      </c>
      <c r="V844" s="13">
        <v>447022.56530000002</v>
      </c>
      <c r="W844" s="13">
        <v>524612.30000000005</v>
      </c>
      <c r="X844" s="13">
        <v>21.204560000000001</v>
      </c>
      <c r="Y844" s="14">
        <f>+Table1[[#This Row],[Generation Cost 
LCOE (USD/MWh)]]+Table1[[#This Row],[Transmission Cost
LCOT (USD/MWh)]]</f>
        <v>63.06548772</v>
      </c>
    </row>
    <row r="845" spans="1:25" x14ac:dyDescent="0.3">
      <c r="A845" s="7">
        <v>844</v>
      </c>
      <c r="B845" s="8">
        <v>7700</v>
      </c>
      <c r="C845" s="9">
        <v>48.569899999999997</v>
      </c>
      <c r="D845" s="9">
        <v>-111.67627</v>
      </c>
      <c r="E845" s="10" t="s">
        <v>42</v>
      </c>
      <c r="F845" s="10" t="s">
        <v>3</v>
      </c>
      <c r="G845" s="10" t="s">
        <v>39</v>
      </c>
      <c r="H845" s="10">
        <v>-7</v>
      </c>
      <c r="I845" s="11">
        <v>1012.705882</v>
      </c>
      <c r="J845" s="11">
        <v>3.7695956000000002</v>
      </c>
      <c r="K845" s="11" t="str">
        <f>IF(Table1[[#This Row],[Solar 
Resource]]&lt;3,"Low", IF(Table1[[#This Row],[Solar 
Resource]]&lt;4, "Moderate","High"))</f>
        <v>Moderate</v>
      </c>
      <c r="L845" s="11">
        <v>0.9831202</v>
      </c>
      <c r="M845" s="11">
        <v>51.120555469999999</v>
      </c>
      <c r="N845" s="11">
        <v>1640.435817</v>
      </c>
      <c r="O845" s="11">
        <v>2198.1838849999999</v>
      </c>
      <c r="P845" s="11">
        <f>Table1[[#This Row],[Installed Capacity 
(AC -MW)]]/Table1[[#This Row],[Installed Capacity 
(DC -MW)]]</f>
        <v>0.74626869398599016</v>
      </c>
      <c r="Q845" s="12">
        <v>0.22929447999999999</v>
      </c>
      <c r="R845" s="12">
        <v>0.1711153</v>
      </c>
      <c r="S845" s="13">
        <v>41.713534699999997</v>
      </c>
      <c r="T845" s="11">
        <v>12.76190909</v>
      </c>
      <c r="U845" s="11">
        <v>178.42488299999999</v>
      </c>
      <c r="V845" s="13">
        <v>469977.41369999998</v>
      </c>
      <c r="W845" s="13">
        <v>565545.25</v>
      </c>
      <c r="X845" s="13">
        <v>22.778134999999999</v>
      </c>
      <c r="Y845" s="14">
        <f>+Table1[[#This Row],[Generation Cost 
LCOE (USD/MWh)]]+Table1[[#This Row],[Transmission Cost
LCOT (USD/MWh)]]</f>
        <v>64.491669699999989</v>
      </c>
    </row>
    <row r="846" spans="1:25" x14ac:dyDescent="0.3">
      <c r="A846" s="7">
        <v>845</v>
      </c>
      <c r="B846" s="8">
        <v>7701</v>
      </c>
      <c r="C846" s="9">
        <v>48.585926000000001</v>
      </c>
      <c r="D846" s="9">
        <v>-111.513214</v>
      </c>
      <c r="E846" s="10" t="s">
        <v>42</v>
      </c>
      <c r="F846" s="10" t="s">
        <v>3</v>
      </c>
      <c r="G846" s="10" t="s">
        <v>39</v>
      </c>
      <c r="H846" s="10">
        <v>-7</v>
      </c>
      <c r="I846" s="11">
        <v>992.4</v>
      </c>
      <c r="J846" s="11">
        <v>3.7717494999999999</v>
      </c>
      <c r="K846" s="11" t="str">
        <f>IF(Table1[[#This Row],[Solar 
Resource]]&lt;3,"Low", IF(Table1[[#This Row],[Solar 
Resource]]&lt;4, "Moderate","High"))</f>
        <v>Moderate</v>
      </c>
      <c r="L846" s="11">
        <v>0.98311079999999995</v>
      </c>
      <c r="M846" s="11">
        <v>41.34968525</v>
      </c>
      <c r="N846" s="11">
        <v>1326.892951</v>
      </c>
      <c r="O846" s="11">
        <v>1778.036466</v>
      </c>
      <c r="P846" s="11">
        <f>Table1[[#This Row],[Installed Capacity 
(AC -MW)]]/Table1[[#This Row],[Installed Capacity 
(DC -MW)]]</f>
        <v>0.74626869379404503</v>
      </c>
      <c r="Q846" s="12">
        <v>0.22959246</v>
      </c>
      <c r="R846" s="12">
        <v>0.17133766</v>
      </c>
      <c r="S846" s="13">
        <v>41.659076689999999</v>
      </c>
      <c r="T846" s="11">
        <v>15.60947402</v>
      </c>
      <c r="U846" s="11">
        <v>186.37951290000001</v>
      </c>
      <c r="V846" s="13">
        <v>488631.32030000002</v>
      </c>
      <c r="W846" s="13">
        <v>588914.56000000006</v>
      </c>
      <c r="X846" s="13">
        <v>23.688583000000001</v>
      </c>
      <c r="Y846" s="14">
        <f>+Table1[[#This Row],[Generation Cost 
LCOE (USD/MWh)]]+Table1[[#This Row],[Transmission Cost
LCOT (USD/MWh)]]</f>
        <v>65.34765969</v>
      </c>
    </row>
    <row r="847" spans="1:25" x14ac:dyDescent="0.3">
      <c r="A847" s="7">
        <v>846</v>
      </c>
      <c r="B847" s="8">
        <v>7702</v>
      </c>
      <c r="C847" s="9">
        <v>48.601784000000002</v>
      </c>
      <c r="D847" s="9">
        <v>-111.35007</v>
      </c>
      <c r="E847" s="10" t="s">
        <v>42</v>
      </c>
      <c r="F847" s="10" t="s">
        <v>3</v>
      </c>
      <c r="G847" s="10" t="s">
        <v>39</v>
      </c>
      <c r="H847" s="10">
        <v>-7</v>
      </c>
      <c r="I847" s="11">
        <v>1008.8421049999999</v>
      </c>
      <c r="J847" s="11">
        <v>3.7631109</v>
      </c>
      <c r="K847" s="11" t="str">
        <f>IF(Table1[[#This Row],[Solar 
Resource]]&lt;3,"Low", IF(Table1[[#This Row],[Solar 
Resource]]&lt;4, "Moderate","High"))</f>
        <v>Moderate</v>
      </c>
      <c r="L847" s="11">
        <v>0.9830139</v>
      </c>
      <c r="M847" s="11">
        <v>51.526362300000002</v>
      </c>
      <c r="N847" s="11">
        <v>1653.457977</v>
      </c>
      <c r="O847" s="11">
        <v>2215.6335789999998</v>
      </c>
      <c r="P847" s="11">
        <f>Table1[[#This Row],[Installed Capacity 
(AC -MW)]]/Table1[[#This Row],[Installed Capacity 
(DC -MW)]]</f>
        <v>0.74626869382719363</v>
      </c>
      <c r="Q847" s="12">
        <v>0.22901975999999999</v>
      </c>
      <c r="R847" s="12">
        <v>0.17091028</v>
      </c>
      <c r="S847" s="13">
        <v>41.760024170000001</v>
      </c>
      <c r="T847" s="11">
        <v>22.173720750000001</v>
      </c>
      <c r="U847" s="11">
        <v>222.70927259999999</v>
      </c>
      <c r="V847" s="13">
        <v>580943.85210000002</v>
      </c>
      <c r="W847" s="13">
        <v>689997.1</v>
      </c>
      <c r="X847" s="13">
        <v>27.823945999999999</v>
      </c>
      <c r="Y847" s="14">
        <f>+Table1[[#This Row],[Generation Cost 
LCOE (USD/MWh)]]+Table1[[#This Row],[Transmission Cost
LCOT (USD/MWh)]]</f>
        <v>69.583970170000001</v>
      </c>
    </row>
    <row r="848" spans="1:25" x14ac:dyDescent="0.3">
      <c r="A848" s="7">
        <v>847</v>
      </c>
      <c r="B848" s="8">
        <v>7703</v>
      </c>
      <c r="C848" s="9">
        <v>48.617474000000001</v>
      </c>
      <c r="D848" s="9">
        <v>-111.18680999999999</v>
      </c>
      <c r="E848" s="10" t="s">
        <v>42</v>
      </c>
      <c r="F848" s="10" t="s">
        <v>3</v>
      </c>
      <c r="G848" s="10" t="s">
        <v>26</v>
      </c>
      <c r="H848" s="10">
        <v>-7</v>
      </c>
      <c r="I848" s="11">
        <v>1052.666667</v>
      </c>
      <c r="J848" s="11">
        <v>3.7874590000000001</v>
      </c>
      <c r="K848" s="11" t="str">
        <f>IF(Table1[[#This Row],[Solar 
Resource]]&lt;3,"Low", IF(Table1[[#This Row],[Solar 
Resource]]&lt;4, "Moderate","High"))</f>
        <v>Moderate</v>
      </c>
      <c r="L848" s="11">
        <v>0.98292416000000005</v>
      </c>
      <c r="M848" s="11">
        <v>47.373170360000003</v>
      </c>
      <c r="N848" s="11">
        <v>1520.1839010000001</v>
      </c>
      <c r="O848" s="11">
        <v>2037.0463259999999</v>
      </c>
      <c r="P848" s="11">
        <f>Table1[[#This Row],[Installed Capacity 
(AC -MW)]]/Table1[[#This Row],[Installed Capacity 
(DC -MW)]]</f>
        <v>0.74626869384216454</v>
      </c>
      <c r="Q848" s="12">
        <v>0.23106458999999999</v>
      </c>
      <c r="R848" s="12">
        <v>0.17243627</v>
      </c>
      <c r="S848" s="13">
        <v>41.387496929999998</v>
      </c>
      <c r="T848" s="11">
        <v>16.663889600000001</v>
      </c>
      <c r="U848" s="11">
        <v>222.70927259999999</v>
      </c>
      <c r="V848" s="13">
        <v>580943.85210000002</v>
      </c>
      <c r="W848" s="13">
        <v>665396.30000000005</v>
      </c>
      <c r="X848" s="13">
        <v>26.594474999999999</v>
      </c>
      <c r="Y848" s="14">
        <f>+Table1[[#This Row],[Generation Cost 
LCOE (USD/MWh)]]+Table1[[#This Row],[Transmission Cost
LCOT (USD/MWh)]]</f>
        <v>67.98197193</v>
      </c>
    </row>
    <row r="849" spans="1:25" x14ac:dyDescent="0.3">
      <c r="A849" s="7">
        <v>848</v>
      </c>
      <c r="B849" s="8">
        <v>7704</v>
      </c>
      <c r="C849" s="9">
        <v>48.633000000000003</v>
      </c>
      <c r="D849" s="9">
        <v>-111.02348000000001</v>
      </c>
      <c r="E849" s="10" t="s">
        <v>42</v>
      </c>
      <c r="F849" s="10" t="s">
        <v>3</v>
      </c>
      <c r="G849" s="10" t="s">
        <v>26</v>
      </c>
      <c r="H849" s="10">
        <v>-7</v>
      </c>
      <c r="I849" s="11">
        <v>1026.3</v>
      </c>
      <c r="J849" s="11">
        <v>3.7832932000000001</v>
      </c>
      <c r="K849" s="11" t="str">
        <f>IF(Table1[[#This Row],[Solar 
Resource]]&lt;3,"Low", IF(Table1[[#This Row],[Solar 
Resource]]&lt;4, "Moderate","High"))</f>
        <v>Moderate</v>
      </c>
      <c r="L849" s="11">
        <v>0.98269653000000001</v>
      </c>
      <c r="M849" s="11">
        <v>38.97282173</v>
      </c>
      <c r="N849" s="11">
        <v>1250.620461</v>
      </c>
      <c r="O849" s="11">
        <v>1675.831334</v>
      </c>
      <c r="P849" s="11">
        <f>Table1[[#This Row],[Installed Capacity 
(AC -MW)]]/Table1[[#This Row],[Installed Capacity 
(DC -MW)]]</f>
        <v>0.74626869400688745</v>
      </c>
      <c r="Q849" s="12">
        <v>0.23066863000000001</v>
      </c>
      <c r="R849" s="12">
        <v>0.17214075000000001</v>
      </c>
      <c r="S849" s="13">
        <v>41.451012210000002</v>
      </c>
      <c r="T849" s="11">
        <v>18.633292189999999</v>
      </c>
      <c r="U849" s="11">
        <v>222.70927259999999</v>
      </c>
      <c r="V849" s="13">
        <v>580943.85210000002</v>
      </c>
      <c r="W849" s="13">
        <v>673226.06</v>
      </c>
      <c r="X849" s="13">
        <v>26.953600000000002</v>
      </c>
      <c r="Y849" s="14">
        <f>+Table1[[#This Row],[Generation Cost 
LCOE (USD/MWh)]]+Table1[[#This Row],[Transmission Cost
LCOT (USD/MWh)]]</f>
        <v>68.40461221000001</v>
      </c>
    </row>
    <row r="850" spans="1:25" x14ac:dyDescent="0.3">
      <c r="A850" s="7">
        <v>849</v>
      </c>
      <c r="B850" s="8">
        <v>7705</v>
      </c>
      <c r="C850" s="9">
        <v>48.648359999999997</v>
      </c>
      <c r="D850" s="9">
        <v>-110.86005400000001</v>
      </c>
      <c r="E850" s="10" t="s">
        <v>42</v>
      </c>
      <c r="F850" s="10" t="s">
        <v>3</v>
      </c>
      <c r="G850" s="10" t="s">
        <v>26</v>
      </c>
      <c r="H850" s="10">
        <v>-7</v>
      </c>
      <c r="I850" s="11">
        <v>1039.5999999999999</v>
      </c>
      <c r="J850" s="11">
        <v>3.7764446999999999</v>
      </c>
      <c r="K850" s="11" t="str">
        <f>IF(Table1[[#This Row],[Solar 
Resource]]&lt;3,"Low", IF(Table1[[#This Row],[Solar 
Resource]]&lt;4, "Moderate","High"))</f>
        <v>Moderate</v>
      </c>
      <c r="L850" s="11">
        <v>0.98187610000000003</v>
      </c>
      <c r="M850" s="11">
        <v>32.707796039999998</v>
      </c>
      <c r="N850" s="11">
        <v>1049.5784570000001</v>
      </c>
      <c r="O850" s="11">
        <v>1406.43523</v>
      </c>
      <c r="P850" s="11">
        <f>Table1[[#This Row],[Installed Capacity 
(AC -MW)]]/Table1[[#This Row],[Installed Capacity 
(DC -MW)]]</f>
        <v>0.74626860491826563</v>
      </c>
      <c r="Q850" s="12">
        <v>0.23021444999999999</v>
      </c>
      <c r="R850" s="12">
        <v>0.17180184000000001</v>
      </c>
      <c r="S850" s="13">
        <v>41.505562019999999</v>
      </c>
      <c r="T850" s="11">
        <v>16.886467530000001</v>
      </c>
      <c r="U850" s="11">
        <v>248.6803634</v>
      </c>
      <c r="V850" s="13">
        <v>622544.8077</v>
      </c>
      <c r="W850" s="13">
        <v>730274.44</v>
      </c>
      <c r="X850" s="13">
        <v>29.295297999999999</v>
      </c>
      <c r="Y850" s="14">
        <f>+Table1[[#This Row],[Generation Cost 
LCOE (USD/MWh)]]+Table1[[#This Row],[Transmission Cost
LCOT (USD/MWh)]]</f>
        <v>70.800860020000002</v>
      </c>
    </row>
    <row r="851" spans="1:25" x14ac:dyDescent="0.3">
      <c r="A851" s="7">
        <v>850</v>
      </c>
      <c r="B851" s="8">
        <v>7706</v>
      </c>
      <c r="C851" s="9">
        <v>48.663555000000002</v>
      </c>
      <c r="D851" s="9">
        <v>-110.69653</v>
      </c>
      <c r="E851" s="10" t="s">
        <v>42</v>
      </c>
      <c r="F851" s="10" t="s">
        <v>3</v>
      </c>
      <c r="G851" s="10" t="s">
        <v>19</v>
      </c>
      <c r="H851" s="10">
        <v>-7</v>
      </c>
      <c r="I851" s="11">
        <v>979.68421049999995</v>
      </c>
      <c r="J851" s="11">
        <v>3.7625709000000001</v>
      </c>
      <c r="K851" s="11" t="str">
        <f>IF(Table1[[#This Row],[Solar 
Resource]]&lt;3,"Low", IF(Table1[[#This Row],[Solar 
Resource]]&lt;4, "Moderate","High"))</f>
        <v>Moderate</v>
      </c>
      <c r="L851" s="11">
        <v>0.98145760000000004</v>
      </c>
      <c r="M851" s="11">
        <v>46.238683889999997</v>
      </c>
      <c r="N851" s="11">
        <v>1483.778736</v>
      </c>
      <c r="O851" s="11">
        <v>1988.2634069999999</v>
      </c>
      <c r="P851" s="11">
        <f>Table1[[#This Row],[Installed Capacity 
(AC -MW)]]/Table1[[#This Row],[Installed Capacity 
(DC -MW)]]</f>
        <v>0.74626869396485351</v>
      </c>
      <c r="Q851" s="12">
        <v>0.22921968000000001</v>
      </c>
      <c r="R851" s="12">
        <v>0.17105946</v>
      </c>
      <c r="S851" s="13">
        <v>41.671732650000003</v>
      </c>
      <c r="T851" s="11">
        <v>18.82014285</v>
      </c>
      <c r="U851" s="11">
        <v>237.1193375</v>
      </c>
      <c r="V851" s="13">
        <v>594882.45030000003</v>
      </c>
      <c r="W851" s="13">
        <v>708102</v>
      </c>
      <c r="X851" s="13">
        <v>28.529115999999998</v>
      </c>
      <c r="Y851" s="14">
        <f>+Table1[[#This Row],[Generation Cost 
LCOE (USD/MWh)]]+Table1[[#This Row],[Transmission Cost
LCOT (USD/MWh)]]</f>
        <v>70.200848649999998</v>
      </c>
    </row>
    <row r="852" spans="1:25" x14ac:dyDescent="0.3">
      <c r="A852" s="7">
        <v>851</v>
      </c>
      <c r="B852" s="8">
        <v>7707</v>
      </c>
      <c r="C852" s="9">
        <v>48.678584999999998</v>
      </c>
      <c r="D852" s="9">
        <v>-110.53292999999999</v>
      </c>
      <c r="E852" s="10" t="s">
        <v>42</v>
      </c>
      <c r="F852" s="10" t="s">
        <v>3</v>
      </c>
      <c r="G852" s="10" t="s">
        <v>19</v>
      </c>
      <c r="H852" s="10">
        <v>-7</v>
      </c>
      <c r="I852" s="11">
        <v>927.52631580000002</v>
      </c>
      <c r="J852" s="11">
        <v>3.7538415999999999</v>
      </c>
      <c r="K852" s="11" t="str">
        <f>IF(Table1[[#This Row],[Solar 
Resource]]&lt;3,"Low", IF(Table1[[#This Row],[Solar 
Resource]]&lt;4, "Moderate","High"))</f>
        <v>Moderate</v>
      </c>
      <c r="L852" s="11">
        <v>0.98108065</v>
      </c>
      <c r="M852" s="11">
        <v>39.861958889999997</v>
      </c>
      <c r="N852" s="11">
        <v>1279.1523239999999</v>
      </c>
      <c r="O852" s="11">
        <v>1714.0642319999999</v>
      </c>
      <c r="P852" s="11">
        <f>Table1[[#This Row],[Installed Capacity 
(AC -MW)]]/Table1[[#This Row],[Installed Capacity 
(DC -MW)]]</f>
        <v>0.74626860541128193</v>
      </c>
      <c r="Q852" s="12">
        <v>0.22854559999999999</v>
      </c>
      <c r="R852" s="12">
        <v>0.17055643000000001</v>
      </c>
      <c r="S852" s="13">
        <v>41.78204539</v>
      </c>
      <c r="T852" s="11">
        <v>20.672863629999998</v>
      </c>
      <c r="U852" s="11">
        <v>223.87919460000001</v>
      </c>
      <c r="V852" s="13">
        <v>563673.65949999995</v>
      </c>
      <c r="W852" s="13">
        <v>683832.56</v>
      </c>
      <c r="X852" s="13">
        <v>27.632572</v>
      </c>
      <c r="Y852" s="14">
        <f>+Table1[[#This Row],[Generation Cost 
LCOE (USD/MWh)]]+Table1[[#This Row],[Transmission Cost
LCOT (USD/MWh)]]</f>
        <v>69.414617390000004</v>
      </c>
    </row>
    <row r="853" spans="1:25" x14ac:dyDescent="0.3">
      <c r="A853" s="7">
        <v>852</v>
      </c>
      <c r="B853" s="8">
        <v>7708</v>
      </c>
      <c r="C853" s="9">
        <v>48.693443000000002</v>
      </c>
      <c r="D853" s="9">
        <v>-110.36924999999999</v>
      </c>
      <c r="E853" s="10" t="s">
        <v>42</v>
      </c>
      <c r="F853" s="10" t="s">
        <v>3</v>
      </c>
      <c r="G853" s="10" t="s">
        <v>19</v>
      </c>
      <c r="H853" s="10">
        <v>-7</v>
      </c>
      <c r="I853" s="11">
        <v>889.9375</v>
      </c>
      <c r="J853" s="11">
        <v>3.7599084</v>
      </c>
      <c r="K853" s="11" t="str">
        <f>IF(Table1[[#This Row],[Solar 
Resource]]&lt;3,"Low", IF(Table1[[#This Row],[Solar 
Resource]]&lt;4, "Moderate","High"))</f>
        <v>Moderate</v>
      </c>
      <c r="L853" s="11">
        <v>0.98069733000000003</v>
      </c>
      <c r="M853" s="11">
        <v>51.498660940000001</v>
      </c>
      <c r="N853" s="11">
        <v>1652.5690520000001</v>
      </c>
      <c r="O853" s="11">
        <v>2214.4424199999999</v>
      </c>
      <c r="P853" s="11">
        <f>Table1[[#This Row],[Installed Capacity 
(AC -MW)]]/Table1[[#This Row],[Installed Capacity 
(DC -MW)]]</f>
        <v>0.74626869367865534</v>
      </c>
      <c r="Q853" s="12">
        <v>0.2291782</v>
      </c>
      <c r="R853" s="12">
        <v>0.17102848000000001</v>
      </c>
      <c r="S853" s="13">
        <v>41.653933790000004</v>
      </c>
      <c r="T853" s="11">
        <v>22.56925974</v>
      </c>
      <c r="U853" s="11">
        <v>212.1008894</v>
      </c>
      <c r="V853" s="13">
        <v>535678.96059999999</v>
      </c>
      <c r="W853" s="13">
        <v>666945.43999999994</v>
      </c>
      <c r="X853" s="13">
        <v>26.875800999999999</v>
      </c>
      <c r="Y853" s="14">
        <f>+Table1[[#This Row],[Generation Cost 
LCOE (USD/MWh)]]+Table1[[#This Row],[Transmission Cost
LCOT (USD/MWh)]]</f>
        <v>68.529734790000006</v>
      </c>
    </row>
    <row r="854" spans="1:25" x14ac:dyDescent="0.3">
      <c r="A854" s="7">
        <v>853</v>
      </c>
      <c r="B854" s="8">
        <v>7709</v>
      </c>
      <c r="C854" s="9">
        <v>48.708137999999998</v>
      </c>
      <c r="D854" s="9">
        <v>-110.20547000000001</v>
      </c>
      <c r="E854" s="10" t="s">
        <v>42</v>
      </c>
      <c r="F854" s="10" t="s">
        <v>3</v>
      </c>
      <c r="G854" s="10" t="s">
        <v>19</v>
      </c>
      <c r="H854" s="10">
        <v>-7</v>
      </c>
      <c r="I854" s="11">
        <v>838.2857143</v>
      </c>
      <c r="J854" s="11">
        <v>3.7527919999999999</v>
      </c>
      <c r="K854" s="11" t="str">
        <f>IF(Table1[[#This Row],[Solar 
Resource]]&lt;3,"Low", IF(Table1[[#This Row],[Solar 
Resource]]&lt;4, "Moderate","High"))</f>
        <v>Moderate</v>
      </c>
      <c r="L854" s="11">
        <v>0.98020929999999995</v>
      </c>
      <c r="M854" s="11">
        <v>26.05478115</v>
      </c>
      <c r="N854" s="11">
        <v>836.08620299999995</v>
      </c>
      <c r="O854" s="11">
        <v>1120.3555899999999</v>
      </c>
      <c r="P854" s="11">
        <f>Table1[[#This Row],[Installed Capacity 
(AC -MW)]]/Table1[[#This Row],[Installed Capacity 
(DC -MW)]]</f>
        <v>0.74626860477395396</v>
      </c>
      <c r="Q854" s="12">
        <v>0.2286205</v>
      </c>
      <c r="R854" s="12">
        <v>0.17061232000000001</v>
      </c>
      <c r="S854" s="13">
        <v>41.739237060000001</v>
      </c>
      <c r="T854" s="11">
        <v>24.18286363</v>
      </c>
      <c r="U854" s="11">
        <v>199.92530500000001</v>
      </c>
      <c r="V854" s="13">
        <v>504008.53259999998</v>
      </c>
      <c r="W854" s="13">
        <v>641351.75</v>
      </c>
      <c r="X854" s="13">
        <v>25.907501</v>
      </c>
      <c r="Y854" s="14">
        <f>+Table1[[#This Row],[Generation Cost 
LCOE (USD/MWh)]]+Table1[[#This Row],[Transmission Cost
LCOT (USD/MWh)]]</f>
        <v>67.646738060000004</v>
      </c>
    </row>
    <row r="855" spans="1:25" x14ac:dyDescent="0.3">
      <c r="A855" s="7">
        <v>854</v>
      </c>
      <c r="B855" s="8">
        <v>7710</v>
      </c>
      <c r="C855" s="9">
        <v>48.722664000000002</v>
      </c>
      <c r="D855" s="9">
        <v>-110.0416</v>
      </c>
      <c r="E855" s="10" t="s">
        <v>42</v>
      </c>
      <c r="F855" s="10" t="s">
        <v>3</v>
      </c>
      <c r="G855" s="10" t="s">
        <v>19</v>
      </c>
      <c r="H855" s="10">
        <v>-7</v>
      </c>
      <c r="I855" s="11">
        <v>829.44444439999995</v>
      </c>
      <c r="J855" s="11">
        <v>3.7479203000000001</v>
      </c>
      <c r="K855" s="11" t="str">
        <f>IF(Table1[[#This Row],[Solar 
Resource]]&lt;3,"Low", IF(Table1[[#This Row],[Solar 
Resource]]&lt;4, "Moderate","High"))</f>
        <v>Moderate</v>
      </c>
      <c r="L855" s="11">
        <v>0.9796996</v>
      </c>
      <c r="M855" s="11">
        <v>50.016123630000003</v>
      </c>
      <c r="N855" s="11">
        <v>1604.9947099999999</v>
      </c>
      <c r="O855" s="11">
        <v>2150.6933159999999</v>
      </c>
      <c r="P855" s="11">
        <f>Table1[[#This Row],[Installed Capacity 
(AC -MW)]]/Table1[[#This Row],[Installed Capacity 
(DC -MW)]]</f>
        <v>0.74626851632434232</v>
      </c>
      <c r="Q855" s="12">
        <v>0.22826804000000001</v>
      </c>
      <c r="R855" s="12">
        <v>0.17034928999999999</v>
      </c>
      <c r="S855" s="13">
        <v>41.786625469999997</v>
      </c>
      <c r="T855" s="11">
        <v>26.3774935</v>
      </c>
      <c r="U855" s="11">
        <v>187.78699979999999</v>
      </c>
      <c r="V855" s="13">
        <v>473855.58519999997</v>
      </c>
      <c r="W855" s="13">
        <v>620976.25</v>
      </c>
      <c r="X855" s="13">
        <v>25.123161</v>
      </c>
      <c r="Y855" s="14">
        <f>+Table1[[#This Row],[Generation Cost 
LCOE (USD/MWh)]]+Table1[[#This Row],[Transmission Cost
LCOT (USD/MWh)]]</f>
        <v>66.90978647</v>
      </c>
    </row>
    <row r="856" spans="1:25" x14ac:dyDescent="0.3">
      <c r="A856" s="7">
        <v>855</v>
      </c>
      <c r="B856" s="8">
        <v>7711</v>
      </c>
      <c r="C856" s="9">
        <v>48.737026</v>
      </c>
      <c r="D856" s="9">
        <v>-109.877655</v>
      </c>
      <c r="E856" s="10" t="s">
        <v>42</v>
      </c>
      <c r="F856" s="10" t="s">
        <v>3</v>
      </c>
      <c r="G856" s="10" t="s">
        <v>19</v>
      </c>
      <c r="H856" s="10">
        <v>-7</v>
      </c>
      <c r="I856" s="11">
        <v>867</v>
      </c>
      <c r="J856" s="11">
        <v>3.7461289999999998</v>
      </c>
      <c r="K856" s="11" t="str">
        <f>IF(Table1[[#This Row],[Solar 
Resource]]&lt;3,"Low", IF(Table1[[#This Row],[Solar 
Resource]]&lt;4, "Moderate","High"))</f>
        <v>Moderate</v>
      </c>
      <c r="L856" s="11">
        <v>0.97920185000000004</v>
      </c>
      <c r="M856" s="11">
        <v>58.026129789999999</v>
      </c>
      <c r="N856" s="11">
        <v>1862.0323940000001</v>
      </c>
      <c r="O856" s="11">
        <v>2495.1235809999998</v>
      </c>
      <c r="P856" s="11">
        <f>Table1[[#This Row],[Installed Capacity 
(AC -MW)]]/Table1[[#This Row],[Installed Capacity 
(DC -MW)]]</f>
        <v>0.74626860496173564</v>
      </c>
      <c r="Q856" s="12">
        <v>0.22845845000000001</v>
      </c>
      <c r="R856" s="12">
        <v>0.17049135000000001</v>
      </c>
      <c r="S856" s="13">
        <v>41.735169900000002</v>
      </c>
      <c r="T856" s="11">
        <v>27.199831150000001</v>
      </c>
      <c r="U856" s="11">
        <v>204.8439673</v>
      </c>
      <c r="V856" s="13">
        <v>523869.80869999999</v>
      </c>
      <c r="W856" s="13">
        <v>675219.75</v>
      </c>
      <c r="X856" s="13">
        <v>27.29495</v>
      </c>
      <c r="Y856" s="14">
        <f>+Table1[[#This Row],[Generation Cost 
LCOE (USD/MWh)]]+Table1[[#This Row],[Transmission Cost
LCOT (USD/MWh)]]</f>
        <v>69.030119900000003</v>
      </c>
    </row>
    <row r="857" spans="1:25" x14ac:dyDescent="0.3">
      <c r="A857" s="7">
        <v>856</v>
      </c>
      <c r="B857" s="8">
        <v>7712</v>
      </c>
      <c r="C857" s="9">
        <v>48.751220000000004</v>
      </c>
      <c r="D857" s="9">
        <v>-109.71362000000001</v>
      </c>
      <c r="E857" s="10" t="s">
        <v>42</v>
      </c>
      <c r="F857" s="10" t="s">
        <v>3</v>
      </c>
      <c r="G857" s="10" t="s">
        <v>19</v>
      </c>
      <c r="H857" s="10">
        <v>-7</v>
      </c>
      <c r="I857" s="11">
        <v>837.57142859999999</v>
      </c>
      <c r="J857" s="11">
        <v>3.7410884000000002</v>
      </c>
      <c r="K857" s="11" t="str">
        <f>IF(Table1[[#This Row],[Solar 
Resource]]&lt;3,"Low", IF(Table1[[#This Row],[Solar 
Resource]]&lt;4, "Moderate","High"))</f>
        <v>Moderate</v>
      </c>
      <c r="L857" s="11">
        <v>0.97861480000000001</v>
      </c>
      <c r="M857" s="11">
        <v>69.455554100000001</v>
      </c>
      <c r="N857" s="11">
        <v>2228.7974770000001</v>
      </c>
      <c r="O857" s="11">
        <v>2986.5888260000002</v>
      </c>
      <c r="P857" s="11">
        <f>Table1[[#This Row],[Installed Capacity 
(AC -MW)]]/Table1[[#This Row],[Installed Capacity 
(DC -MW)]]</f>
        <v>0.74626860503763226</v>
      </c>
      <c r="Q857" s="12">
        <v>0.22784473</v>
      </c>
      <c r="R857" s="12">
        <v>0.17003338000000001</v>
      </c>
      <c r="S857" s="13">
        <v>41.827888399999999</v>
      </c>
      <c r="T857" s="11">
        <v>24.068376619999999</v>
      </c>
      <c r="U857" s="11">
        <v>204.8439673</v>
      </c>
      <c r="V857" s="13">
        <v>523869.80869999999</v>
      </c>
      <c r="W857" s="13">
        <v>665728.06000000006</v>
      </c>
      <c r="X857" s="13">
        <v>26.983750000000001</v>
      </c>
      <c r="Y857" s="14">
        <f>+Table1[[#This Row],[Generation Cost 
LCOE (USD/MWh)]]+Table1[[#This Row],[Transmission Cost
LCOT (USD/MWh)]]</f>
        <v>68.811638399999993</v>
      </c>
    </row>
    <row r="858" spans="1:25" x14ac:dyDescent="0.3">
      <c r="A858" s="7">
        <v>857</v>
      </c>
      <c r="B858" s="8">
        <v>7713</v>
      </c>
      <c r="C858" s="9">
        <v>48.765247000000002</v>
      </c>
      <c r="D858" s="9">
        <v>-109.549515</v>
      </c>
      <c r="E858" s="10" t="s">
        <v>42</v>
      </c>
      <c r="F858" s="10" t="s">
        <v>3</v>
      </c>
      <c r="G858" s="10" t="s">
        <v>19</v>
      </c>
      <c r="H858" s="10">
        <v>-7</v>
      </c>
      <c r="I858" s="11">
        <v>821.25</v>
      </c>
      <c r="J858" s="11">
        <v>3.7331777000000002</v>
      </c>
      <c r="K858" s="11" t="str">
        <f>IF(Table1[[#This Row],[Solar 
Resource]]&lt;3,"Low", IF(Table1[[#This Row],[Solar 
Resource]]&lt;4, "Moderate","High"))</f>
        <v>Moderate</v>
      </c>
      <c r="L858" s="11">
        <v>0.97790739999999998</v>
      </c>
      <c r="M858" s="11">
        <v>42.325090580000001</v>
      </c>
      <c r="N858" s="11">
        <v>1358.1932730000001</v>
      </c>
      <c r="O858" s="11">
        <v>1819.978895</v>
      </c>
      <c r="P858" s="11">
        <f>Table1[[#This Row],[Installed Capacity 
(AC -MW)]]/Table1[[#This Row],[Installed Capacity 
(DC -MW)]]</f>
        <v>0.74626869395647588</v>
      </c>
      <c r="Q858" s="12">
        <v>0.22747609999999999</v>
      </c>
      <c r="R858" s="12">
        <v>0.16975829000000001</v>
      </c>
      <c r="S858" s="13">
        <v>41.871920930000002</v>
      </c>
      <c r="T858" s="11">
        <v>23.184461020000001</v>
      </c>
      <c r="U858" s="11">
        <v>234.42471420000001</v>
      </c>
      <c r="V858" s="13">
        <v>610161.39439999999</v>
      </c>
      <c r="W858" s="13">
        <v>722963.4</v>
      </c>
      <c r="X858" s="13">
        <v>29.351134999999999</v>
      </c>
      <c r="Y858" s="14">
        <f>+Table1[[#This Row],[Generation Cost 
LCOE (USD/MWh)]]+Table1[[#This Row],[Transmission Cost
LCOT (USD/MWh)]]</f>
        <v>71.223055930000001</v>
      </c>
    </row>
    <row r="859" spans="1:25" x14ac:dyDescent="0.3">
      <c r="A859" s="7">
        <v>858</v>
      </c>
      <c r="B859" s="8">
        <v>7714</v>
      </c>
      <c r="C859" s="9">
        <v>48.779105999999999</v>
      </c>
      <c r="D859" s="9">
        <v>-109.38531500000001</v>
      </c>
      <c r="E859" s="10" t="s">
        <v>42</v>
      </c>
      <c r="F859" s="10" t="s">
        <v>3</v>
      </c>
      <c r="G859" s="10" t="s">
        <v>8</v>
      </c>
      <c r="H859" s="10">
        <v>-7</v>
      </c>
      <c r="I859" s="11">
        <v>791.94444439999995</v>
      </c>
      <c r="J859" s="11">
        <v>3.7149885</v>
      </c>
      <c r="K859" s="11" t="str">
        <f>IF(Table1[[#This Row],[Solar 
Resource]]&lt;3,"Low", IF(Table1[[#This Row],[Solar 
Resource]]&lt;4, "Moderate","High"))</f>
        <v>Moderate</v>
      </c>
      <c r="L859" s="11">
        <v>0.97733194000000001</v>
      </c>
      <c r="M859" s="11">
        <v>70.011701369999997</v>
      </c>
      <c r="N859" s="11">
        <v>2246.6437259999998</v>
      </c>
      <c r="O859" s="11">
        <v>3010.5031589999999</v>
      </c>
      <c r="P859" s="11">
        <f>Table1[[#This Row],[Installed Capacity 
(AC -MW)]]/Table1[[#This Row],[Installed Capacity 
(DC -MW)]]</f>
        <v>0.74626851637195035</v>
      </c>
      <c r="Q859" s="12">
        <v>0.22595345999999999</v>
      </c>
      <c r="R859" s="12">
        <v>0.16862199</v>
      </c>
      <c r="S859" s="13">
        <v>42.134621350000003</v>
      </c>
      <c r="T859" s="11">
        <v>14.35322077</v>
      </c>
      <c r="U859" s="11">
        <v>234.42471420000001</v>
      </c>
      <c r="V859" s="13">
        <v>610161.39439999999</v>
      </c>
      <c r="W859" s="13">
        <v>688430</v>
      </c>
      <c r="X859" s="13">
        <v>28.13748</v>
      </c>
      <c r="Y859" s="14">
        <f>+Table1[[#This Row],[Generation Cost 
LCOE (USD/MWh)]]+Table1[[#This Row],[Transmission Cost
LCOT (USD/MWh)]]</f>
        <v>70.27210135</v>
      </c>
    </row>
    <row r="860" spans="1:25" x14ac:dyDescent="0.3">
      <c r="A860" s="7">
        <v>859</v>
      </c>
      <c r="B860" s="8">
        <v>7715</v>
      </c>
      <c r="C860" s="9">
        <v>48.792797</v>
      </c>
      <c r="D860" s="9">
        <v>-109.22104</v>
      </c>
      <c r="E860" s="10" t="s">
        <v>42</v>
      </c>
      <c r="F860" s="10" t="s">
        <v>3</v>
      </c>
      <c r="G860" s="10" t="s">
        <v>8</v>
      </c>
      <c r="H860" s="10">
        <v>-7</v>
      </c>
      <c r="I860" s="11">
        <v>808.73684209999999</v>
      </c>
      <c r="J860" s="11">
        <v>3.7103071000000001</v>
      </c>
      <c r="K860" s="11" t="str">
        <f>IF(Table1[[#This Row],[Solar 
Resource]]&lt;3,"Low", IF(Table1[[#This Row],[Solar 
Resource]]&lt;4, "Moderate","High"))</f>
        <v>Moderate</v>
      </c>
      <c r="L860" s="11">
        <v>0.97670009999999996</v>
      </c>
      <c r="M860" s="11">
        <v>63.953553960000001</v>
      </c>
      <c r="N860" s="11">
        <v>2052.2405250000002</v>
      </c>
      <c r="O860" s="11">
        <v>2750.0028200000002</v>
      </c>
      <c r="P860" s="11">
        <f>Table1[[#This Row],[Installed Capacity 
(AC -MW)]]/Table1[[#This Row],[Installed Capacity 
(DC -MW)]]</f>
        <v>0.74626851655373938</v>
      </c>
      <c r="Q860" s="12">
        <v>0.22579974999999999</v>
      </c>
      <c r="R860" s="12">
        <v>0.16850725999999999</v>
      </c>
      <c r="S860" s="13">
        <v>42.141938379999999</v>
      </c>
      <c r="T860" s="11">
        <v>13.458519470000001</v>
      </c>
      <c r="U860" s="11">
        <v>234.42471420000001</v>
      </c>
      <c r="V860" s="13">
        <v>610161.39439999999</v>
      </c>
      <c r="W860" s="13">
        <v>687298.3</v>
      </c>
      <c r="X860" s="13">
        <v>28.110347999999998</v>
      </c>
      <c r="Y860" s="14">
        <f>+Table1[[#This Row],[Generation Cost 
LCOE (USD/MWh)]]+Table1[[#This Row],[Transmission Cost
LCOT (USD/MWh)]]</f>
        <v>70.252286380000001</v>
      </c>
    </row>
    <row r="861" spans="1:25" x14ac:dyDescent="0.3">
      <c r="A861" s="15">
        <v>860</v>
      </c>
      <c r="B861" s="16">
        <v>7716</v>
      </c>
      <c r="C861" s="17">
        <v>48.806319999999999</v>
      </c>
      <c r="D861" s="17">
        <v>-109.05669</v>
      </c>
      <c r="E861" s="18" t="s">
        <v>42</v>
      </c>
      <c r="F861" s="18" t="s">
        <v>3</v>
      </c>
      <c r="G861" s="18" t="s">
        <v>8</v>
      </c>
      <c r="H861" s="18">
        <v>-7</v>
      </c>
      <c r="I861" s="19">
        <v>881.46666670000002</v>
      </c>
      <c r="J861" s="19">
        <v>3.7202058</v>
      </c>
      <c r="K861" s="19" t="str">
        <f>IF(Table1[[#This Row],[Solar 
Resource]]&lt;3,"Low", IF(Table1[[#This Row],[Solar 
Resource]]&lt;4, "Moderate","High"))</f>
        <v>Moderate</v>
      </c>
      <c r="L861" s="19">
        <v>0.97603583000000005</v>
      </c>
      <c r="M861" s="19">
        <v>80.65599521</v>
      </c>
      <c r="N861" s="19">
        <v>2588.214285</v>
      </c>
      <c r="O861" s="19">
        <v>3468.2077939999999</v>
      </c>
      <c r="P861" s="19">
        <f>Table1[[#This Row],[Installed Capacity 
(AC -MW)]]/Table1[[#This Row],[Installed Capacity 
(DC -MW)]]</f>
        <v>0.74626851640135605</v>
      </c>
      <c r="Q861" s="20">
        <v>0.22733575</v>
      </c>
      <c r="R861" s="20">
        <v>0.16965353</v>
      </c>
      <c r="S861" s="21">
        <v>41.834891210000002</v>
      </c>
      <c r="T861" s="19">
        <v>20.971740239999999</v>
      </c>
      <c r="U861" s="19">
        <v>234.42471420000001</v>
      </c>
      <c r="V861" s="21">
        <v>610161.39439999999</v>
      </c>
      <c r="W861" s="21">
        <v>715508.9</v>
      </c>
      <c r="X861" s="21">
        <v>29.066431000000001</v>
      </c>
      <c r="Y861" s="22">
        <f>+Table1[[#This Row],[Generation Cost 
LCOE (USD/MWh)]]+Table1[[#This Row],[Transmission Cost
LCOT (USD/MWh)]]</f>
        <v>70.901322210000004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E3F8A-1B86-4D34-9043-EE70625EEE88}">
  <dimension ref="A1:C825"/>
  <sheetViews>
    <sheetView workbookViewId="0">
      <selection activeCell="E6" sqref="E6"/>
    </sheetView>
  </sheetViews>
  <sheetFormatPr defaultRowHeight="14.4" x14ac:dyDescent="0.3"/>
  <cols>
    <col min="1" max="1" width="12.5546875" style="31" bestFit="1" customWidth="1"/>
    <col min="2" max="2" width="26" bestFit="1" customWidth="1"/>
    <col min="3" max="3" width="15.33203125" bestFit="1" customWidth="1"/>
  </cols>
  <sheetData>
    <row r="1" spans="1:3" ht="24" customHeight="1" thickBot="1" x14ac:dyDescent="0.35"/>
    <row r="2" spans="1:3" ht="24" customHeight="1" thickTop="1" x14ac:dyDescent="0.3">
      <c r="B2" s="73" t="s">
        <v>69</v>
      </c>
      <c r="C2" s="74"/>
    </row>
    <row r="3" spans="1:3" ht="24" customHeight="1" x14ac:dyDescent="0.3">
      <c r="B3" s="27" t="s">
        <v>0</v>
      </c>
      <c r="C3" s="34" t="s">
        <v>68</v>
      </c>
    </row>
    <row r="4" spans="1:3" ht="24" customHeight="1" x14ac:dyDescent="0.3">
      <c r="B4" s="29" t="s">
        <v>1</v>
      </c>
      <c r="C4" s="35">
        <v>3.461059833846154</v>
      </c>
    </row>
    <row r="5" spans="1:3" ht="24" customHeight="1" x14ac:dyDescent="0.3">
      <c r="B5" s="29" t="s">
        <v>2</v>
      </c>
      <c r="C5" s="35">
        <v>3.5629102290322581</v>
      </c>
    </row>
    <row r="6" spans="1:3" ht="24" customHeight="1" x14ac:dyDescent="0.3">
      <c r="B6" s="29" t="s">
        <v>3</v>
      </c>
      <c r="C6" s="35">
        <v>3.6078655696969695</v>
      </c>
    </row>
    <row r="7" spans="1:3" ht="24" customHeight="1" x14ac:dyDescent="0.3">
      <c r="B7" s="29" t="s">
        <v>4</v>
      </c>
      <c r="C7" s="35">
        <v>3.4761533290806765</v>
      </c>
    </row>
    <row r="8" spans="1:3" ht="28.8" customHeight="1" thickBot="1" x14ac:dyDescent="0.35">
      <c r="B8" s="44" t="s">
        <v>5</v>
      </c>
      <c r="C8" s="37">
        <v>3.5135183456976722</v>
      </c>
    </row>
    <row r="9" spans="1:3" ht="36.6" customHeight="1" thickTop="1" x14ac:dyDescent="0.3">
      <c r="A9" s="75"/>
      <c r="B9" s="76"/>
    </row>
    <row r="10" spans="1:3" ht="25.05" customHeight="1" x14ac:dyDescent="0.3"/>
    <row r="11" spans="1:3" ht="39" customHeight="1" x14ac:dyDescent="0.3"/>
    <row r="12" spans="1:3" ht="25.05" customHeight="1" x14ac:dyDescent="0.3"/>
    <row r="13" spans="1:3" ht="25.05" customHeight="1" x14ac:dyDescent="0.3"/>
    <row r="14" spans="1:3" ht="25.05" customHeight="1" x14ac:dyDescent="0.3"/>
    <row r="15" spans="1:3" ht="25.05" customHeight="1" x14ac:dyDescent="0.3"/>
    <row r="16" spans="1:3" ht="25.05" customHeight="1" x14ac:dyDescent="0.3"/>
    <row r="17" spans="1:2" ht="25.05" customHeight="1" x14ac:dyDescent="0.3"/>
    <row r="20" spans="1:2" ht="23.4" customHeight="1" x14ac:dyDescent="0.3">
      <c r="A20" s="29"/>
      <c r="B20" s="2"/>
    </row>
    <row r="21" spans="1:2" ht="24" customHeight="1" x14ac:dyDescent="0.3"/>
    <row r="22" spans="1:2" ht="24" customHeight="1" x14ac:dyDescent="0.3"/>
    <row r="23" spans="1:2" ht="24" customHeight="1" x14ac:dyDescent="0.3"/>
    <row r="24" spans="1:2" ht="24" customHeight="1" x14ac:dyDescent="0.3"/>
    <row r="25" spans="1:2" ht="24" customHeight="1" x14ac:dyDescent="0.3"/>
    <row r="26" spans="1:2" ht="24" customHeight="1" x14ac:dyDescent="0.3"/>
    <row r="27" spans="1:2" ht="24" customHeight="1" x14ac:dyDescent="0.3"/>
    <row r="28" spans="1:2" ht="24" customHeight="1" x14ac:dyDescent="0.3"/>
    <row r="29" spans="1:2" ht="24" customHeight="1" x14ac:dyDescent="0.3"/>
    <row r="30" spans="1:2" ht="24" customHeight="1" x14ac:dyDescent="0.3"/>
    <row r="31" spans="1:2" ht="24" customHeight="1" x14ac:dyDescent="0.3"/>
    <row r="32" spans="1:2" ht="24" customHeight="1" x14ac:dyDescent="0.3"/>
    <row r="33" ht="24" customHeight="1" x14ac:dyDescent="0.3"/>
    <row r="34" ht="24" customHeight="1" x14ac:dyDescent="0.3"/>
    <row r="35" ht="24" customHeight="1" x14ac:dyDescent="0.3"/>
    <row r="36" ht="24" customHeight="1" x14ac:dyDescent="0.3"/>
    <row r="37" ht="24" customHeight="1" x14ac:dyDescent="0.3"/>
    <row r="38" ht="24" customHeight="1" x14ac:dyDescent="0.3"/>
    <row r="39" ht="24" customHeight="1" x14ac:dyDescent="0.3"/>
    <row r="40" ht="24" customHeight="1" x14ac:dyDescent="0.3"/>
    <row r="41" ht="24" customHeight="1" x14ac:dyDescent="0.3"/>
    <row r="42" ht="24" customHeight="1" x14ac:dyDescent="0.3"/>
    <row r="43" ht="24" customHeight="1" x14ac:dyDescent="0.3"/>
    <row r="44" ht="24" customHeight="1" x14ac:dyDescent="0.3"/>
    <row r="45" ht="24" customHeight="1" x14ac:dyDescent="0.3"/>
    <row r="46" ht="24" customHeight="1" x14ac:dyDescent="0.3"/>
    <row r="47" ht="24" customHeight="1" x14ac:dyDescent="0.3"/>
    <row r="48" ht="24" customHeight="1" x14ac:dyDescent="0.3"/>
    <row r="49" ht="24" customHeight="1" x14ac:dyDescent="0.3"/>
    <row r="50" ht="24" customHeight="1" x14ac:dyDescent="0.3"/>
    <row r="51" ht="24" customHeight="1" x14ac:dyDescent="0.3"/>
    <row r="52" ht="24" customHeight="1" x14ac:dyDescent="0.3"/>
    <row r="53" ht="24" customHeight="1" x14ac:dyDescent="0.3"/>
    <row r="54" ht="24" customHeight="1" x14ac:dyDescent="0.3"/>
    <row r="55" ht="24" customHeight="1" x14ac:dyDescent="0.3"/>
    <row r="56" ht="24" customHeight="1" x14ac:dyDescent="0.3"/>
    <row r="57" ht="24" customHeight="1" x14ac:dyDescent="0.3"/>
    <row r="58" ht="24" customHeight="1" x14ac:dyDescent="0.3"/>
    <row r="59" ht="24" customHeight="1" x14ac:dyDescent="0.3"/>
    <row r="60" ht="24" customHeight="1" x14ac:dyDescent="0.3"/>
    <row r="61" ht="24" customHeight="1" x14ac:dyDescent="0.3"/>
    <row r="62" ht="24" customHeight="1" x14ac:dyDescent="0.3"/>
    <row r="63" ht="24" customHeight="1" x14ac:dyDescent="0.3"/>
    <row r="64" ht="24" customHeight="1" x14ac:dyDescent="0.3"/>
    <row r="65" ht="24" customHeight="1" x14ac:dyDescent="0.3"/>
    <row r="66" ht="24" customHeight="1" x14ac:dyDescent="0.3"/>
    <row r="67" ht="24" customHeight="1" x14ac:dyDescent="0.3"/>
    <row r="68" ht="24" customHeight="1" x14ac:dyDescent="0.3"/>
    <row r="69" ht="24" customHeight="1" x14ac:dyDescent="0.3"/>
    <row r="70" ht="24" customHeight="1" x14ac:dyDescent="0.3"/>
    <row r="71" ht="24" customHeight="1" x14ac:dyDescent="0.3"/>
    <row r="72" ht="24" customHeight="1" x14ac:dyDescent="0.3"/>
    <row r="73" ht="24" customHeight="1" x14ac:dyDescent="0.3"/>
    <row r="74" ht="24" customHeight="1" x14ac:dyDescent="0.3"/>
    <row r="75" ht="24" customHeight="1" x14ac:dyDescent="0.3"/>
    <row r="76" ht="24" customHeight="1" x14ac:dyDescent="0.3"/>
    <row r="77" ht="24" customHeight="1" x14ac:dyDescent="0.3"/>
    <row r="78" ht="24" customHeight="1" x14ac:dyDescent="0.3"/>
    <row r="79" ht="24" customHeight="1" x14ac:dyDescent="0.3"/>
    <row r="80" ht="24" customHeight="1" x14ac:dyDescent="0.3"/>
    <row r="81" ht="24" customHeight="1" x14ac:dyDescent="0.3"/>
    <row r="82" ht="24" customHeight="1" x14ac:dyDescent="0.3"/>
    <row r="83" ht="24" customHeight="1" x14ac:dyDescent="0.3"/>
    <row r="84" ht="24" customHeight="1" x14ac:dyDescent="0.3"/>
    <row r="85" ht="24" customHeight="1" x14ac:dyDescent="0.3"/>
    <row r="86" ht="24" customHeight="1" x14ac:dyDescent="0.3"/>
    <row r="87" ht="24" customHeight="1" x14ac:dyDescent="0.3"/>
    <row r="88" ht="24" customHeight="1" x14ac:dyDescent="0.3"/>
    <row r="89" ht="24" customHeight="1" x14ac:dyDescent="0.3"/>
    <row r="90" ht="24" customHeight="1" x14ac:dyDescent="0.3"/>
    <row r="91" ht="24" customHeight="1" x14ac:dyDescent="0.3"/>
    <row r="92" ht="24" customHeight="1" x14ac:dyDescent="0.3"/>
    <row r="93" ht="24" customHeight="1" x14ac:dyDescent="0.3"/>
    <row r="94" ht="24" customHeight="1" x14ac:dyDescent="0.3"/>
    <row r="95" ht="24" customHeight="1" x14ac:dyDescent="0.3"/>
    <row r="96" ht="24" customHeight="1" x14ac:dyDescent="0.3"/>
    <row r="97" ht="24" customHeight="1" x14ac:dyDescent="0.3"/>
    <row r="98" ht="24" customHeight="1" x14ac:dyDescent="0.3"/>
    <row r="99" ht="24" customHeight="1" x14ac:dyDescent="0.3"/>
    <row r="100" ht="24" customHeight="1" x14ac:dyDescent="0.3"/>
    <row r="101" ht="24" customHeight="1" x14ac:dyDescent="0.3"/>
    <row r="102" ht="24" customHeight="1" x14ac:dyDescent="0.3"/>
    <row r="103" ht="24" customHeight="1" x14ac:dyDescent="0.3"/>
    <row r="104" ht="24" customHeight="1" x14ac:dyDescent="0.3"/>
    <row r="105" ht="24" customHeight="1" x14ac:dyDescent="0.3"/>
    <row r="106" ht="24" customHeight="1" x14ac:dyDescent="0.3"/>
    <row r="107" ht="24" customHeight="1" x14ac:dyDescent="0.3"/>
    <row r="108" ht="24" customHeight="1" x14ac:dyDescent="0.3"/>
    <row r="109" ht="24" customHeight="1" x14ac:dyDescent="0.3"/>
    <row r="110" ht="24" customHeight="1" x14ac:dyDescent="0.3"/>
    <row r="111" ht="24" customHeight="1" x14ac:dyDescent="0.3"/>
    <row r="112" ht="24" customHeight="1" x14ac:dyDescent="0.3"/>
    <row r="113" ht="24" customHeight="1" x14ac:dyDescent="0.3"/>
    <row r="114" ht="24" customHeight="1" x14ac:dyDescent="0.3"/>
    <row r="115" ht="24" customHeight="1" x14ac:dyDescent="0.3"/>
    <row r="116" ht="24" customHeight="1" x14ac:dyDescent="0.3"/>
    <row r="117" ht="24" customHeight="1" x14ac:dyDescent="0.3"/>
    <row r="118" ht="24" customHeight="1" x14ac:dyDescent="0.3"/>
    <row r="119" ht="24" customHeight="1" x14ac:dyDescent="0.3"/>
    <row r="120" ht="24" customHeight="1" x14ac:dyDescent="0.3"/>
    <row r="121" ht="24" customHeight="1" x14ac:dyDescent="0.3"/>
    <row r="122" ht="24" customHeight="1" x14ac:dyDescent="0.3"/>
    <row r="123" ht="24" customHeight="1" x14ac:dyDescent="0.3"/>
    <row r="124" ht="24" customHeight="1" x14ac:dyDescent="0.3"/>
    <row r="125" ht="24" customHeight="1" x14ac:dyDescent="0.3"/>
    <row r="126" ht="24" customHeight="1" x14ac:dyDescent="0.3"/>
    <row r="127" ht="24" customHeight="1" x14ac:dyDescent="0.3"/>
    <row r="128" ht="24" customHeight="1" x14ac:dyDescent="0.3"/>
    <row r="129" ht="24" customHeight="1" x14ac:dyDescent="0.3"/>
    <row r="130" ht="24" customHeight="1" x14ac:dyDescent="0.3"/>
    <row r="131" ht="24" customHeight="1" x14ac:dyDescent="0.3"/>
    <row r="132" ht="24" customHeight="1" x14ac:dyDescent="0.3"/>
    <row r="133" ht="24" customHeight="1" x14ac:dyDescent="0.3"/>
    <row r="134" ht="24" customHeight="1" x14ac:dyDescent="0.3"/>
    <row r="135" ht="24" customHeight="1" x14ac:dyDescent="0.3"/>
    <row r="136" ht="24" customHeight="1" x14ac:dyDescent="0.3"/>
    <row r="137" ht="24" customHeight="1" x14ac:dyDescent="0.3"/>
    <row r="138" ht="24" customHeight="1" x14ac:dyDescent="0.3"/>
    <row r="139" ht="24" customHeight="1" x14ac:dyDescent="0.3"/>
    <row r="140" ht="24" customHeight="1" x14ac:dyDescent="0.3"/>
    <row r="141" ht="24" customHeight="1" x14ac:dyDescent="0.3"/>
    <row r="142" ht="24" customHeight="1" x14ac:dyDescent="0.3"/>
    <row r="143" ht="24" customHeight="1" x14ac:dyDescent="0.3"/>
    <row r="144" ht="24" customHeight="1" x14ac:dyDescent="0.3"/>
    <row r="145" ht="24" customHeight="1" x14ac:dyDescent="0.3"/>
    <row r="146" ht="24" customHeight="1" x14ac:dyDescent="0.3"/>
    <row r="147" ht="24" customHeight="1" x14ac:dyDescent="0.3"/>
    <row r="148" ht="24" customHeight="1" x14ac:dyDescent="0.3"/>
    <row r="149" ht="24" customHeight="1" x14ac:dyDescent="0.3"/>
    <row r="150" ht="24" customHeight="1" x14ac:dyDescent="0.3"/>
    <row r="151" ht="24" customHeight="1" x14ac:dyDescent="0.3"/>
    <row r="152" ht="24" customHeight="1" x14ac:dyDescent="0.3"/>
    <row r="153" ht="24" customHeight="1" x14ac:dyDescent="0.3"/>
    <row r="154" ht="24" customHeight="1" x14ac:dyDescent="0.3"/>
    <row r="155" ht="24" customHeight="1" x14ac:dyDescent="0.3"/>
    <row r="156" ht="24" customHeight="1" x14ac:dyDescent="0.3"/>
    <row r="157" ht="24" customHeight="1" x14ac:dyDescent="0.3"/>
    <row r="158" ht="24" customHeight="1" x14ac:dyDescent="0.3"/>
    <row r="159" ht="24" customHeight="1" x14ac:dyDescent="0.3"/>
    <row r="160" ht="24" customHeight="1" x14ac:dyDescent="0.3"/>
    <row r="161" ht="24" customHeight="1" x14ac:dyDescent="0.3"/>
    <row r="162" ht="24" customHeight="1" x14ac:dyDescent="0.3"/>
    <row r="163" ht="24" customHeight="1" x14ac:dyDescent="0.3"/>
    <row r="164" ht="24" customHeight="1" x14ac:dyDescent="0.3"/>
    <row r="165" ht="24" customHeight="1" x14ac:dyDescent="0.3"/>
    <row r="166" ht="24" customHeight="1" x14ac:dyDescent="0.3"/>
    <row r="167" ht="24" customHeight="1" x14ac:dyDescent="0.3"/>
    <row r="168" ht="24" customHeight="1" x14ac:dyDescent="0.3"/>
    <row r="169" ht="24" customHeight="1" x14ac:dyDescent="0.3"/>
    <row r="170" ht="24" customHeight="1" x14ac:dyDescent="0.3"/>
    <row r="171" ht="24" customHeight="1" x14ac:dyDescent="0.3"/>
    <row r="172" ht="24" customHeight="1" x14ac:dyDescent="0.3"/>
    <row r="173" ht="24" customHeight="1" x14ac:dyDescent="0.3"/>
    <row r="174" ht="24" customHeight="1" x14ac:dyDescent="0.3"/>
    <row r="175" ht="24" customHeight="1" x14ac:dyDescent="0.3"/>
    <row r="176" ht="24" customHeight="1" x14ac:dyDescent="0.3"/>
    <row r="177" ht="24" customHeight="1" x14ac:dyDescent="0.3"/>
    <row r="178" ht="24" customHeight="1" x14ac:dyDescent="0.3"/>
    <row r="179" ht="24" customHeight="1" x14ac:dyDescent="0.3"/>
    <row r="180" ht="24" customHeight="1" x14ac:dyDescent="0.3"/>
    <row r="181" ht="24" customHeight="1" x14ac:dyDescent="0.3"/>
    <row r="182" ht="24" customHeight="1" x14ac:dyDescent="0.3"/>
    <row r="183" ht="24" customHeight="1" x14ac:dyDescent="0.3"/>
    <row r="184" ht="24" customHeight="1" x14ac:dyDescent="0.3"/>
    <row r="185" ht="24" customHeight="1" x14ac:dyDescent="0.3"/>
    <row r="186" ht="24" customHeight="1" x14ac:dyDescent="0.3"/>
    <row r="187" ht="24" customHeight="1" x14ac:dyDescent="0.3"/>
    <row r="188" ht="24" customHeight="1" x14ac:dyDescent="0.3"/>
    <row r="189" ht="24" customHeight="1" x14ac:dyDescent="0.3"/>
    <row r="190" ht="24" customHeight="1" x14ac:dyDescent="0.3"/>
    <row r="191" ht="24" customHeight="1" x14ac:dyDescent="0.3"/>
    <row r="192" ht="24" customHeight="1" x14ac:dyDescent="0.3"/>
    <row r="193" ht="24" customHeight="1" x14ac:dyDescent="0.3"/>
    <row r="194" ht="24" customHeight="1" x14ac:dyDescent="0.3"/>
    <row r="195" ht="24" customHeight="1" x14ac:dyDescent="0.3"/>
    <row r="196" ht="24" customHeight="1" x14ac:dyDescent="0.3"/>
    <row r="197" ht="24" customHeight="1" x14ac:dyDescent="0.3"/>
    <row r="198" ht="24" customHeight="1" x14ac:dyDescent="0.3"/>
    <row r="199" ht="24" customHeight="1" x14ac:dyDescent="0.3"/>
    <row r="200" ht="24" customHeight="1" x14ac:dyDescent="0.3"/>
    <row r="201" ht="24" customHeight="1" x14ac:dyDescent="0.3"/>
    <row r="202" ht="24" customHeight="1" x14ac:dyDescent="0.3"/>
    <row r="203" ht="24" customHeight="1" x14ac:dyDescent="0.3"/>
    <row r="204" ht="24" customHeight="1" x14ac:dyDescent="0.3"/>
    <row r="205" ht="24" customHeight="1" x14ac:dyDescent="0.3"/>
    <row r="206" ht="24" customHeight="1" x14ac:dyDescent="0.3"/>
    <row r="207" ht="24" customHeight="1" x14ac:dyDescent="0.3"/>
    <row r="208" ht="24" customHeight="1" x14ac:dyDescent="0.3"/>
    <row r="209" ht="24" customHeight="1" x14ac:dyDescent="0.3"/>
    <row r="210" ht="24" customHeight="1" x14ac:dyDescent="0.3"/>
    <row r="211" ht="24" customHeight="1" x14ac:dyDescent="0.3"/>
    <row r="212" ht="24" customHeight="1" x14ac:dyDescent="0.3"/>
    <row r="213" ht="24" customHeight="1" x14ac:dyDescent="0.3"/>
    <row r="214" ht="24" customHeight="1" x14ac:dyDescent="0.3"/>
    <row r="215" ht="24" customHeight="1" x14ac:dyDescent="0.3"/>
    <row r="216" ht="24" customHeight="1" x14ac:dyDescent="0.3"/>
    <row r="217" ht="24" customHeight="1" x14ac:dyDescent="0.3"/>
    <row r="218" ht="24" customHeight="1" x14ac:dyDescent="0.3"/>
    <row r="219" ht="24" customHeight="1" x14ac:dyDescent="0.3"/>
    <row r="220" ht="24" customHeight="1" x14ac:dyDescent="0.3"/>
    <row r="221" ht="24" customHeight="1" x14ac:dyDescent="0.3"/>
    <row r="222" ht="24" customHeight="1" x14ac:dyDescent="0.3"/>
    <row r="223" ht="24" customHeight="1" x14ac:dyDescent="0.3"/>
    <row r="224" ht="24" customHeight="1" x14ac:dyDescent="0.3"/>
    <row r="225" ht="24" customHeight="1" x14ac:dyDescent="0.3"/>
    <row r="226" ht="24" customHeight="1" x14ac:dyDescent="0.3"/>
    <row r="227" ht="24" customHeight="1" x14ac:dyDescent="0.3"/>
    <row r="228" ht="24" customHeight="1" x14ac:dyDescent="0.3"/>
    <row r="229" ht="24" customHeight="1" x14ac:dyDescent="0.3"/>
    <row r="230" ht="24" customHeight="1" x14ac:dyDescent="0.3"/>
    <row r="231" ht="24" customHeight="1" x14ac:dyDescent="0.3"/>
    <row r="232" ht="24" customHeight="1" x14ac:dyDescent="0.3"/>
    <row r="233" ht="24" customHeight="1" x14ac:dyDescent="0.3"/>
    <row r="234" ht="24" customHeight="1" x14ac:dyDescent="0.3"/>
    <row r="235" ht="24" customHeight="1" x14ac:dyDescent="0.3"/>
    <row r="236" ht="24" customHeight="1" x14ac:dyDescent="0.3"/>
    <row r="237" ht="24" customHeight="1" x14ac:dyDescent="0.3"/>
    <row r="238" ht="24" customHeight="1" x14ac:dyDescent="0.3"/>
    <row r="239" ht="24" customHeight="1" x14ac:dyDescent="0.3"/>
    <row r="240" ht="24" customHeight="1" x14ac:dyDescent="0.3"/>
    <row r="241" ht="24" customHeight="1" x14ac:dyDescent="0.3"/>
    <row r="242" ht="24" customHeight="1" x14ac:dyDescent="0.3"/>
    <row r="243" ht="24" customHeight="1" x14ac:dyDescent="0.3"/>
    <row r="244" ht="24" customHeight="1" x14ac:dyDescent="0.3"/>
    <row r="245" ht="24" customHeight="1" x14ac:dyDescent="0.3"/>
    <row r="246" ht="24" customHeight="1" x14ac:dyDescent="0.3"/>
    <row r="247" ht="24" customHeight="1" x14ac:dyDescent="0.3"/>
    <row r="248" ht="24" customHeight="1" x14ac:dyDescent="0.3"/>
    <row r="249" ht="24" customHeight="1" x14ac:dyDescent="0.3"/>
    <row r="250" ht="24" customHeight="1" x14ac:dyDescent="0.3"/>
    <row r="251" ht="24" customHeight="1" x14ac:dyDescent="0.3"/>
    <row r="252" ht="24" customHeight="1" x14ac:dyDescent="0.3"/>
    <row r="253" ht="24" customHeight="1" x14ac:dyDescent="0.3"/>
    <row r="254" ht="24" customHeight="1" x14ac:dyDescent="0.3"/>
    <row r="255" ht="24" customHeight="1" x14ac:dyDescent="0.3"/>
    <row r="256" ht="24" customHeight="1" x14ac:dyDescent="0.3"/>
    <row r="257" ht="24" customHeight="1" x14ac:dyDescent="0.3"/>
    <row r="258" ht="24" customHeight="1" x14ac:dyDescent="0.3"/>
    <row r="259" ht="24" customHeight="1" x14ac:dyDescent="0.3"/>
    <row r="260" ht="24" customHeight="1" x14ac:dyDescent="0.3"/>
    <row r="261" ht="24" customHeight="1" x14ac:dyDescent="0.3"/>
    <row r="262" ht="24" customHeight="1" x14ac:dyDescent="0.3"/>
    <row r="263" ht="24" customHeight="1" x14ac:dyDescent="0.3"/>
    <row r="264" ht="24" customHeight="1" x14ac:dyDescent="0.3"/>
    <row r="265" ht="24" customHeight="1" x14ac:dyDescent="0.3"/>
    <row r="266" ht="24" customHeight="1" x14ac:dyDescent="0.3"/>
    <row r="267" ht="24" customHeight="1" x14ac:dyDescent="0.3"/>
    <row r="268" ht="24" customHeight="1" x14ac:dyDescent="0.3"/>
    <row r="269" ht="24" customHeight="1" x14ac:dyDescent="0.3"/>
    <row r="270" ht="24" customHeight="1" x14ac:dyDescent="0.3"/>
    <row r="271" ht="24" customHeight="1" x14ac:dyDescent="0.3"/>
    <row r="272" ht="24" customHeight="1" x14ac:dyDescent="0.3"/>
    <row r="273" ht="24" customHeight="1" x14ac:dyDescent="0.3"/>
    <row r="274" ht="24" customHeight="1" x14ac:dyDescent="0.3"/>
    <row r="275" ht="24" customHeight="1" x14ac:dyDescent="0.3"/>
    <row r="276" ht="24" customHeight="1" x14ac:dyDescent="0.3"/>
    <row r="277" ht="24" customHeight="1" x14ac:dyDescent="0.3"/>
    <row r="278" ht="24" customHeight="1" x14ac:dyDescent="0.3"/>
    <row r="279" ht="24" customHeight="1" x14ac:dyDescent="0.3"/>
    <row r="280" ht="24" customHeight="1" x14ac:dyDescent="0.3"/>
    <row r="281" ht="24" customHeight="1" x14ac:dyDescent="0.3"/>
    <row r="282" ht="24" customHeight="1" x14ac:dyDescent="0.3"/>
    <row r="283" ht="24" customHeight="1" x14ac:dyDescent="0.3"/>
    <row r="284" ht="24" customHeight="1" x14ac:dyDescent="0.3"/>
    <row r="285" ht="24" customHeight="1" x14ac:dyDescent="0.3"/>
    <row r="286" ht="24" customHeight="1" x14ac:dyDescent="0.3"/>
    <row r="287" ht="24" customHeight="1" x14ac:dyDescent="0.3"/>
    <row r="288" ht="24" customHeight="1" x14ac:dyDescent="0.3"/>
    <row r="289" ht="24" customHeight="1" x14ac:dyDescent="0.3"/>
    <row r="290" ht="24" customHeight="1" x14ac:dyDescent="0.3"/>
    <row r="291" ht="24" customHeight="1" x14ac:dyDescent="0.3"/>
    <row r="292" ht="24" customHeight="1" x14ac:dyDescent="0.3"/>
    <row r="293" ht="24" customHeight="1" x14ac:dyDescent="0.3"/>
    <row r="294" ht="24" customHeight="1" x14ac:dyDescent="0.3"/>
    <row r="295" ht="24" customHeight="1" x14ac:dyDescent="0.3"/>
    <row r="296" ht="24" customHeight="1" x14ac:dyDescent="0.3"/>
    <row r="297" ht="24" customHeight="1" x14ac:dyDescent="0.3"/>
    <row r="298" ht="24" customHeight="1" x14ac:dyDescent="0.3"/>
    <row r="299" ht="24" customHeight="1" x14ac:dyDescent="0.3"/>
    <row r="300" ht="24" customHeight="1" x14ac:dyDescent="0.3"/>
    <row r="301" ht="24" customHeight="1" x14ac:dyDescent="0.3"/>
    <row r="302" ht="24" customHeight="1" x14ac:dyDescent="0.3"/>
    <row r="303" ht="24" customHeight="1" x14ac:dyDescent="0.3"/>
    <row r="304" ht="24" customHeight="1" x14ac:dyDescent="0.3"/>
    <row r="305" ht="24" customHeight="1" x14ac:dyDescent="0.3"/>
    <row r="306" ht="24" customHeight="1" x14ac:dyDescent="0.3"/>
    <row r="307" ht="24" customHeight="1" x14ac:dyDescent="0.3"/>
    <row r="308" ht="24" customHeight="1" x14ac:dyDescent="0.3"/>
    <row r="309" ht="24" customHeight="1" x14ac:dyDescent="0.3"/>
    <row r="310" ht="24" customHeight="1" x14ac:dyDescent="0.3"/>
    <row r="311" ht="24" customHeight="1" x14ac:dyDescent="0.3"/>
    <row r="312" ht="24" customHeight="1" x14ac:dyDescent="0.3"/>
    <row r="313" ht="24" customHeight="1" x14ac:dyDescent="0.3"/>
    <row r="314" ht="24" customHeight="1" x14ac:dyDescent="0.3"/>
    <row r="315" ht="24" customHeight="1" x14ac:dyDescent="0.3"/>
    <row r="316" ht="24" customHeight="1" x14ac:dyDescent="0.3"/>
    <row r="317" ht="24" customHeight="1" x14ac:dyDescent="0.3"/>
    <row r="318" ht="24" customHeight="1" x14ac:dyDescent="0.3"/>
    <row r="319" ht="24" customHeight="1" x14ac:dyDescent="0.3"/>
    <row r="320" ht="24" customHeight="1" x14ac:dyDescent="0.3"/>
    <row r="321" ht="24" customHeight="1" x14ac:dyDescent="0.3"/>
    <row r="322" ht="24" customHeight="1" x14ac:dyDescent="0.3"/>
    <row r="323" ht="24" customHeight="1" x14ac:dyDescent="0.3"/>
    <row r="324" ht="24" customHeight="1" x14ac:dyDescent="0.3"/>
    <row r="325" ht="24" customHeight="1" x14ac:dyDescent="0.3"/>
    <row r="326" ht="24" customHeight="1" x14ac:dyDescent="0.3"/>
    <row r="327" ht="24" customHeight="1" x14ac:dyDescent="0.3"/>
    <row r="328" ht="24" customHeight="1" x14ac:dyDescent="0.3"/>
    <row r="329" ht="24" customHeight="1" x14ac:dyDescent="0.3"/>
    <row r="330" ht="24" customHeight="1" x14ac:dyDescent="0.3"/>
    <row r="331" ht="24" customHeight="1" x14ac:dyDescent="0.3"/>
    <row r="332" ht="24" customHeight="1" x14ac:dyDescent="0.3"/>
    <row r="333" ht="24" customHeight="1" x14ac:dyDescent="0.3"/>
    <row r="334" ht="24" customHeight="1" x14ac:dyDescent="0.3"/>
    <row r="335" ht="24" customHeight="1" x14ac:dyDescent="0.3"/>
    <row r="336" ht="24" customHeight="1" x14ac:dyDescent="0.3"/>
    <row r="337" ht="24" customHeight="1" x14ac:dyDescent="0.3"/>
    <row r="338" ht="24" customHeight="1" x14ac:dyDescent="0.3"/>
    <row r="339" ht="24" customHeight="1" x14ac:dyDescent="0.3"/>
    <row r="340" ht="24" customHeight="1" x14ac:dyDescent="0.3"/>
    <row r="341" ht="24" customHeight="1" x14ac:dyDescent="0.3"/>
    <row r="342" ht="24" customHeight="1" x14ac:dyDescent="0.3"/>
    <row r="343" ht="24" customHeight="1" x14ac:dyDescent="0.3"/>
    <row r="344" ht="24" customHeight="1" x14ac:dyDescent="0.3"/>
    <row r="345" ht="24" customHeight="1" x14ac:dyDescent="0.3"/>
    <row r="346" ht="24" customHeight="1" x14ac:dyDescent="0.3"/>
    <row r="347" ht="24" customHeight="1" x14ac:dyDescent="0.3"/>
    <row r="348" ht="24" customHeight="1" x14ac:dyDescent="0.3"/>
    <row r="349" ht="24" customHeight="1" x14ac:dyDescent="0.3"/>
    <row r="350" ht="24" customHeight="1" x14ac:dyDescent="0.3"/>
    <row r="351" ht="24" customHeight="1" x14ac:dyDescent="0.3"/>
    <row r="352" ht="24" customHeight="1" x14ac:dyDescent="0.3"/>
    <row r="353" ht="24" customHeight="1" x14ac:dyDescent="0.3"/>
    <row r="354" ht="24" customHeight="1" x14ac:dyDescent="0.3"/>
    <row r="355" ht="24" customHeight="1" x14ac:dyDescent="0.3"/>
    <row r="356" ht="24" customHeight="1" x14ac:dyDescent="0.3"/>
    <row r="357" ht="24" customHeight="1" x14ac:dyDescent="0.3"/>
    <row r="358" ht="24" customHeight="1" x14ac:dyDescent="0.3"/>
    <row r="359" ht="24" customHeight="1" x14ac:dyDescent="0.3"/>
    <row r="360" ht="24" customHeight="1" x14ac:dyDescent="0.3"/>
    <row r="361" ht="24" customHeight="1" x14ac:dyDescent="0.3"/>
    <row r="362" ht="24" customHeight="1" x14ac:dyDescent="0.3"/>
    <row r="363" ht="24" customHeight="1" x14ac:dyDescent="0.3"/>
    <row r="364" ht="24" customHeight="1" x14ac:dyDescent="0.3"/>
    <row r="365" ht="24" customHeight="1" x14ac:dyDescent="0.3"/>
    <row r="366" ht="24" customHeight="1" x14ac:dyDescent="0.3"/>
    <row r="367" ht="24" customHeight="1" x14ac:dyDescent="0.3"/>
    <row r="368" ht="24" customHeight="1" x14ac:dyDescent="0.3"/>
    <row r="369" ht="24" customHeight="1" x14ac:dyDescent="0.3"/>
    <row r="370" ht="24" customHeight="1" x14ac:dyDescent="0.3"/>
    <row r="371" ht="24" customHeight="1" x14ac:dyDescent="0.3"/>
    <row r="372" ht="24" customHeight="1" x14ac:dyDescent="0.3"/>
    <row r="373" ht="24" customHeight="1" x14ac:dyDescent="0.3"/>
    <row r="374" ht="24" customHeight="1" x14ac:dyDescent="0.3"/>
    <row r="375" ht="24" customHeight="1" x14ac:dyDescent="0.3"/>
    <row r="376" ht="24" customHeight="1" x14ac:dyDescent="0.3"/>
    <row r="377" ht="24" customHeight="1" x14ac:dyDescent="0.3"/>
    <row r="378" ht="24" customHeight="1" x14ac:dyDescent="0.3"/>
    <row r="379" ht="24" customHeight="1" x14ac:dyDescent="0.3"/>
    <row r="380" ht="24" customHeight="1" x14ac:dyDescent="0.3"/>
    <row r="381" ht="24" customHeight="1" x14ac:dyDescent="0.3"/>
    <row r="382" ht="24" customHeight="1" x14ac:dyDescent="0.3"/>
    <row r="383" ht="24" customHeight="1" x14ac:dyDescent="0.3"/>
    <row r="384" ht="24" customHeight="1" x14ac:dyDescent="0.3"/>
    <row r="385" ht="24" customHeight="1" x14ac:dyDescent="0.3"/>
    <row r="386" ht="24" customHeight="1" x14ac:dyDescent="0.3"/>
    <row r="387" ht="24" customHeight="1" x14ac:dyDescent="0.3"/>
    <row r="388" ht="24" customHeight="1" x14ac:dyDescent="0.3"/>
    <row r="389" ht="24" customHeight="1" x14ac:dyDescent="0.3"/>
    <row r="390" ht="24" customHeight="1" x14ac:dyDescent="0.3"/>
    <row r="391" ht="24" customHeight="1" x14ac:dyDescent="0.3"/>
    <row r="392" ht="24" customHeight="1" x14ac:dyDescent="0.3"/>
    <row r="393" ht="24" customHeight="1" x14ac:dyDescent="0.3"/>
    <row r="394" ht="24" customHeight="1" x14ac:dyDescent="0.3"/>
    <row r="395" ht="24" customHeight="1" x14ac:dyDescent="0.3"/>
    <row r="396" ht="24" customHeight="1" x14ac:dyDescent="0.3"/>
    <row r="397" ht="24" customHeight="1" x14ac:dyDescent="0.3"/>
    <row r="398" ht="24" customHeight="1" x14ac:dyDescent="0.3"/>
    <row r="399" ht="24" customHeight="1" x14ac:dyDescent="0.3"/>
    <row r="400" ht="24" customHeight="1" x14ac:dyDescent="0.3"/>
    <row r="401" ht="24" customHeight="1" x14ac:dyDescent="0.3"/>
    <row r="402" ht="24" customHeight="1" x14ac:dyDescent="0.3"/>
    <row r="403" ht="24" customHeight="1" x14ac:dyDescent="0.3"/>
    <row r="404" ht="24" customHeight="1" x14ac:dyDescent="0.3"/>
    <row r="405" ht="24" customHeight="1" x14ac:dyDescent="0.3"/>
    <row r="406" ht="24" customHeight="1" x14ac:dyDescent="0.3"/>
    <row r="407" ht="24" customHeight="1" x14ac:dyDescent="0.3"/>
    <row r="408" ht="24" customHeight="1" x14ac:dyDescent="0.3"/>
    <row r="409" ht="24" customHeight="1" x14ac:dyDescent="0.3"/>
    <row r="410" ht="24" customHeight="1" x14ac:dyDescent="0.3"/>
    <row r="411" ht="24" customHeight="1" x14ac:dyDescent="0.3"/>
    <row r="412" ht="24" customHeight="1" x14ac:dyDescent="0.3"/>
    <row r="413" ht="24" customHeight="1" x14ac:dyDescent="0.3"/>
    <row r="414" ht="24" customHeight="1" x14ac:dyDescent="0.3"/>
    <row r="415" ht="24" customHeight="1" x14ac:dyDescent="0.3"/>
    <row r="416" ht="24" customHeight="1" x14ac:dyDescent="0.3"/>
    <row r="417" ht="24" customHeight="1" x14ac:dyDescent="0.3"/>
    <row r="418" ht="24" customHeight="1" x14ac:dyDescent="0.3"/>
    <row r="419" ht="24" customHeight="1" x14ac:dyDescent="0.3"/>
    <row r="420" ht="24" customHeight="1" x14ac:dyDescent="0.3"/>
    <row r="421" ht="24" customHeight="1" x14ac:dyDescent="0.3"/>
    <row r="422" ht="24" customHeight="1" x14ac:dyDescent="0.3"/>
    <row r="423" ht="24" customHeight="1" x14ac:dyDescent="0.3"/>
    <row r="424" ht="24" customHeight="1" x14ac:dyDescent="0.3"/>
    <row r="425" ht="24" customHeight="1" x14ac:dyDescent="0.3"/>
    <row r="426" ht="24" customHeight="1" x14ac:dyDescent="0.3"/>
    <row r="427" ht="24" customHeight="1" x14ac:dyDescent="0.3"/>
    <row r="428" ht="24" customHeight="1" x14ac:dyDescent="0.3"/>
    <row r="429" ht="24" customHeight="1" x14ac:dyDescent="0.3"/>
    <row r="430" ht="24" customHeight="1" x14ac:dyDescent="0.3"/>
    <row r="431" ht="24" customHeight="1" x14ac:dyDescent="0.3"/>
    <row r="432" ht="24" customHeight="1" x14ac:dyDescent="0.3"/>
    <row r="433" ht="24" customHeight="1" x14ac:dyDescent="0.3"/>
    <row r="434" ht="24" customHeight="1" x14ac:dyDescent="0.3"/>
    <row r="435" ht="24" customHeight="1" x14ac:dyDescent="0.3"/>
    <row r="436" ht="24" customHeight="1" x14ac:dyDescent="0.3"/>
    <row r="437" ht="24" customHeight="1" x14ac:dyDescent="0.3"/>
    <row r="438" ht="24" customHeight="1" x14ac:dyDescent="0.3"/>
    <row r="439" ht="24" customHeight="1" x14ac:dyDescent="0.3"/>
    <row r="440" ht="24" customHeight="1" x14ac:dyDescent="0.3"/>
    <row r="441" ht="24" customHeight="1" x14ac:dyDescent="0.3"/>
    <row r="442" ht="24" customHeight="1" x14ac:dyDescent="0.3"/>
    <row r="443" ht="24" customHeight="1" x14ac:dyDescent="0.3"/>
    <row r="444" ht="24" customHeight="1" x14ac:dyDescent="0.3"/>
    <row r="445" ht="24" customHeight="1" x14ac:dyDescent="0.3"/>
    <row r="446" ht="24" customHeight="1" x14ac:dyDescent="0.3"/>
    <row r="447" ht="24" customHeight="1" x14ac:dyDescent="0.3"/>
    <row r="448" ht="24" customHeight="1" x14ac:dyDescent="0.3"/>
    <row r="449" ht="24" customHeight="1" x14ac:dyDescent="0.3"/>
    <row r="450" ht="24" customHeight="1" x14ac:dyDescent="0.3"/>
    <row r="451" ht="24" customHeight="1" x14ac:dyDescent="0.3"/>
    <row r="452" ht="24" customHeight="1" x14ac:dyDescent="0.3"/>
    <row r="453" ht="24" customHeight="1" x14ac:dyDescent="0.3"/>
    <row r="454" ht="24" customHeight="1" x14ac:dyDescent="0.3"/>
    <row r="455" ht="24" customHeight="1" x14ac:dyDescent="0.3"/>
    <row r="456" ht="24" customHeight="1" x14ac:dyDescent="0.3"/>
    <row r="457" ht="24" customHeight="1" x14ac:dyDescent="0.3"/>
    <row r="458" ht="24" customHeight="1" x14ac:dyDescent="0.3"/>
    <row r="459" ht="24" customHeight="1" x14ac:dyDescent="0.3"/>
    <row r="460" ht="24" customHeight="1" x14ac:dyDescent="0.3"/>
    <row r="461" ht="24" customHeight="1" x14ac:dyDescent="0.3"/>
    <row r="462" ht="24" customHeight="1" x14ac:dyDescent="0.3"/>
    <row r="463" ht="24" customHeight="1" x14ac:dyDescent="0.3"/>
    <row r="464" ht="24" customHeight="1" x14ac:dyDescent="0.3"/>
    <row r="465" ht="24" customHeight="1" x14ac:dyDescent="0.3"/>
    <row r="466" ht="24" customHeight="1" x14ac:dyDescent="0.3"/>
    <row r="467" ht="24" customHeight="1" x14ac:dyDescent="0.3"/>
    <row r="468" ht="24" customHeight="1" x14ac:dyDescent="0.3"/>
    <row r="469" ht="24" customHeight="1" x14ac:dyDescent="0.3"/>
    <row r="470" ht="24" customHeight="1" x14ac:dyDescent="0.3"/>
    <row r="471" ht="24" customHeight="1" x14ac:dyDescent="0.3"/>
    <row r="472" ht="24" customHeight="1" x14ac:dyDescent="0.3"/>
    <row r="473" ht="24" customHeight="1" x14ac:dyDescent="0.3"/>
    <row r="474" ht="24" customHeight="1" x14ac:dyDescent="0.3"/>
    <row r="475" ht="24" customHeight="1" x14ac:dyDescent="0.3"/>
    <row r="476" ht="24" customHeight="1" x14ac:dyDescent="0.3"/>
    <row r="477" ht="24" customHeight="1" x14ac:dyDescent="0.3"/>
    <row r="478" ht="24" customHeight="1" x14ac:dyDescent="0.3"/>
    <row r="479" ht="24" customHeight="1" x14ac:dyDescent="0.3"/>
    <row r="480" ht="24" customHeight="1" x14ac:dyDescent="0.3"/>
    <row r="481" ht="24" customHeight="1" x14ac:dyDescent="0.3"/>
    <row r="482" ht="24" customHeight="1" x14ac:dyDescent="0.3"/>
    <row r="483" ht="24" customHeight="1" x14ac:dyDescent="0.3"/>
    <row r="484" ht="24" customHeight="1" x14ac:dyDescent="0.3"/>
    <row r="485" ht="24" customHeight="1" x14ac:dyDescent="0.3"/>
    <row r="486" ht="24" customHeight="1" x14ac:dyDescent="0.3"/>
    <row r="487" ht="24" customHeight="1" x14ac:dyDescent="0.3"/>
    <row r="488" ht="24" customHeight="1" x14ac:dyDescent="0.3"/>
    <row r="489" ht="24" customHeight="1" x14ac:dyDescent="0.3"/>
    <row r="490" ht="24" customHeight="1" x14ac:dyDescent="0.3"/>
    <row r="491" ht="24" customHeight="1" x14ac:dyDescent="0.3"/>
    <row r="492" ht="24" customHeight="1" x14ac:dyDescent="0.3"/>
    <row r="493" ht="24" customHeight="1" x14ac:dyDescent="0.3"/>
    <row r="494" ht="24" customHeight="1" x14ac:dyDescent="0.3"/>
    <row r="495" ht="24" customHeight="1" x14ac:dyDescent="0.3"/>
    <row r="496" ht="24" customHeight="1" x14ac:dyDescent="0.3"/>
    <row r="497" ht="24" customHeight="1" x14ac:dyDescent="0.3"/>
    <row r="498" ht="24" customHeight="1" x14ac:dyDescent="0.3"/>
    <row r="499" ht="24" customHeight="1" x14ac:dyDescent="0.3"/>
    <row r="500" ht="24" customHeight="1" x14ac:dyDescent="0.3"/>
    <row r="501" ht="24" customHeight="1" x14ac:dyDescent="0.3"/>
    <row r="502" ht="24" customHeight="1" x14ac:dyDescent="0.3"/>
    <row r="503" ht="24" customHeight="1" x14ac:dyDescent="0.3"/>
    <row r="504" ht="24" customHeight="1" x14ac:dyDescent="0.3"/>
    <row r="505" ht="24" customHeight="1" x14ac:dyDescent="0.3"/>
    <row r="506" ht="24" customHeight="1" x14ac:dyDescent="0.3"/>
    <row r="507" ht="24" customHeight="1" x14ac:dyDescent="0.3"/>
    <row r="508" ht="24" customHeight="1" x14ac:dyDescent="0.3"/>
    <row r="509" ht="24" customHeight="1" x14ac:dyDescent="0.3"/>
    <row r="510" ht="24" customHeight="1" x14ac:dyDescent="0.3"/>
    <row r="511" ht="24" customHeight="1" x14ac:dyDescent="0.3"/>
    <row r="512" ht="24" customHeight="1" x14ac:dyDescent="0.3"/>
    <row r="513" ht="24" customHeight="1" x14ac:dyDescent="0.3"/>
    <row r="514" ht="24" customHeight="1" x14ac:dyDescent="0.3"/>
    <row r="515" ht="24" customHeight="1" x14ac:dyDescent="0.3"/>
    <row r="516" ht="24" customHeight="1" x14ac:dyDescent="0.3"/>
    <row r="517" ht="24" customHeight="1" x14ac:dyDescent="0.3"/>
    <row r="518" ht="24" customHeight="1" x14ac:dyDescent="0.3"/>
    <row r="519" ht="24" customHeight="1" x14ac:dyDescent="0.3"/>
    <row r="520" ht="24" customHeight="1" x14ac:dyDescent="0.3"/>
    <row r="521" ht="24" customHeight="1" x14ac:dyDescent="0.3"/>
    <row r="522" ht="24" customHeight="1" x14ac:dyDescent="0.3"/>
    <row r="523" ht="24" customHeight="1" x14ac:dyDescent="0.3"/>
    <row r="524" ht="24" customHeight="1" x14ac:dyDescent="0.3"/>
    <row r="525" ht="24" customHeight="1" x14ac:dyDescent="0.3"/>
    <row r="526" ht="24" customHeight="1" x14ac:dyDescent="0.3"/>
    <row r="527" ht="24" customHeight="1" x14ac:dyDescent="0.3"/>
    <row r="528" ht="24" customHeight="1" x14ac:dyDescent="0.3"/>
    <row r="529" ht="24" customHeight="1" x14ac:dyDescent="0.3"/>
    <row r="530" ht="24" customHeight="1" x14ac:dyDescent="0.3"/>
    <row r="531" ht="24" customHeight="1" x14ac:dyDescent="0.3"/>
    <row r="532" ht="24" customHeight="1" x14ac:dyDescent="0.3"/>
    <row r="533" ht="24" customHeight="1" x14ac:dyDescent="0.3"/>
    <row r="534" ht="24" customHeight="1" x14ac:dyDescent="0.3"/>
    <row r="535" ht="24" customHeight="1" x14ac:dyDescent="0.3"/>
    <row r="536" ht="24" customHeight="1" x14ac:dyDescent="0.3"/>
    <row r="537" ht="24" customHeight="1" x14ac:dyDescent="0.3"/>
    <row r="538" ht="24" customHeight="1" x14ac:dyDescent="0.3"/>
    <row r="539" ht="24" customHeight="1" x14ac:dyDescent="0.3"/>
    <row r="540" ht="24" customHeight="1" x14ac:dyDescent="0.3"/>
    <row r="541" ht="24" customHeight="1" x14ac:dyDescent="0.3"/>
    <row r="542" ht="24" customHeight="1" x14ac:dyDescent="0.3"/>
    <row r="543" ht="24" customHeight="1" x14ac:dyDescent="0.3"/>
    <row r="544" ht="24" customHeight="1" x14ac:dyDescent="0.3"/>
    <row r="545" ht="24" customHeight="1" x14ac:dyDescent="0.3"/>
    <row r="546" ht="24" customHeight="1" x14ac:dyDescent="0.3"/>
    <row r="547" ht="24" customHeight="1" x14ac:dyDescent="0.3"/>
    <row r="548" ht="24" customHeight="1" x14ac:dyDescent="0.3"/>
    <row r="549" ht="24" customHeight="1" x14ac:dyDescent="0.3"/>
    <row r="550" ht="24" customHeight="1" x14ac:dyDescent="0.3"/>
    <row r="551" ht="24" customHeight="1" x14ac:dyDescent="0.3"/>
    <row r="552" ht="24" customHeight="1" x14ac:dyDescent="0.3"/>
    <row r="553" ht="24" customHeight="1" x14ac:dyDescent="0.3"/>
    <row r="554" ht="24" customHeight="1" x14ac:dyDescent="0.3"/>
    <row r="555" ht="24" customHeight="1" x14ac:dyDescent="0.3"/>
    <row r="556" ht="24" customHeight="1" x14ac:dyDescent="0.3"/>
    <row r="557" ht="24" customHeight="1" x14ac:dyDescent="0.3"/>
    <row r="558" ht="24" customHeight="1" x14ac:dyDescent="0.3"/>
    <row r="559" ht="24" customHeight="1" x14ac:dyDescent="0.3"/>
    <row r="560" ht="24" customHeight="1" x14ac:dyDescent="0.3"/>
    <row r="561" ht="24" customHeight="1" x14ac:dyDescent="0.3"/>
    <row r="562" ht="24" customHeight="1" x14ac:dyDescent="0.3"/>
    <row r="563" ht="24" customHeight="1" x14ac:dyDescent="0.3"/>
    <row r="564" ht="24" customHeight="1" x14ac:dyDescent="0.3"/>
    <row r="565" ht="24" customHeight="1" x14ac:dyDescent="0.3"/>
    <row r="566" ht="24" customHeight="1" x14ac:dyDescent="0.3"/>
    <row r="567" ht="24" customHeight="1" x14ac:dyDescent="0.3"/>
    <row r="568" ht="24" customHeight="1" x14ac:dyDescent="0.3"/>
    <row r="569" ht="24" customHeight="1" x14ac:dyDescent="0.3"/>
    <row r="570" ht="24" customHeight="1" x14ac:dyDescent="0.3"/>
    <row r="571" ht="24" customHeight="1" x14ac:dyDescent="0.3"/>
    <row r="572" ht="24" customHeight="1" x14ac:dyDescent="0.3"/>
    <row r="573" ht="24" customHeight="1" x14ac:dyDescent="0.3"/>
    <row r="574" ht="24" customHeight="1" x14ac:dyDescent="0.3"/>
    <row r="575" ht="24" customHeight="1" x14ac:dyDescent="0.3"/>
    <row r="576" ht="24" customHeight="1" x14ac:dyDescent="0.3"/>
    <row r="577" ht="24" customHeight="1" x14ac:dyDescent="0.3"/>
    <row r="578" ht="24" customHeight="1" x14ac:dyDescent="0.3"/>
    <row r="579" ht="24" customHeight="1" x14ac:dyDescent="0.3"/>
    <row r="580" ht="24" customHeight="1" x14ac:dyDescent="0.3"/>
    <row r="581" ht="24" customHeight="1" x14ac:dyDescent="0.3"/>
    <row r="582" ht="24" customHeight="1" x14ac:dyDescent="0.3"/>
    <row r="583" ht="24" customHeight="1" x14ac:dyDescent="0.3"/>
    <row r="584" ht="24" customHeight="1" x14ac:dyDescent="0.3"/>
    <row r="585" ht="24" customHeight="1" x14ac:dyDescent="0.3"/>
    <row r="586" ht="24" customHeight="1" x14ac:dyDescent="0.3"/>
    <row r="587" ht="24" customHeight="1" x14ac:dyDescent="0.3"/>
    <row r="588" ht="24" customHeight="1" x14ac:dyDescent="0.3"/>
    <row r="589" ht="24" customHeight="1" x14ac:dyDescent="0.3"/>
    <row r="590" ht="24" customHeight="1" x14ac:dyDescent="0.3"/>
    <row r="591" ht="24" customHeight="1" x14ac:dyDescent="0.3"/>
    <row r="592" ht="24" customHeight="1" x14ac:dyDescent="0.3"/>
    <row r="593" ht="24" customHeight="1" x14ac:dyDescent="0.3"/>
    <row r="594" ht="24" customHeight="1" x14ac:dyDescent="0.3"/>
    <row r="595" ht="24" customHeight="1" x14ac:dyDescent="0.3"/>
    <row r="596" ht="24" customHeight="1" x14ac:dyDescent="0.3"/>
    <row r="597" ht="24" customHeight="1" x14ac:dyDescent="0.3"/>
    <row r="598" ht="24" customHeight="1" x14ac:dyDescent="0.3"/>
    <row r="599" ht="24" customHeight="1" x14ac:dyDescent="0.3"/>
    <row r="600" ht="24" customHeight="1" x14ac:dyDescent="0.3"/>
    <row r="601" ht="24" customHeight="1" x14ac:dyDescent="0.3"/>
    <row r="602" ht="24" customHeight="1" x14ac:dyDescent="0.3"/>
    <row r="603" ht="24" customHeight="1" x14ac:dyDescent="0.3"/>
    <row r="604" ht="24" customHeight="1" x14ac:dyDescent="0.3"/>
    <row r="605" ht="24" customHeight="1" x14ac:dyDescent="0.3"/>
    <row r="606" ht="24" customHeight="1" x14ac:dyDescent="0.3"/>
    <row r="607" ht="24" customHeight="1" x14ac:dyDescent="0.3"/>
    <row r="608" ht="24" customHeight="1" x14ac:dyDescent="0.3"/>
    <row r="609" ht="24" customHeight="1" x14ac:dyDescent="0.3"/>
    <row r="610" ht="24" customHeight="1" x14ac:dyDescent="0.3"/>
    <row r="611" ht="24" customHeight="1" x14ac:dyDescent="0.3"/>
    <row r="612" ht="24" customHeight="1" x14ac:dyDescent="0.3"/>
    <row r="613" ht="24" customHeight="1" x14ac:dyDescent="0.3"/>
    <row r="614" ht="24" customHeight="1" x14ac:dyDescent="0.3"/>
    <row r="615" ht="24" customHeight="1" x14ac:dyDescent="0.3"/>
    <row r="616" ht="24" customHeight="1" x14ac:dyDescent="0.3"/>
    <row r="617" ht="24" customHeight="1" x14ac:dyDescent="0.3"/>
    <row r="618" ht="24" customHeight="1" x14ac:dyDescent="0.3"/>
    <row r="619" ht="24" customHeight="1" x14ac:dyDescent="0.3"/>
    <row r="620" ht="24" customHeight="1" x14ac:dyDescent="0.3"/>
    <row r="621" ht="24" customHeight="1" x14ac:dyDescent="0.3"/>
    <row r="622" ht="24" customHeight="1" x14ac:dyDescent="0.3"/>
    <row r="623" ht="24" customHeight="1" x14ac:dyDescent="0.3"/>
    <row r="624" ht="24" customHeight="1" x14ac:dyDescent="0.3"/>
    <row r="625" ht="24" customHeight="1" x14ac:dyDescent="0.3"/>
    <row r="626" ht="24" customHeight="1" x14ac:dyDescent="0.3"/>
    <row r="627" ht="24" customHeight="1" x14ac:dyDescent="0.3"/>
    <row r="628" ht="24" customHeight="1" x14ac:dyDescent="0.3"/>
    <row r="629" ht="24" customHeight="1" x14ac:dyDescent="0.3"/>
    <row r="630" ht="24" customHeight="1" x14ac:dyDescent="0.3"/>
    <row r="631" ht="24" customHeight="1" x14ac:dyDescent="0.3"/>
    <row r="632" ht="24" customHeight="1" x14ac:dyDescent="0.3"/>
    <row r="633" ht="24" customHeight="1" x14ac:dyDescent="0.3"/>
    <row r="634" ht="24" customHeight="1" x14ac:dyDescent="0.3"/>
    <row r="635" ht="24" customHeight="1" x14ac:dyDescent="0.3"/>
    <row r="636" ht="24" customHeight="1" x14ac:dyDescent="0.3"/>
    <row r="637" ht="24" customHeight="1" x14ac:dyDescent="0.3"/>
    <row r="638" ht="24" customHeight="1" x14ac:dyDescent="0.3"/>
    <row r="639" ht="24" customHeight="1" x14ac:dyDescent="0.3"/>
    <row r="640" ht="24" customHeight="1" x14ac:dyDescent="0.3"/>
    <row r="641" ht="24" customHeight="1" x14ac:dyDescent="0.3"/>
    <row r="642" ht="24" customHeight="1" x14ac:dyDescent="0.3"/>
    <row r="643" ht="24" customHeight="1" x14ac:dyDescent="0.3"/>
    <row r="644" ht="24" customHeight="1" x14ac:dyDescent="0.3"/>
    <row r="645" ht="24" customHeight="1" x14ac:dyDescent="0.3"/>
    <row r="646" ht="24" customHeight="1" x14ac:dyDescent="0.3"/>
    <row r="647" ht="24" customHeight="1" x14ac:dyDescent="0.3"/>
    <row r="648" ht="24" customHeight="1" x14ac:dyDescent="0.3"/>
    <row r="649" ht="24" customHeight="1" x14ac:dyDescent="0.3"/>
    <row r="650" ht="24" customHeight="1" x14ac:dyDescent="0.3"/>
    <row r="651" ht="24" customHeight="1" x14ac:dyDescent="0.3"/>
    <row r="652" ht="24" customHeight="1" x14ac:dyDescent="0.3"/>
    <row r="653" ht="24" customHeight="1" x14ac:dyDescent="0.3"/>
    <row r="654" ht="24" customHeight="1" x14ac:dyDescent="0.3"/>
    <row r="655" ht="24" customHeight="1" x14ac:dyDescent="0.3"/>
    <row r="656" ht="24" customHeight="1" x14ac:dyDescent="0.3"/>
    <row r="657" ht="24" customHeight="1" x14ac:dyDescent="0.3"/>
    <row r="658" ht="24" customHeight="1" x14ac:dyDescent="0.3"/>
    <row r="659" ht="24" customHeight="1" x14ac:dyDescent="0.3"/>
    <row r="660" ht="24" customHeight="1" x14ac:dyDescent="0.3"/>
    <row r="661" ht="24" customHeight="1" x14ac:dyDescent="0.3"/>
    <row r="662" ht="24" customHeight="1" x14ac:dyDescent="0.3"/>
    <row r="663" ht="24" customHeight="1" x14ac:dyDescent="0.3"/>
    <row r="664" ht="24" customHeight="1" x14ac:dyDescent="0.3"/>
    <row r="665" ht="24" customHeight="1" x14ac:dyDescent="0.3"/>
    <row r="666" ht="24" customHeight="1" x14ac:dyDescent="0.3"/>
    <row r="667" ht="24" customHeight="1" x14ac:dyDescent="0.3"/>
    <row r="668" ht="24" customHeight="1" x14ac:dyDescent="0.3"/>
    <row r="669" ht="24" customHeight="1" x14ac:dyDescent="0.3"/>
    <row r="670" ht="24" customHeight="1" x14ac:dyDescent="0.3"/>
    <row r="671" ht="24" customHeight="1" x14ac:dyDescent="0.3"/>
    <row r="672" ht="24" customHeight="1" x14ac:dyDescent="0.3"/>
    <row r="673" ht="24" customHeight="1" x14ac:dyDescent="0.3"/>
    <row r="674" ht="24" customHeight="1" x14ac:dyDescent="0.3"/>
    <row r="675" ht="24" customHeight="1" x14ac:dyDescent="0.3"/>
    <row r="676" ht="24" customHeight="1" x14ac:dyDescent="0.3"/>
    <row r="677" ht="24" customHeight="1" x14ac:dyDescent="0.3"/>
    <row r="678" ht="24" customHeight="1" x14ac:dyDescent="0.3"/>
    <row r="679" ht="24" customHeight="1" x14ac:dyDescent="0.3"/>
    <row r="680" ht="24" customHeight="1" x14ac:dyDescent="0.3"/>
    <row r="681" ht="24" customHeight="1" x14ac:dyDescent="0.3"/>
    <row r="682" ht="24" customHeight="1" x14ac:dyDescent="0.3"/>
    <row r="683" ht="24" customHeight="1" x14ac:dyDescent="0.3"/>
    <row r="684" ht="24" customHeight="1" x14ac:dyDescent="0.3"/>
    <row r="685" ht="24" customHeight="1" x14ac:dyDescent="0.3"/>
    <row r="686" ht="24" customHeight="1" x14ac:dyDescent="0.3"/>
    <row r="687" ht="24" customHeight="1" x14ac:dyDescent="0.3"/>
    <row r="688" ht="24" customHeight="1" x14ac:dyDescent="0.3"/>
    <row r="689" ht="24" customHeight="1" x14ac:dyDescent="0.3"/>
    <row r="690" ht="24" customHeight="1" x14ac:dyDescent="0.3"/>
    <row r="691" ht="24" customHeight="1" x14ac:dyDescent="0.3"/>
    <row r="692" ht="24" customHeight="1" x14ac:dyDescent="0.3"/>
    <row r="693" ht="24" customHeight="1" x14ac:dyDescent="0.3"/>
    <row r="694" ht="24" customHeight="1" x14ac:dyDescent="0.3"/>
    <row r="695" ht="24" customHeight="1" x14ac:dyDescent="0.3"/>
    <row r="696" ht="24" customHeight="1" x14ac:dyDescent="0.3"/>
    <row r="697" ht="24" customHeight="1" x14ac:dyDescent="0.3"/>
    <row r="698" ht="24" customHeight="1" x14ac:dyDescent="0.3"/>
    <row r="699" ht="24" customHeight="1" x14ac:dyDescent="0.3"/>
    <row r="700" ht="24" customHeight="1" x14ac:dyDescent="0.3"/>
    <row r="701" ht="24" customHeight="1" x14ac:dyDescent="0.3"/>
    <row r="702" ht="24" customHeight="1" x14ac:dyDescent="0.3"/>
    <row r="703" ht="24" customHeight="1" x14ac:dyDescent="0.3"/>
    <row r="704" ht="24" customHeight="1" x14ac:dyDescent="0.3"/>
    <row r="705" ht="24" customHeight="1" x14ac:dyDescent="0.3"/>
    <row r="706" ht="24" customHeight="1" x14ac:dyDescent="0.3"/>
    <row r="707" ht="24" customHeight="1" x14ac:dyDescent="0.3"/>
    <row r="708" ht="24" customHeight="1" x14ac:dyDescent="0.3"/>
    <row r="709" ht="24" customHeight="1" x14ac:dyDescent="0.3"/>
    <row r="710" ht="24" customHeight="1" x14ac:dyDescent="0.3"/>
    <row r="711" ht="24" customHeight="1" x14ac:dyDescent="0.3"/>
    <row r="712" ht="24" customHeight="1" x14ac:dyDescent="0.3"/>
    <row r="713" ht="24" customHeight="1" x14ac:dyDescent="0.3"/>
    <row r="714" ht="24" customHeight="1" x14ac:dyDescent="0.3"/>
    <row r="715" ht="24" customHeight="1" x14ac:dyDescent="0.3"/>
    <row r="716" ht="24" customHeight="1" x14ac:dyDescent="0.3"/>
    <row r="717" ht="24" customHeight="1" x14ac:dyDescent="0.3"/>
    <row r="718" ht="24" customHeight="1" x14ac:dyDescent="0.3"/>
    <row r="719" ht="24" customHeight="1" x14ac:dyDescent="0.3"/>
    <row r="720" ht="24" customHeight="1" x14ac:dyDescent="0.3"/>
    <row r="721" ht="24" customHeight="1" x14ac:dyDescent="0.3"/>
    <row r="722" ht="24" customHeight="1" x14ac:dyDescent="0.3"/>
    <row r="723" ht="24" customHeight="1" x14ac:dyDescent="0.3"/>
    <row r="724" ht="24" customHeight="1" x14ac:dyDescent="0.3"/>
    <row r="725" ht="24" customHeight="1" x14ac:dyDescent="0.3"/>
    <row r="726" ht="24" customHeight="1" x14ac:dyDescent="0.3"/>
    <row r="727" ht="24" customHeight="1" x14ac:dyDescent="0.3"/>
    <row r="728" ht="24" customHeight="1" x14ac:dyDescent="0.3"/>
    <row r="729" ht="24" customHeight="1" x14ac:dyDescent="0.3"/>
    <row r="730" ht="24" customHeight="1" x14ac:dyDescent="0.3"/>
    <row r="731" ht="24" customHeight="1" x14ac:dyDescent="0.3"/>
    <row r="732" ht="24" customHeight="1" x14ac:dyDescent="0.3"/>
    <row r="733" ht="24" customHeight="1" x14ac:dyDescent="0.3"/>
    <row r="734" ht="24" customHeight="1" x14ac:dyDescent="0.3"/>
    <row r="735" ht="24" customHeight="1" x14ac:dyDescent="0.3"/>
    <row r="736" ht="24" customHeight="1" x14ac:dyDescent="0.3"/>
    <row r="737" ht="24" customHeight="1" x14ac:dyDescent="0.3"/>
    <row r="738" ht="24" customHeight="1" x14ac:dyDescent="0.3"/>
    <row r="739" ht="24" customHeight="1" x14ac:dyDescent="0.3"/>
    <row r="740" ht="24" customHeight="1" x14ac:dyDescent="0.3"/>
    <row r="741" ht="24" customHeight="1" x14ac:dyDescent="0.3"/>
    <row r="742" ht="24" customHeight="1" x14ac:dyDescent="0.3"/>
    <row r="743" ht="24" customHeight="1" x14ac:dyDescent="0.3"/>
    <row r="744" ht="24" customHeight="1" x14ac:dyDescent="0.3"/>
    <row r="745" ht="24" customHeight="1" x14ac:dyDescent="0.3"/>
    <row r="746" ht="24" customHeight="1" x14ac:dyDescent="0.3"/>
    <row r="747" ht="24" customHeight="1" x14ac:dyDescent="0.3"/>
    <row r="748" ht="24" customHeight="1" x14ac:dyDescent="0.3"/>
    <row r="749" ht="24" customHeight="1" x14ac:dyDescent="0.3"/>
    <row r="750" ht="24" customHeight="1" x14ac:dyDescent="0.3"/>
    <row r="751" ht="24" customHeight="1" x14ac:dyDescent="0.3"/>
    <row r="752" ht="24" customHeight="1" x14ac:dyDescent="0.3"/>
    <row r="753" ht="24" customHeight="1" x14ac:dyDescent="0.3"/>
    <row r="754" ht="24" customHeight="1" x14ac:dyDescent="0.3"/>
    <row r="755" ht="24" customHeight="1" x14ac:dyDescent="0.3"/>
    <row r="756" ht="24" customHeight="1" x14ac:dyDescent="0.3"/>
    <row r="757" ht="24" customHeight="1" x14ac:dyDescent="0.3"/>
    <row r="758" ht="24" customHeight="1" x14ac:dyDescent="0.3"/>
    <row r="759" ht="24" customHeight="1" x14ac:dyDescent="0.3"/>
    <row r="760" ht="24" customHeight="1" x14ac:dyDescent="0.3"/>
    <row r="761" ht="24" customHeight="1" x14ac:dyDescent="0.3"/>
    <row r="762" ht="24" customHeight="1" x14ac:dyDescent="0.3"/>
    <row r="763" ht="24" customHeight="1" x14ac:dyDescent="0.3"/>
    <row r="764" ht="24" customHeight="1" x14ac:dyDescent="0.3"/>
    <row r="765" ht="24" customHeight="1" x14ac:dyDescent="0.3"/>
    <row r="766" ht="24" customHeight="1" x14ac:dyDescent="0.3"/>
    <row r="767" ht="24" customHeight="1" x14ac:dyDescent="0.3"/>
    <row r="768" ht="24" customHeight="1" x14ac:dyDescent="0.3"/>
    <row r="769" ht="24" customHeight="1" x14ac:dyDescent="0.3"/>
    <row r="770" ht="24" customHeight="1" x14ac:dyDescent="0.3"/>
    <row r="771" ht="24" customHeight="1" x14ac:dyDescent="0.3"/>
    <row r="772" ht="24" customHeight="1" x14ac:dyDescent="0.3"/>
    <row r="773" ht="24" customHeight="1" x14ac:dyDescent="0.3"/>
    <row r="774" ht="24" customHeight="1" x14ac:dyDescent="0.3"/>
    <row r="775" ht="24" customHeight="1" x14ac:dyDescent="0.3"/>
    <row r="776" ht="24" customHeight="1" x14ac:dyDescent="0.3"/>
    <row r="777" ht="24" customHeight="1" x14ac:dyDescent="0.3"/>
    <row r="778" ht="24" customHeight="1" x14ac:dyDescent="0.3"/>
    <row r="779" ht="24" customHeight="1" x14ac:dyDescent="0.3"/>
    <row r="780" ht="24" customHeight="1" x14ac:dyDescent="0.3"/>
    <row r="781" ht="24" customHeight="1" x14ac:dyDescent="0.3"/>
    <row r="782" ht="24" customHeight="1" x14ac:dyDescent="0.3"/>
    <row r="783" ht="24" customHeight="1" x14ac:dyDescent="0.3"/>
    <row r="784" ht="24" customHeight="1" x14ac:dyDescent="0.3"/>
    <row r="785" ht="24" customHeight="1" x14ac:dyDescent="0.3"/>
    <row r="786" ht="24" customHeight="1" x14ac:dyDescent="0.3"/>
    <row r="787" ht="24" customHeight="1" x14ac:dyDescent="0.3"/>
    <row r="788" ht="24" customHeight="1" x14ac:dyDescent="0.3"/>
    <row r="789" ht="24" customHeight="1" x14ac:dyDescent="0.3"/>
    <row r="790" ht="24" customHeight="1" x14ac:dyDescent="0.3"/>
    <row r="791" ht="24" customHeight="1" x14ac:dyDescent="0.3"/>
    <row r="792" ht="24" customHeight="1" x14ac:dyDescent="0.3"/>
    <row r="793" ht="24" customHeight="1" x14ac:dyDescent="0.3"/>
    <row r="794" ht="24" customHeight="1" x14ac:dyDescent="0.3"/>
    <row r="795" ht="24" customHeight="1" x14ac:dyDescent="0.3"/>
    <row r="796" ht="24" customHeight="1" x14ac:dyDescent="0.3"/>
    <row r="797" ht="24" customHeight="1" x14ac:dyDescent="0.3"/>
    <row r="798" ht="24" customHeight="1" x14ac:dyDescent="0.3"/>
    <row r="799" ht="24" customHeight="1" x14ac:dyDescent="0.3"/>
    <row r="800" ht="24" customHeight="1" x14ac:dyDescent="0.3"/>
    <row r="801" ht="24" customHeight="1" x14ac:dyDescent="0.3"/>
    <row r="802" ht="24" customHeight="1" x14ac:dyDescent="0.3"/>
    <row r="803" ht="24" customHeight="1" x14ac:dyDescent="0.3"/>
    <row r="804" ht="24" customHeight="1" x14ac:dyDescent="0.3"/>
    <row r="805" ht="24" customHeight="1" x14ac:dyDescent="0.3"/>
    <row r="806" ht="24" customHeight="1" x14ac:dyDescent="0.3"/>
    <row r="807" ht="24" customHeight="1" x14ac:dyDescent="0.3"/>
    <row r="808" ht="24" customHeight="1" x14ac:dyDescent="0.3"/>
    <row r="809" ht="24" customHeight="1" x14ac:dyDescent="0.3"/>
    <row r="810" ht="24" customHeight="1" x14ac:dyDescent="0.3"/>
    <row r="811" ht="24" customHeight="1" x14ac:dyDescent="0.3"/>
    <row r="812" ht="24" customHeight="1" x14ac:dyDescent="0.3"/>
    <row r="813" ht="24" customHeight="1" x14ac:dyDescent="0.3"/>
    <row r="814" ht="24" customHeight="1" x14ac:dyDescent="0.3"/>
    <row r="815" ht="24" customHeight="1" x14ac:dyDescent="0.3"/>
    <row r="816" ht="24" customHeight="1" x14ac:dyDescent="0.3"/>
    <row r="817" spans="1:2" ht="24" customHeight="1" x14ac:dyDescent="0.3"/>
    <row r="818" spans="1:2" ht="24" customHeight="1" x14ac:dyDescent="0.3"/>
    <row r="819" spans="1:2" ht="24" customHeight="1" x14ac:dyDescent="0.3"/>
    <row r="820" spans="1:2" ht="24" customHeight="1" x14ac:dyDescent="0.3"/>
    <row r="821" spans="1:2" ht="24" customHeight="1" x14ac:dyDescent="0.3"/>
    <row r="822" spans="1:2" ht="24" customHeight="1" x14ac:dyDescent="0.3"/>
    <row r="823" spans="1:2" ht="24" customHeight="1" x14ac:dyDescent="0.3"/>
    <row r="824" spans="1:2" ht="24" customHeight="1" x14ac:dyDescent="0.3"/>
    <row r="825" spans="1:2" ht="24" customHeight="1" thickBot="1" x14ac:dyDescent="0.35">
      <c r="A825" s="47"/>
      <c r="B825" s="48"/>
    </row>
  </sheetData>
  <mergeCells count="2">
    <mergeCell ref="B2:C2"/>
    <mergeCell ref="A9:B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0E082-6615-4A82-BA5A-FA3E87A4056E}">
  <dimension ref="A2:B11"/>
  <sheetViews>
    <sheetView tabSelected="1" workbookViewId="0">
      <selection activeCell="E10" sqref="E10"/>
    </sheetView>
  </sheetViews>
  <sheetFormatPr defaultRowHeight="14.4" x14ac:dyDescent="0.3"/>
  <cols>
    <col min="1" max="1" width="20.5546875" customWidth="1"/>
    <col min="2" max="2" width="29.44140625" customWidth="1"/>
  </cols>
  <sheetData>
    <row r="2" spans="1:2" ht="15" thickBot="1" x14ac:dyDescent="0.35"/>
    <row r="3" spans="1:2" ht="24" customHeight="1" thickTop="1" x14ac:dyDescent="0.3">
      <c r="A3" s="77" t="s">
        <v>71</v>
      </c>
      <c r="B3" s="78"/>
    </row>
    <row r="4" spans="1:2" ht="24" customHeight="1" x14ac:dyDescent="0.3">
      <c r="A4" s="33" t="s">
        <v>0</v>
      </c>
      <c r="B4" s="28" t="s">
        <v>70</v>
      </c>
    </row>
    <row r="5" spans="1:2" ht="24" customHeight="1" x14ac:dyDescent="0.3">
      <c r="A5" s="25" t="s">
        <v>1</v>
      </c>
      <c r="B5" s="30">
        <v>120.43584354600006</v>
      </c>
    </row>
    <row r="6" spans="1:2" ht="24" customHeight="1" x14ac:dyDescent="0.3">
      <c r="A6" s="25" t="s">
        <v>2</v>
      </c>
      <c r="B6" s="30">
        <v>260.44889705096779</v>
      </c>
    </row>
    <row r="7" spans="1:2" ht="24" customHeight="1" x14ac:dyDescent="0.3">
      <c r="A7" s="25" t="s">
        <v>3</v>
      </c>
      <c r="B7" s="30">
        <v>89.775068866363668</v>
      </c>
    </row>
    <row r="8" spans="1:2" ht="24" customHeight="1" x14ac:dyDescent="0.3">
      <c r="A8" s="25" t="s">
        <v>4</v>
      </c>
      <c r="B8" s="30">
        <v>83.859237314465162</v>
      </c>
    </row>
    <row r="9" spans="1:2" ht="24" customHeight="1" x14ac:dyDescent="0.3">
      <c r="A9" s="25" t="s">
        <v>67</v>
      </c>
      <c r="B9" s="30"/>
    </row>
    <row r="10" spans="1:2" ht="24" customHeight="1" thickBot="1" x14ac:dyDescent="0.35">
      <c r="A10" s="36" t="s">
        <v>5</v>
      </c>
      <c r="B10" s="45">
        <v>94.57820934396527</v>
      </c>
    </row>
    <row r="11" spans="1:2" ht="15" thickTop="1" x14ac:dyDescent="0.3"/>
  </sheetData>
  <mergeCells count="1">
    <mergeCell ref="A3:B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CAF99-ED08-4EF4-8207-69F4F0D02993}">
  <dimension ref="B2:D11"/>
  <sheetViews>
    <sheetView workbookViewId="0">
      <selection activeCell="A4" sqref="A4:XFD4"/>
    </sheetView>
  </sheetViews>
  <sheetFormatPr defaultRowHeight="14.4" x14ac:dyDescent="0.3"/>
  <cols>
    <col min="3" max="3" width="31.6640625" customWidth="1"/>
    <col min="4" max="4" width="26.5546875" customWidth="1"/>
  </cols>
  <sheetData>
    <row r="2" spans="2:4" ht="15" thickBot="1" x14ac:dyDescent="0.35"/>
    <row r="3" spans="2:4" ht="24" customHeight="1" thickTop="1" x14ac:dyDescent="0.3">
      <c r="B3" s="73" t="s">
        <v>72</v>
      </c>
      <c r="C3" s="79"/>
      <c r="D3" s="74"/>
    </row>
    <row r="4" spans="2:4" ht="28.8" x14ac:dyDescent="0.3">
      <c r="B4" s="27" t="s">
        <v>6</v>
      </c>
      <c r="C4" s="26" t="s">
        <v>65</v>
      </c>
      <c r="D4" s="40" t="s">
        <v>66</v>
      </c>
    </row>
    <row r="5" spans="2:4" ht="24" customHeight="1" x14ac:dyDescent="0.3">
      <c r="B5" s="29" t="s">
        <v>1</v>
      </c>
      <c r="C5" s="23">
        <v>26873.732170587002</v>
      </c>
      <c r="D5" s="38">
        <v>36010.802716811995</v>
      </c>
    </row>
    <row r="6" spans="2:4" ht="24" customHeight="1" x14ac:dyDescent="0.3">
      <c r="B6" s="29" t="s">
        <v>2</v>
      </c>
      <c r="C6" s="23">
        <v>57047.560064900004</v>
      </c>
      <c r="D6" s="38">
        <v>76443.740802</v>
      </c>
    </row>
    <row r="7" spans="2:4" ht="24" customHeight="1" x14ac:dyDescent="0.3">
      <c r="B7" s="29" t="s">
        <v>3</v>
      </c>
      <c r="C7" s="23">
        <v>274214.40013926092</v>
      </c>
      <c r="D7" s="38">
        <v>367447.32422082801</v>
      </c>
    </row>
    <row r="8" spans="2:4" ht="24" customHeight="1" x14ac:dyDescent="0.3">
      <c r="B8" s="29" t="s">
        <v>4</v>
      </c>
      <c r="C8" s="23">
        <v>323587.29466928082</v>
      </c>
      <c r="D8" s="38">
        <v>433607.00253578072</v>
      </c>
    </row>
    <row r="9" spans="2:4" ht="24" customHeight="1" x14ac:dyDescent="0.3">
      <c r="B9" s="29" t="s">
        <v>67</v>
      </c>
      <c r="C9" s="23"/>
      <c r="D9" s="38"/>
    </row>
    <row r="10" spans="2:4" ht="24" customHeight="1" thickBot="1" x14ac:dyDescent="0.35">
      <c r="B10" s="44" t="s">
        <v>5</v>
      </c>
      <c r="C10" s="41">
        <v>681722.9870440287</v>
      </c>
      <c r="D10" s="39">
        <v>913508.87027542072</v>
      </c>
    </row>
    <row r="11" spans="2:4" ht="15" thickTop="1" x14ac:dyDescent="0.3"/>
  </sheetData>
  <mergeCells count="1">
    <mergeCell ref="B3:D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653EC-9973-47EF-AEE4-52EA286834D9}">
  <dimension ref="B2:C808"/>
  <sheetViews>
    <sheetView workbookViewId="0">
      <selection activeCell="G15" sqref="G15"/>
    </sheetView>
  </sheetViews>
  <sheetFormatPr defaultRowHeight="14.4" x14ac:dyDescent="0.3"/>
  <cols>
    <col min="2" max="2" width="22.5546875" customWidth="1"/>
    <col min="3" max="3" width="27.109375" customWidth="1"/>
  </cols>
  <sheetData>
    <row r="2" spans="2:3" ht="15" thickBot="1" x14ac:dyDescent="0.35"/>
    <row r="3" spans="2:3" ht="24" customHeight="1" thickTop="1" x14ac:dyDescent="0.3">
      <c r="B3" s="80" t="s">
        <v>77</v>
      </c>
      <c r="C3" s="81"/>
    </row>
    <row r="4" spans="2:3" ht="24" customHeight="1" x14ac:dyDescent="0.3">
      <c r="B4" s="33" t="s">
        <v>76</v>
      </c>
      <c r="C4" s="28" t="s">
        <v>70</v>
      </c>
    </row>
    <row r="5" spans="2:3" ht="24" customHeight="1" x14ac:dyDescent="0.3">
      <c r="B5" s="43">
        <v>0</v>
      </c>
      <c r="C5" s="32">
        <v>88.636799370000006</v>
      </c>
    </row>
    <row r="6" spans="2:3" ht="24" customHeight="1" x14ac:dyDescent="0.3">
      <c r="B6" s="43">
        <v>0.09</v>
      </c>
      <c r="C6" s="32">
        <v>75.55864583124999</v>
      </c>
    </row>
    <row r="7" spans="2:3" ht="24" customHeight="1" x14ac:dyDescent="0.3">
      <c r="B7" s="43">
        <v>0.127279221</v>
      </c>
      <c r="C7" s="32">
        <v>76.009864743333324</v>
      </c>
    </row>
    <row r="8" spans="2:3" ht="24" customHeight="1" x14ac:dyDescent="0.3">
      <c r="B8" s="43">
        <v>0.18</v>
      </c>
      <c r="C8" s="32">
        <v>80.508866373333333</v>
      </c>
    </row>
    <row r="9" spans="2:3" ht="24" customHeight="1" x14ac:dyDescent="0.3">
      <c r="B9" s="43">
        <v>0.21727922099999999</v>
      </c>
      <c r="C9" s="32">
        <v>72.734827363999997</v>
      </c>
    </row>
    <row r="10" spans="2:3" ht="24" customHeight="1" x14ac:dyDescent="0.3">
      <c r="B10" s="43">
        <v>0.25455844100000002</v>
      </c>
      <c r="C10" s="32">
        <v>73.205161660000002</v>
      </c>
    </row>
    <row r="11" spans="2:3" ht="24" customHeight="1" x14ac:dyDescent="0.3">
      <c r="B11" s="43">
        <v>0.27</v>
      </c>
      <c r="C11" s="32">
        <v>66.753339705000002</v>
      </c>
    </row>
    <row r="12" spans="2:3" ht="24" customHeight="1" x14ac:dyDescent="0.3">
      <c r="B12" s="43">
        <v>0.30727922099999999</v>
      </c>
      <c r="C12" s="32">
        <v>103.581801175</v>
      </c>
    </row>
    <row r="13" spans="2:3" ht="24" customHeight="1" x14ac:dyDescent="0.3">
      <c r="B13" s="43">
        <v>0.34455844099999999</v>
      </c>
      <c r="C13" s="32">
        <v>63.11807864</v>
      </c>
    </row>
    <row r="14" spans="2:3" ht="24" customHeight="1" x14ac:dyDescent="0.3">
      <c r="B14" s="43">
        <v>0.36</v>
      </c>
      <c r="C14" s="32">
        <v>88.111448795000001</v>
      </c>
    </row>
    <row r="15" spans="2:3" ht="24" customHeight="1" x14ac:dyDescent="0.3">
      <c r="B15" s="43">
        <v>0.38183766200000002</v>
      </c>
      <c r="C15" s="32">
        <v>70.168870980000008</v>
      </c>
    </row>
    <row r="16" spans="2:3" ht="24" customHeight="1" x14ac:dyDescent="0.3">
      <c r="B16" s="43">
        <v>0.43455844100000002</v>
      </c>
      <c r="C16" s="32">
        <v>114.40449575</v>
      </c>
    </row>
    <row r="17" spans="2:3" ht="24" customHeight="1" x14ac:dyDescent="0.3">
      <c r="B17" s="43">
        <v>0.45</v>
      </c>
      <c r="C17" s="32">
        <v>65.039716634999991</v>
      </c>
    </row>
    <row r="18" spans="2:3" ht="24" customHeight="1" x14ac:dyDescent="0.3">
      <c r="B18" s="43">
        <v>0.47183766199999999</v>
      </c>
      <c r="C18" s="32">
        <v>107.48259132999999</v>
      </c>
    </row>
    <row r="19" spans="2:3" ht="24" customHeight="1" x14ac:dyDescent="0.3">
      <c r="B19" s="43">
        <v>0.48727922099999998</v>
      </c>
      <c r="C19" s="32">
        <v>94.532323109999993</v>
      </c>
    </row>
    <row r="20" spans="2:3" ht="24" customHeight="1" x14ac:dyDescent="0.3">
      <c r="B20" s="43">
        <v>0.50911688200000005</v>
      </c>
      <c r="C20" s="32">
        <v>76.034744520000004</v>
      </c>
    </row>
    <row r="21" spans="2:3" ht="24" customHeight="1" x14ac:dyDescent="0.3">
      <c r="B21" s="43">
        <v>0.52455844100000004</v>
      </c>
      <c r="C21" s="32">
        <v>85.775076179999999</v>
      </c>
    </row>
    <row r="22" spans="2:3" ht="24" customHeight="1" x14ac:dyDescent="0.3">
      <c r="B22" s="43">
        <v>0.56183766199999996</v>
      </c>
      <c r="C22" s="32">
        <v>77.414784574999999</v>
      </c>
    </row>
    <row r="23" spans="2:3" ht="24" customHeight="1" x14ac:dyDescent="0.3">
      <c r="B23" s="43">
        <v>0.57727922099999995</v>
      </c>
      <c r="C23" s="32">
        <v>69.78830443999999</v>
      </c>
    </row>
    <row r="24" spans="2:3" ht="24" customHeight="1" x14ac:dyDescent="0.3">
      <c r="B24" s="43">
        <v>0.61455844100000001</v>
      </c>
      <c r="C24" s="32">
        <v>91.140368405000004</v>
      </c>
    </row>
    <row r="25" spans="2:3" ht="24" customHeight="1" x14ac:dyDescent="0.3">
      <c r="B25" s="43">
        <v>0.63</v>
      </c>
      <c r="C25" s="32">
        <v>69.909126404999995</v>
      </c>
    </row>
    <row r="26" spans="2:3" ht="24" customHeight="1" x14ac:dyDescent="0.3">
      <c r="B26" s="43">
        <v>0.65183766200000004</v>
      </c>
      <c r="C26" s="32">
        <v>120.69693853000001</v>
      </c>
    </row>
    <row r="27" spans="2:3" ht="24" customHeight="1" x14ac:dyDescent="0.3">
      <c r="B27" s="43">
        <v>0.66727922100000003</v>
      </c>
      <c r="C27" s="32">
        <v>87.241440659999995</v>
      </c>
    </row>
    <row r="28" spans="2:3" ht="24" customHeight="1" x14ac:dyDescent="0.3">
      <c r="B28" s="43">
        <v>0.68911688199999999</v>
      </c>
      <c r="C28" s="32">
        <v>72.208401190000004</v>
      </c>
    </row>
    <row r="29" spans="2:3" ht="24" customHeight="1" x14ac:dyDescent="0.3">
      <c r="B29" s="43">
        <v>0.70455844099999998</v>
      </c>
      <c r="C29" s="32">
        <v>90.754417349999997</v>
      </c>
    </row>
    <row r="30" spans="2:3" ht="24" customHeight="1" x14ac:dyDescent="0.3">
      <c r="B30" s="43">
        <v>0.74183766200000001</v>
      </c>
      <c r="C30" s="32">
        <v>54.032434199999997</v>
      </c>
    </row>
    <row r="31" spans="2:3" ht="24" customHeight="1" x14ac:dyDescent="0.3">
      <c r="B31" s="43">
        <v>0.757279221</v>
      </c>
      <c r="C31" s="32">
        <v>70.18834695999999</v>
      </c>
    </row>
    <row r="32" spans="2:3" ht="24" customHeight="1" x14ac:dyDescent="0.3">
      <c r="B32" s="43">
        <v>0.77911688199999996</v>
      </c>
      <c r="C32" s="32">
        <v>109.539188225</v>
      </c>
    </row>
    <row r="33" spans="2:3" ht="24" customHeight="1" x14ac:dyDescent="0.3">
      <c r="B33" s="43">
        <v>0.84727922099999997</v>
      </c>
      <c r="C33" s="32">
        <v>56.554810279999998</v>
      </c>
    </row>
    <row r="34" spans="2:3" ht="24" customHeight="1" x14ac:dyDescent="0.3">
      <c r="B34" s="43">
        <v>0.86911688200000004</v>
      </c>
      <c r="C34" s="32">
        <v>61.409459460000001</v>
      </c>
    </row>
    <row r="35" spans="2:3" ht="24" customHeight="1" x14ac:dyDescent="0.3">
      <c r="B35" s="43">
        <v>0.9</v>
      </c>
      <c r="C35" s="32">
        <v>131.96277635999999</v>
      </c>
    </row>
    <row r="36" spans="2:3" ht="24" customHeight="1" x14ac:dyDescent="0.3">
      <c r="B36" s="43">
        <v>0.92183766199999995</v>
      </c>
      <c r="C36" s="32">
        <v>104.62584966</v>
      </c>
    </row>
    <row r="37" spans="2:3" ht="24" customHeight="1" x14ac:dyDescent="0.3">
      <c r="B37" s="43">
        <v>0.94367532399999998</v>
      </c>
      <c r="C37" s="32">
        <v>80.195733169999997</v>
      </c>
    </row>
    <row r="38" spans="2:3" ht="24" customHeight="1" x14ac:dyDescent="0.3">
      <c r="B38" s="43">
        <v>0.959116882</v>
      </c>
      <c r="C38" s="32">
        <v>66.041072650000004</v>
      </c>
    </row>
    <row r="39" spans="2:3" ht="24" customHeight="1" x14ac:dyDescent="0.3">
      <c r="B39" s="43">
        <v>0.99639610300000003</v>
      </c>
      <c r="C39" s="32">
        <v>75.575551599999997</v>
      </c>
    </row>
    <row r="40" spans="2:3" ht="24" customHeight="1" x14ac:dyDescent="0.3">
      <c r="B40" s="43">
        <v>1.0336753240000001</v>
      </c>
      <c r="C40" s="32">
        <v>106.14070240000001</v>
      </c>
    </row>
    <row r="41" spans="2:3" ht="24" customHeight="1" x14ac:dyDescent="0.3">
      <c r="B41" s="43">
        <v>1.0491168820000001</v>
      </c>
      <c r="C41" s="32">
        <v>82.692194183333328</v>
      </c>
    </row>
    <row r="42" spans="2:3" ht="24" customHeight="1" x14ac:dyDescent="0.3">
      <c r="B42" s="43">
        <v>1.0709545439999999</v>
      </c>
      <c r="C42" s="32">
        <v>60.267946674999997</v>
      </c>
    </row>
    <row r="43" spans="2:3" ht="24" customHeight="1" x14ac:dyDescent="0.3">
      <c r="B43" s="43">
        <v>1.08</v>
      </c>
      <c r="C43" s="32">
        <v>62.622413989999998</v>
      </c>
    </row>
    <row r="44" spans="2:3" ht="24" customHeight="1" x14ac:dyDescent="0.3">
      <c r="B44" s="43">
        <v>1.1018376620000001</v>
      </c>
      <c r="C44" s="32">
        <v>60.835797229999997</v>
      </c>
    </row>
    <row r="45" spans="2:3" ht="24" customHeight="1" x14ac:dyDescent="0.3">
      <c r="B45" s="43">
        <v>1.160954544</v>
      </c>
      <c r="C45" s="32">
        <v>70.026558559999998</v>
      </c>
    </row>
    <row r="46" spans="2:3" ht="24" customHeight="1" x14ac:dyDescent="0.3">
      <c r="B46" s="43">
        <v>1.1763961030000001</v>
      </c>
      <c r="C46" s="32">
        <v>72.680208590000007</v>
      </c>
    </row>
    <row r="47" spans="2:3" ht="24" customHeight="1" x14ac:dyDescent="0.3">
      <c r="B47" s="43">
        <v>1.191837662</v>
      </c>
      <c r="C47" s="32">
        <v>86.184970620000001</v>
      </c>
    </row>
    <row r="48" spans="2:3" ht="24" customHeight="1" x14ac:dyDescent="0.3">
      <c r="B48" s="43">
        <v>1.1982337649999999</v>
      </c>
      <c r="C48" s="32">
        <v>56.159784009999996</v>
      </c>
    </row>
    <row r="49" spans="2:3" ht="24" customHeight="1" x14ac:dyDescent="0.3">
      <c r="B49" s="43">
        <v>1.213675324</v>
      </c>
      <c r="C49" s="32">
        <v>89.714775360000004</v>
      </c>
    </row>
    <row r="50" spans="2:3" ht="24" customHeight="1" x14ac:dyDescent="0.3">
      <c r="B50" s="43">
        <v>1.229116882</v>
      </c>
      <c r="C50" s="32">
        <v>112.72054076000001</v>
      </c>
    </row>
    <row r="51" spans="2:3" ht="24" customHeight="1" x14ac:dyDescent="0.3">
      <c r="B51" s="43">
        <v>1.2509545440000001</v>
      </c>
      <c r="C51" s="32">
        <v>73.215490639999999</v>
      </c>
    </row>
    <row r="52" spans="2:3" ht="24" customHeight="1" x14ac:dyDescent="0.3">
      <c r="B52" s="43">
        <v>1.281837662</v>
      </c>
      <c r="C52" s="32">
        <v>71.027648145000001</v>
      </c>
    </row>
    <row r="53" spans="2:3" ht="24" customHeight="1" x14ac:dyDescent="0.3">
      <c r="B53" s="43">
        <v>1.288233765</v>
      </c>
      <c r="C53" s="32">
        <v>86.535123169999991</v>
      </c>
    </row>
    <row r="54" spans="2:3" ht="24" customHeight="1" x14ac:dyDescent="0.3">
      <c r="B54" s="43">
        <v>1.3036753240000001</v>
      </c>
      <c r="C54" s="32">
        <v>94.554254950000001</v>
      </c>
    </row>
    <row r="55" spans="2:3" ht="24" customHeight="1" x14ac:dyDescent="0.3">
      <c r="B55" s="43">
        <v>1.3191168820000001</v>
      </c>
      <c r="C55" s="32">
        <v>94.863872319999999</v>
      </c>
    </row>
    <row r="56" spans="2:3" ht="24" customHeight="1" x14ac:dyDescent="0.3">
      <c r="B56" s="43">
        <v>1.356396103</v>
      </c>
      <c r="C56" s="32">
        <v>67.541105220000006</v>
      </c>
    </row>
    <row r="57" spans="2:3" ht="24" customHeight="1" x14ac:dyDescent="0.3">
      <c r="B57" s="43">
        <v>1.362792206</v>
      </c>
      <c r="C57" s="32">
        <v>61.798873389999997</v>
      </c>
    </row>
    <row r="58" spans="2:3" ht="24" customHeight="1" x14ac:dyDescent="0.3">
      <c r="B58" s="43">
        <v>1.3782337650000001</v>
      </c>
      <c r="C58" s="32">
        <v>86.555447795000006</v>
      </c>
    </row>
    <row r="59" spans="2:3" ht="24" customHeight="1" x14ac:dyDescent="0.3">
      <c r="B59" s="43">
        <v>1.409116882</v>
      </c>
      <c r="C59" s="32">
        <v>86.006848419999997</v>
      </c>
    </row>
    <row r="60" spans="2:3" ht="24" customHeight="1" x14ac:dyDescent="0.3">
      <c r="B60" s="43">
        <v>1.430954544</v>
      </c>
      <c r="C60" s="32">
        <v>60.000554110000003</v>
      </c>
    </row>
    <row r="61" spans="2:3" ht="24" customHeight="1" x14ac:dyDescent="0.3">
      <c r="B61" s="43">
        <v>1.44</v>
      </c>
      <c r="C61" s="32">
        <v>82.405721450000001</v>
      </c>
    </row>
    <row r="62" spans="2:3" ht="24" customHeight="1" x14ac:dyDescent="0.3">
      <c r="B62" s="43">
        <v>1.4463961030000001</v>
      </c>
      <c r="C62" s="32">
        <v>62.811155339999999</v>
      </c>
    </row>
    <row r="63" spans="2:3" ht="24" customHeight="1" x14ac:dyDescent="0.3">
      <c r="B63" s="43">
        <v>1.4772792210000001</v>
      </c>
      <c r="C63" s="32">
        <v>69.454169570000005</v>
      </c>
    </row>
    <row r="64" spans="2:3" ht="24" customHeight="1" x14ac:dyDescent="0.3">
      <c r="B64" s="43">
        <v>1.5209545440000001</v>
      </c>
      <c r="C64" s="32">
        <v>82.855605244999992</v>
      </c>
    </row>
    <row r="65" spans="2:3" ht="24" customHeight="1" x14ac:dyDescent="0.3">
      <c r="B65" s="43">
        <v>1.536396103</v>
      </c>
      <c r="C65" s="32">
        <v>75.085915833333331</v>
      </c>
    </row>
    <row r="66" spans="2:3" ht="24" customHeight="1" x14ac:dyDescent="0.3">
      <c r="B66" s="43">
        <v>1.5427922060000001</v>
      </c>
      <c r="C66" s="32">
        <v>91.236792199999996</v>
      </c>
    </row>
    <row r="67" spans="2:3" ht="24" customHeight="1" x14ac:dyDescent="0.3">
      <c r="B67" s="43">
        <v>1.5518376620000001</v>
      </c>
      <c r="C67" s="32">
        <v>66.029385520000005</v>
      </c>
    </row>
    <row r="68" spans="2:3" ht="24" customHeight="1" x14ac:dyDescent="0.3">
      <c r="B68" s="43">
        <v>1.558233765</v>
      </c>
      <c r="C68" s="32">
        <v>65.760946266666664</v>
      </c>
    </row>
    <row r="69" spans="2:3" ht="24" customHeight="1" x14ac:dyDescent="0.3">
      <c r="B69" s="43">
        <v>1.5672792209999999</v>
      </c>
      <c r="C69" s="32">
        <v>74.773606709999996</v>
      </c>
    </row>
    <row r="70" spans="2:3" ht="24" customHeight="1" x14ac:dyDescent="0.3">
      <c r="B70" s="43">
        <v>1.6700714270000001</v>
      </c>
      <c r="C70" s="32">
        <v>70.931834899999998</v>
      </c>
    </row>
    <row r="71" spans="2:3" ht="24" customHeight="1" x14ac:dyDescent="0.3">
      <c r="B71" s="43">
        <v>1.700954544</v>
      </c>
      <c r="C71" s="32">
        <v>67.342934790000001</v>
      </c>
    </row>
    <row r="72" spans="2:3" ht="24" customHeight="1" x14ac:dyDescent="0.3">
      <c r="B72" s="43">
        <v>1.71</v>
      </c>
      <c r="C72" s="32">
        <v>61.298264360000005</v>
      </c>
    </row>
    <row r="73" spans="2:3" ht="24" customHeight="1" x14ac:dyDescent="0.3">
      <c r="B73" s="43">
        <v>1.722792206</v>
      </c>
      <c r="C73" s="32">
        <v>99.904913219999997</v>
      </c>
    </row>
    <row r="74" spans="2:3" ht="24" customHeight="1" x14ac:dyDescent="0.3">
      <c r="B74" s="43">
        <v>1.753675324</v>
      </c>
      <c r="C74" s="32">
        <v>90.996057530000002</v>
      </c>
    </row>
    <row r="75" spans="2:3" ht="24" customHeight="1" x14ac:dyDescent="0.3">
      <c r="B75" s="43">
        <v>1.7755129860000001</v>
      </c>
      <c r="C75" s="32">
        <v>71.348813829999997</v>
      </c>
    </row>
    <row r="76" spans="2:3" ht="24" customHeight="1" x14ac:dyDescent="0.3">
      <c r="B76" s="43">
        <v>1.806396103</v>
      </c>
      <c r="C76" s="32">
        <v>67.268208579999992</v>
      </c>
    </row>
    <row r="77" spans="2:3" ht="24" customHeight="1" x14ac:dyDescent="0.3">
      <c r="B77" s="43">
        <v>1.828233765</v>
      </c>
      <c r="C77" s="32">
        <v>84.652831969999994</v>
      </c>
    </row>
    <row r="78" spans="2:3" ht="24" customHeight="1" x14ac:dyDescent="0.3">
      <c r="B78" s="43">
        <v>1.8591168819999999</v>
      </c>
      <c r="C78" s="32">
        <v>75.914130479999997</v>
      </c>
    </row>
    <row r="79" spans="2:3" ht="24" customHeight="1" x14ac:dyDescent="0.3">
      <c r="B79" s="43">
        <v>1.8963961030000001</v>
      </c>
      <c r="C79" s="32">
        <v>75.939059569999998</v>
      </c>
    </row>
    <row r="80" spans="2:3" ht="24" customHeight="1" x14ac:dyDescent="0.3">
      <c r="B80" s="43">
        <v>1.924629868</v>
      </c>
      <c r="C80" s="32">
        <v>58.000490490000004</v>
      </c>
    </row>
    <row r="81" spans="2:3" ht="24" customHeight="1" x14ac:dyDescent="0.3">
      <c r="B81" s="43">
        <v>1.933675324</v>
      </c>
      <c r="C81" s="32">
        <v>88.576493900000003</v>
      </c>
    </row>
    <row r="82" spans="2:3" ht="24" customHeight="1" x14ac:dyDescent="0.3">
      <c r="B82" s="43">
        <v>1.955512986</v>
      </c>
      <c r="C82" s="32">
        <v>67.110074319999995</v>
      </c>
    </row>
    <row r="83" spans="2:3" ht="24" customHeight="1" x14ac:dyDescent="0.3">
      <c r="B83" s="43">
        <v>1.977350647</v>
      </c>
      <c r="C83" s="32">
        <v>56.935543799999998</v>
      </c>
    </row>
    <row r="84" spans="2:3" ht="24" customHeight="1" x14ac:dyDescent="0.3">
      <c r="B84" s="43">
        <v>1.9863961029999999</v>
      </c>
      <c r="C84" s="32">
        <v>100.89829379</v>
      </c>
    </row>
    <row r="85" spans="2:3" ht="24" customHeight="1" x14ac:dyDescent="0.3">
      <c r="B85" s="43">
        <v>1.999188309</v>
      </c>
      <c r="C85" s="32">
        <v>59.261692159999996</v>
      </c>
    </row>
    <row r="86" spans="2:3" ht="24" customHeight="1" x14ac:dyDescent="0.3">
      <c r="B86" s="43">
        <v>2.0827922060000001</v>
      </c>
      <c r="C86" s="32">
        <v>66.69633752</v>
      </c>
    </row>
    <row r="87" spans="2:3" ht="24" customHeight="1" x14ac:dyDescent="0.3">
      <c r="B87" s="43">
        <v>2.1355129860000002</v>
      </c>
      <c r="C87" s="32">
        <v>71.362145290000001</v>
      </c>
    </row>
    <row r="88" spans="2:3" ht="24" customHeight="1" x14ac:dyDescent="0.3">
      <c r="B88" s="43">
        <v>2.144558441</v>
      </c>
      <c r="C88" s="32">
        <v>59.603181039999996</v>
      </c>
    </row>
    <row r="89" spans="2:3" ht="24" customHeight="1" x14ac:dyDescent="0.3">
      <c r="B89" s="43">
        <v>2.1573506469999999</v>
      </c>
      <c r="C89" s="32">
        <v>70.383926465000002</v>
      </c>
    </row>
    <row r="90" spans="2:3" ht="24" customHeight="1" x14ac:dyDescent="0.3">
      <c r="B90" s="43">
        <v>2.1791883090000002</v>
      </c>
      <c r="C90" s="32">
        <v>104.62491403999999</v>
      </c>
    </row>
    <row r="91" spans="2:3" ht="24" customHeight="1" x14ac:dyDescent="0.3">
      <c r="B91" s="43">
        <v>2.1882337650000001</v>
      </c>
      <c r="C91" s="32">
        <v>96.60663292000001</v>
      </c>
    </row>
    <row r="92" spans="2:3" ht="24" customHeight="1" x14ac:dyDescent="0.3">
      <c r="B92" s="43">
        <v>2.1946298679999998</v>
      </c>
      <c r="C92" s="32">
        <v>71.660324510000009</v>
      </c>
    </row>
    <row r="93" spans="2:3" ht="24" customHeight="1" x14ac:dyDescent="0.3">
      <c r="B93" s="43">
        <v>2.2100714269999999</v>
      </c>
      <c r="C93" s="32">
        <v>67.71266747</v>
      </c>
    </row>
    <row r="94" spans="2:3" ht="24" customHeight="1" x14ac:dyDescent="0.3">
      <c r="B94" s="43">
        <v>2.2473506470000002</v>
      </c>
      <c r="C94" s="32">
        <v>70.843779810000001</v>
      </c>
    </row>
    <row r="95" spans="2:3" ht="24" customHeight="1" x14ac:dyDescent="0.3">
      <c r="B95" s="43">
        <v>2.278233765</v>
      </c>
      <c r="C95" s="32">
        <v>100.89502141</v>
      </c>
    </row>
    <row r="96" spans="2:3" ht="24" customHeight="1" x14ac:dyDescent="0.3">
      <c r="B96" s="43">
        <v>2.3091168820000001</v>
      </c>
      <c r="C96" s="32">
        <v>63.112270370000005</v>
      </c>
    </row>
    <row r="97" spans="2:3" ht="24" customHeight="1" x14ac:dyDescent="0.3">
      <c r="B97" s="43">
        <v>2.3155129859999999</v>
      </c>
      <c r="C97" s="32">
        <v>54.693258149999998</v>
      </c>
    </row>
    <row r="98" spans="2:3" ht="24" customHeight="1" x14ac:dyDescent="0.3">
      <c r="B98" s="43">
        <v>2.3245584410000002</v>
      </c>
      <c r="C98" s="32">
        <v>71.31007446000001</v>
      </c>
    </row>
    <row r="99" spans="2:3" ht="24" customHeight="1" x14ac:dyDescent="0.3">
      <c r="B99" s="43">
        <v>2.3373506470000001</v>
      </c>
      <c r="C99" s="32">
        <v>68.765664790000002</v>
      </c>
    </row>
    <row r="100" spans="2:3" ht="24" customHeight="1" x14ac:dyDescent="0.3">
      <c r="B100" s="43">
        <v>2.3527922060000002</v>
      </c>
      <c r="C100" s="32">
        <v>74.120782140000003</v>
      </c>
    </row>
    <row r="101" spans="2:3" ht="24" customHeight="1" x14ac:dyDescent="0.3">
      <c r="B101" s="43">
        <v>2.4055129860000002</v>
      </c>
      <c r="C101" s="32">
        <v>85.917810889999998</v>
      </c>
    </row>
    <row r="102" spans="2:3" ht="24" customHeight="1" x14ac:dyDescent="0.3">
      <c r="B102" s="43">
        <v>2.4209545440000002</v>
      </c>
      <c r="C102" s="32">
        <v>75.901073795000002</v>
      </c>
    </row>
    <row r="103" spans="2:3" ht="24" customHeight="1" x14ac:dyDescent="0.3">
      <c r="B103" s="43">
        <v>2.4363961029999999</v>
      </c>
      <c r="C103" s="32">
        <v>75.148091984999994</v>
      </c>
    </row>
    <row r="104" spans="2:3" ht="24" customHeight="1" x14ac:dyDescent="0.3">
      <c r="B104" s="43">
        <v>2.4800714269999999</v>
      </c>
      <c r="C104" s="32">
        <v>64.52266625</v>
      </c>
    </row>
    <row r="105" spans="2:3" ht="24" customHeight="1" x14ac:dyDescent="0.3">
      <c r="B105" s="43">
        <v>2.495512986</v>
      </c>
      <c r="C105" s="32">
        <v>131.11972185000002</v>
      </c>
    </row>
    <row r="106" spans="2:3" ht="24" customHeight="1" x14ac:dyDescent="0.3">
      <c r="B106" s="43">
        <v>2.5019090890000002</v>
      </c>
      <c r="C106" s="32">
        <v>90.878352390000003</v>
      </c>
    </row>
    <row r="107" spans="2:3" ht="24" customHeight="1" x14ac:dyDescent="0.3">
      <c r="B107" s="43">
        <v>2.5327922059999999</v>
      </c>
      <c r="C107" s="32">
        <v>84.823470729999997</v>
      </c>
    </row>
    <row r="108" spans="2:3" ht="24" customHeight="1" x14ac:dyDescent="0.3">
      <c r="B108" s="43">
        <v>2.5546298680000001</v>
      </c>
      <c r="C108" s="32">
        <v>84.071989950000003</v>
      </c>
    </row>
    <row r="109" spans="2:3" ht="24" customHeight="1" x14ac:dyDescent="0.3">
      <c r="B109" s="43">
        <v>2.5700714269999998</v>
      </c>
      <c r="C109" s="32">
        <v>60.253472670000001</v>
      </c>
    </row>
    <row r="110" spans="2:3" ht="24" customHeight="1" x14ac:dyDescent="0.3">
      <c r="B110" s="43">
        <v>2.5855129859999999</v>
      </c>
      <c r="C110" s="32">
        <v>90.494864449999994</v>
      </c>
    </row>
    <row r="111" spans="2:3" ht="24" customHeight="1" x14ac:dyDescent="0.3">
      <c r="B111" s="43">
        <v>2.6291883089999999</v>
      </c>
      <c r="C111" s="32">
        <v>113.82789348</v>
      </c>
    </row>
    <row r="112" spans="2:3" ht="24" customHeight="1" x14ac:dyDescent="0.3">
      <c r="B112" s="43">
        <v>2.6973506469999999</v>
      </c>
      <c r="C112" s="32">
        <v>83.597005240000001</v>
      </c>
    </row>
    <row r="113" spans="2:3" ht="24" customHeight="1" x14ac:dyDescent="0.3">
      <c r="B113" s="43">
        <v>2.7655129860000001</v>
      </c>
      <c r="C113" s="32">
        <v>103.86911797</v>
      </c>
    </row>
    <row r="114" spans="2:3" ht="24" customHeight="1" x14ac:dyDescent="0.3">
      <c r="B114" s="43">
        <v>2.8027922059999999</v>
      </c>
      <c r="C114" s="32">
        <v>79.239687900000007</v>
      </c>
    </row>
    <row r="115" spans="2:3" ht="24" customHeight="1" x14ac:dyDescent="0.3">
      <c r="B115" s="43">
        <v>2.8773506470000001</v>
      </c>
      <c r="C115" s="32">
        <v>98.30275223000001</v>
      </c>
    </row>
    <row r="116" spans="2:3" ht="24" customHeight="1" x14ac:dyDescent="0.3">
      <c r="B116" s="43">
        <v>2.8991883089999999</v>
      </c>
      <c r="C116" s="32">
        <v>63.332133220000003</v>
      </c>
    </row>
    <row r="117" spans="2:3" ht="24" customHeight="1" x14ac:dyDescent="0.3">
      <c r="B117" s="43">
        <v>2.9210259710000002</v>
      </c>
      <c r="C117" s="32">
        <v>66.055369150000004</v>
      </c>
    </row>
    <row r="118" spans="2:3" ht="24" customHeight="1" x14ac:dyDescent="0.3">
      <c r="B118" s="43">
        <v>2.9364675299999998</v>
      </c>
      <c r="C118" s="32">
        <v>102.17838799</v>
      </c>
    </row>
    <row r="119" spans="2:3" ht="24" customHeight="1" x14ac:dyDescent="0.3">
      <c r="B119" s="43">
        <v>2.9455129860000002</v>
      </c>
      <c r="C119" s="32">
        <v>109.21562134999999</v>
      </c>
    </row>
    <row r="120" spans="2:3" ht="24" customHeight="1" x14ac:dyDescent="0.3">
      <c r="B120" s="43">
        <v>2.9737467500000001</v>
      </c>
      <c r="C120" s="32">
        <v>75.569791600000002</v>
      </c>
    </row>
    <row r="121" spans="2:3" ht="24" customHeight="1" x14ac:dyDescent="0.3">
      <c r="B121" s="43">
        <v>2.9763961029999999</v>
      </c>
      <c r="C121" s="32">
        <v>92.799287289999995</v>
      </c>
    </row>
    <row r="122" spans="2:3" ht="24" customHeight="1" x14ac:dyDescent="0.3">
      <c r="B122" s="43">
        <v>2.9827922060000001</v>
      </c>
      <c r="C122" s="32">
        <v>69.180188090000001</v>
      </c>
    </row>
    <row r="123" spans="2:3" ht="24" customHeight="1" x14ac:dyDescent="0.3">
      <c r="B123" s="43">
        <v>2.9982337650000002</v>
      </c>
      <c r="C123" s="32">
        <v>84.634037379999995</v>
      </c>
    </row>
    <row r="124" spans="2:3" ht="24" customHeight="1" x14ac:dyDescent="0.3">
      <c r="B124" s="43">
        <v>3.0046298679999999</v>
      </c>
      <c r="C124" s="32">
        <v>83.217496225000005</v>
      </c>
    </row>
    <row r="125" spans="2:3" ht="24" customHeight="1" x14ac:dyDescent="0.3">
      <c r="B125" s="43">
        <v>3.0573506469999998</v>
      </c>
      <c r="C125" s="32">
        <v>52.64898599</v>
      </c>
    </row>
    <row r="126" spans="2:3" ht="24" customHeight="1" x14ac:dyDescent="0.3">
      <c r="B126" s="43">
        <v>3.0855844120000002</v>
      </c>
      <c r="C126" s="32">
        <v>58.262629610000005</v>
      </c>
    </row>
    <row r="127" spans="2:3" ht="24" customHeight="1" x14ac:dyDescent="0.3">
      <c r="B127" s="43">
        <v>3.0946298680000002</v>
      </c>
      <c r="C127" s="32">
        <v>80.990362360000006</v>
      </c>
    </row>
    <row r="128" spans="2:3" ht="24" customHeight="1" x14ac:dyDescent="0.3">
      <c r="B128" s="43">
        <v>3.1319090890000001</v>
      </c>
      <c r="C128" s="32">
        <v>121.23335940999999</v>
      </c>
    </row>
    <row r="129" spans="2:3" ht="24" customHeight="1" x14ac:dyDescent="0.3">
      <c r="B129" s="43">
        <v>3.1383051919999998</v>
      </c>
      <c r="C129" s="32">
        <v>90.809980209999992</v>
      </c>
    </row>
    <row r="130" spans="2:3" ht="24" customHeight="1" x14ac:dyDescent="0.3">
      <c r="B130" s="43">
        <v>3.1782337649999999</v>
      </c>
      <c r="C130" s="32">
        <v>78.789536760000004</v>
      </c>
    </row>
    <row r="131" spans="2:3" ht="24" customHeight="1" x14ac:dyDescent="0.3">
      <c r="B131" s="43">
        <v>3.2155129859999998</v>
      </c>
      <c r="C131" s="32">
        <v>93.963442540000003</v>
      </c>
    </row>
    <row r="132" spans="2:3" ht="24" customHeight="1" x14ac:dyDescent="0.3">
      <c r="B132" s="43">
        <v>3.2219090889999999</v>
      </c>
      <c r="C132" s="32">
        <v>103.34346675</v>
      </c>
    </row>
    <row r="133" spans="2:3" ht="24" customHeight="1" x14ac:dyDescent="0.3">
      <c r="B133" s="43">
        <v>3.2437467500000001</v>
      </c>
      <c r="C133" s="32">
        <v>79.213293660000005</v>
      </c>
    </row>
    <row r="134" spans="2:3" ht="24" customHeight="1" x14ac:dyDescent="0.3">
      <c r="B134" s="43">
        <v>3.2719805150000001</v>
      </c>
      <c r="C134" s="32">
        <v>57.098316510000004</v>
      </c>
    </row>
    <row r="135" spans="2:3" ht="24" customHeight="1" x14ac:dyDescent="0.3">
      <c r="B135" s="43">
        <v>3.281025971</v>
      </c>
      <c r="C135" s="32">
        <v>118.16849658000001</v>
      </c>
    </row>
    <row r="136" spans="2:3" ht="24" customHeight="1" x14ac:dyDescent="0.3">
      <c r="B136" s="43">
        <v>3.2991168819999999</v>
      </c>
      <c r="C136" s="32">
        <v>63.309272849999999</v>
      </c>
    </row>
    <row r="137" spans="2:3" ht="24" customHeight="1" x14ac:dyDescent="0.3">
      <c r="B137" s="43">
        <v>3.3273506469999998</v>
      </c>
      <c r="C137" s="32">
        <v>67.63746209</v>
      </c>
    </row>
    <row r="138" spans="2:3" ht="24" customHeight="1" x14ac:dyDescent="0.3">
      <c r="B138" s="43">
        <v>3.33</v>
      </c>
      <c r="C138" s="32">
        <v>75.02744229000001</v>
      </c>
    </row>
    <row r="139" spans="2:3" ht="24" customHeight="1" x14ac:dyDescent="0.3">
      <c r="B139" s="43">
        <v>3.33374675</v>
      </c>
      <c r="C139" s="32">
        <v>53.327913249999995</v>
      </c>
    </row>
    <row r="140" spans="2:3" ht="24" customHeight="1" x14ac:dyDescent="0.3">
      <c r="B140" s="43">
        <v>3.3555844119999998</v>
      </c>
      <c r="C140" s="32">
        <v>65.973732690000006</v>
      </c>
    </row>
    <row r="141" spans="2:3" ht="24" customHeight="1" x14ac:dyDescent="0.3">
      <c r="B141" s="43">
        <v>3.3928636330000002</v>
      </c>
      <c r="C141" s="32">
        <v>76.590415649999997</v>
      </c>
    </row>
    <row r="142" spans="2:3" ht="24" customHeight="1" x14ac:dyDescent="0.3">
      <c r="B142" s="43">
        <v>3.4327922059999998</v>
      </c>
      <c r="C142" s="32">
        <v>56.578932450000003</v>
      </c>
    </row>
    <row r="143" spans="2:3" ht="24" customHeight="1" x14ac:dyDescent="0.3">
      <c r="B143" s="43">
        <v>3.4391883089999999</v>
      </c>
      <c r="C143" s="32">
        <v>85.454874520000004</v>
      </c>
    </row>
    <row r="144" spans="2:3" ht="24" customHeight="1" x14ac:dyDescent="0.3">
      <c r="B144" s="43">
        <v>3.4455844120000001</v>
      </c>
      <c r="C144" s="32">
        <v>83.689036450000003</v>
      </c>
    </row>
    <row r="145" spans="2:3" ht="24" customHeight="1" x14ac:dyDescent="0.3">
      <c r="B145" s="43">
        <v>3.479116882</v>
      </c>
      <c r="C145" s="32">
        <v>66.844599860000002</v>
      </c>
    </row>
    <row r="146" spans="2:3" ht="24" customHeight="1" x14ac:dyDescent="0.3">
      <c r="B146" s="43">
        <v>3.5664675300000002</v>
      </c>
      <c r="C146" s="32">
        <v>96.427111739999987</v>
      </c>
    </row>
    <row r="147" spans="2:3" ht="24" customHeight="1" x14ac:dyDescent="0.3">
      <c r="B147" s="43">
        <v>3.588305192</v>
      </c>
      <c r="C147" s="32">
        <v>87.684927500000001</v>
      </c>
    </row>
    <row r="148" spans="2:3" ht="24" customHeight="1" x14ac:dyDescent="0.3">
      <c r="B148" s="43">
        <v>3.6063961029999998</v>
      </c>
      <c r="C148" s="32">
        <v>67.100884249999993</v>
      </c>
    </row>
    <row r="149" spans="2:3" ht="24" customHeight="1" x14ac:dyDescent="0.3">
      <c r="B149" s="43">
        <v>3.612792206</v>
      </c>
      <c r="C149" s="32">
        <v>66.093140890000001</v>
      </c>
    </row>
    <row r="150" spans="2:3" ht="24" customHeight="1" x14ac:dyDescent="0.3">
      <c r="B150" s="43">
        <v>3.733675324</v>
      </c>
      <c r="C150" s="32">
        <v>73.090894710000001</v>
      </c>
    </row>
    <row r="151" spans="2:3" ht="24" customHeight="1" x14ac:dyDescent="0.3">
      <c r="B151" s="43">
        <v>3.752863633</v>
      </c>
      <c r="C151" s="32">
        <v>59.489117149999998</v>
      </c>
    </row>
    <row r="152" spans="2:3" ht="24" customHeight="1" x14ac:dyDescent="0.3">
      <c r="B152" s="43">
        <v>3.8364675300000002</v>
      </c>
      <c r="C152" s="32">
        <v>59.903076349999999</v>
      </c>
    </row>
    <row r="153" spans="2:3" ht="24" customHeight="1" x14ac:dyDescent="0.3">
      <c r="B153" s="43">
        <v>3.882792206</v>
      </c>
      <c r="C153" s="32">
        <v>88.782139729999997</v>
      </c>
    </row>
    <row r="154" spans="2:3" ht="24" customHeight="1" x14ac:dyDescent="0.3">
      <c r="B154" s="43">
        <v>3.8955844119999998</v>
      </c>
      <c r="C154" s="32">
        <v>91.061964579999994</v>
      </c>
    </row>
    <row r="155" spans="2:3" ht="24" customHeight="1" x14ac:dyDescent="0.3">
      <c r="B155" s="43">
        <v>3.9174220740000001</v>
      </c>
      <c r="C155" s="32">
        <v>75.927635370000004</v>
      </c>
    </row>
    <row r="156" spans="2:3" ht="24" customHeight="1" x14ac:dyDescent="0.3">
      <c r="B156" s="43">
        <v>3.9238181769999998</v>
      </c>
      <c r="C156" s="32">
        <v>53.162744089999997</v>
      </c>
    </row>
    <row r="157" spans="2:3" ht="24" customHeight="1" x14ac:dyDescent="0.3">
      <c r="B157" s="43">
        <v>3.979188309</v>
      </c>
      <c r="C157" s="32">
        <v>101.5224111</v>
      </c>
    </row>
    <row r="158" spans="2:3" ht="24" customHeight="1" x14ac:dyDescent="0.3">
      <c r="B158" s="43">
        <v>3.9855844120000001</v>
      </c>
      <c r="C158" s="32">
        <v>70.764305159999992</v>
      </c>
    </row>
    <row r="159" spans="2:3" ht="24" customHeight="1" x14ac:dyDescent="0.3">
      <c r="B159" s="43">
        <v>3.9882337649999999</v>
      </c>
      <c r="C159" s="32">
        <v>78.577307020000006</v>
      </c>
    </row>
    <row r="160" spans="2:3" ht="24" customHeight="1" x14ac:dyDescent="0.3">
      <c r="B160" s="43">
        <v>4.0010259709999998</v>
      </c>
      <c r="C160" s="32">
        <v>103.92288221999999</v>
      </c>
    </row>
    <row r="161" spans="2:3" ht="24" customHeight="1" x14ac:dyDescent="0.3">
      <c r="B161" s="43">
        <v>4.0100714269999997</v>
      </c>
      <c r="C161" s="32">
        <v>118.43099104999999</v>
      </c>
    </row>
    <row r="162" spans="2:3" ht="24" customHeight="1" x14ac:dyDescent="0.3">
      <c r="B162" s="43">
        <v>4.0164675299999999</v>
      </c>
      <c r="C162" s="32">
        <v>80.700868119999996</v>
      </c>
    </row>
    <row r="163" spans="2:3" ht="24" customHeight="1" x14ac:dyDescent="0.3">
      <c r="B163" s="43">
        <v>4.0383051920000002</v>
      </c>
      <c r="C163" s="32">
        <v>67.612813759999995</v>
      </c>
    </row>
    <row r="164" spans="2:3" ht="24" customHeight="1" x14ac:dyDescent="0.3">
      <c r="B164" s="43">
        <v>4.1219090889999999</v>
      </c>
      <c r="C164" s="32">
        <v>71.922660469999997</v>
      </c>
    </row>
    <row r="165" spans="2:3" ht="24" customHeight="1" x14ac:dyDescent="0.3">
      <c r="B165" s="43">
        <v>4.14374675</v>
      </c>
      <c r="C165" s="32">
        <v>64.505625425000005</v>
      </c>
    </row>
    <row r="166" spans="2:3" ht="24" customHeight="1" x14ac:dyDescent="0.3">
      <c r="B166" s="43">
        <v>4.1682337650000001</v>
      </c>
      <c r="C166" s="32">
        <v>89.938290060000014</v>
      </c>
    </row>
    <row r="167" spans="2:3" ht="24" customHeight="1" x14ac:dyDescent="0.3">
      <c r="B167" s="43">
        <v>4.2028636329999998</v>
      </c>
      <c r="C167" s="32">
        <v>64.327609289999998</v>
      </c>
    </row>
    <row r="168" spans="2:3" ht="24" customHeight="1" x14ac:dyDescent="0.3">
      <c r="B168" s="43">
        <v>4.2119090889999997</v>
      </c>
      <c r="C168" s="32">
        <v>82.204373320000002</v>
      </c>
    </row>
    <row r="169" spans="2:3" ht="24" customHeight="1" x14ac:dyDescent="0.3">
      <c r="B169" s="43">
        <v>4.249188309</v>
      </c>
      <c r="C169" s="32">
        <v>54.310033619999999</v>
      </c>
    </row>
    <row r="170" spans="2:3" ht="24" customHeight="1" x14ac:dyDescent="0.3">
      <c r="B170" s="43">
        <v>4.2710259710000003</v>
      </c>
      <c r="C170" s="32">
        <v>96.104820419999996</v>
      </c>
    </row>
    <row r="171" spans="2:3" ht="24" customHeight="1" x14ac:dyDescent="0.3">
      <c r="B171" s="43">
        <v>4.2736753240000001</v>
      </c>
      <c r="C171" s="32">
        <v>62.514071959999995</v>
      </c>
    </row>
    <row r="172" spans="2:3" ht="24" customHeight="1" x14ac:dyDescent="0.3">
      <c r="B172" s="43">
        <v>4.2864675300000004</v>
      </c>
      <c r="C172" s="32">
        <v>144.36272805000002</v>
      </c>
    </row>
    <row r="173" spans="2:3" ht="24" customHeight="1" x14ac:dyDescent="0.3">
      <c r="B173" s="43">
        <v>4.345584412</v>
      </c>
      <c r="C173" s="32">
        <v>70.708566590000004</v>
      </c>
    </row>
    <row r="174" spans="2:3" ht="24" customHeight="1" x14ac:dyDescent="0.3">
      <c r="B174" s="43">
        <v>4.3764675300000002</v>
      </c>
      <c r="C174" s="32">
        <v>112.37084835</v>
      </c>
    </row>
    <row r="175" spans="2:3" ht="24" customHeight="1" x14ac:dyDescent="0.3">
      <c r="B175" s="43">
        <v>4.4291883089999997</v>
      </c>
      <c r="C175" s="32">
        <v>107.60376983</v>
      </c>
    </row>
    <row r="176" spans="2:3" ht="24" customHeight="1" x14ac:dyDescent="0.3">
      <c r="B176" s="43">
        <v>4.4355844119999999</v>
      </c>
      <c r="C176" s="32">
        <v>116.77640091999999</v>
      </c>
    </row>
    <row r="177" spans="2:3" ht="24" customHeight="1" x14ac:dyDescent="0.3">
      <c r="B177" s="43">
        <v>4.5319805149999999</v>
      </c>
      <c r="C177" s="32">
        <v>78.956351869999992</v>
      </c>
    </row>
    <row r="178" spans="2:3" ht="24" customHeight="1" x14ac:dyDescent="0.3">
      <c r="B178" s="43">
        <v>4.547422074</v>
      </c>
      <c r="C178" s="32">
        <v>102.19621756000001</v>
      </c>
    </row>
    <row r="179" spans="2:3" ht="24" customHeight="1" x14ac:dyDescent="0.3">
      <c r="B179" s="43">
        <v>4.5628636330000001</v>
      </c>
      <c r="C179" s="32">
        <v>99.021944939999997</v>
      </c>
    </row>
    <row r="180" spans="2:3" ht="24" customHeight="1" x14ac:dyDescent="0.3">
      <c r="B180" s="43">
        <v>4.5847012950000003</v>
      </c>
      <c r="C180" s="32">
        <v>74.4613236</v>
      </c>
    </row>
    <row r="181" spans="2:3" ht="24" customHeight="1" x14ac:dyDescent="0.3">
      <c r="B181" s="43">
        <v>4.5937467500000002</v>
      </c>
      <c r="C181" s="32">
        <v>71.328447780000005</v>
      </c>
    </row>
    <row r="182" spans="2:3" ht="24" customHeight="1" x14ac:dyDescent="0.3">
      <c r="B182" s="43">
        <v>4.6155844119999996</v>
      </c>
      <c r="C182" s="32">
        <v>78.785209780000002</v>
      </c>
    </row>
    <row r="183" spans="2:3" ht="24" customHeight="1" x14ac:dyDescent="0.3">
      <c r="B183" s="43">
        <v>4.6555129859999997</v>
      </c>
      <c r="C183" s="32">
        <v>60.32279218</v>
      </c>
    </row>
    <row r="184" spans="2:3" ht="24" customHeight="1" x14ac:dyDescent="0.3">
      <c r="B184" s="43">
        <v>4.7055844120000003</v>
      </c>
      <c r="C184" s="32">
        <v>105.30035947</v>
      </c>
    </row>
    <row r="185" spans="2:3" ht="24" customHeight="1" x14ac:dyDescent="0.3">
      <c r="B185" s="43">
        <v>4.7274220739999997</v>
      </c>
      <c r="C185" s="32">
        <v>74.974279330000002</v>
      </c>
    </row>
    <row r="186" spans="2:3" ht="24" customHeight="1" x14ac:dyDescent="0.3">
      <c r="B186" s="43">
        <v>4.7763961029999997</v>
      </c>
      <c r="C186" s="32">
        <v>54.403753809999998</v>
      </c>
    </row>
    <row r="187" spans="2:3" ht="24" customHeight="1" x14ac:dyDescent="0.3">
      <c r="B187" s="43">
        <v>4.7801428530000001</v>
      </c>
      <c r="C187" s="32">
        <v>104.69051752</v>
      </c>
    </row>
    <row r="188" spans="2:3" ht="24" customHeight="1" x14ac:dyDescent="0.3">
      <c r="B188" s="43">
        <v>4.8328636329999997</v>
      </c>
      <c r="C188" s="32">
        <v>106.37293654</v>
      </c>
    </row>
    <row r="189" spans="2:3" ht="24" customHeight="1" x14ac:dyDescent="0.3">
      <c r="B189" s="43">
        <v>4.8392597359999998</v>
      </c>
      <c r="C189" s="32">
        <v>69.322889070000002</v>
      </c>
    </row>
    <row r="190" spans="2:3" ht="24" customHeight="1" x14ac:dyDescent="0.3">
      <c r="B190" s="43">
        <v>4.845655839</v>
      </c>
      <c r="C190" s="32">
        <v>55.807987320000002</v>
      </c>
    </row>
    <row r="191" spans="2:3" ht="24" customHeight="1" x14ac:dyDescent="0.3">
      <c r="B191" s="43">
        <v>4.8637467499999998</v>
      </c>
      <c r="C191" s="32">
        <v>98.792656730000004</v>
      </c>
    </row>
    <row r="192" spans="2:3" ht="24" customHeight="1" x14ac:dyDescent="0.3">
      <c r="B192" s="43">
        <v>4.9292597359999997</v>
      </c>
      <c r="C192" s="32">
        <v>60.224819060000002</v>
      </c>
    </row>
    <row r="193" spans="2:3" ht="24" customHeight="1" x14ac:dyDescent="0.3">
      <c r="B193" s="43">
        <v>4.9356558389999998</v>
      </c>
      <c r="C193" s="32">
        <v>95.123330960000004</v>
      </c>
    </row>
    <row r="194" spans="2:3" ht="24" customHeight="1" x14ac:dyDescent="0.3">
      <c r="B194" s="43">
        <v>4.9447012949999998</v>
      </c>
      <c r="C194" s="32">
        <v>99.995888589999993</v>
      </c>
    </row>
    <row r="195" spans="2:3" ht="24" customHeight="1" x14ac:dyDescent="0.3">
      <c r="B195" s="43">
        <v>4.991025971</v>
      </c>
      <c r="C195" s="32">
        <v>55.631101629999996</v>
      </c>
    </row>
    <row r="196" spans="2:3" ht="24" customHeight="1" x14ac:dyDescent="0.3">
      <c r="B196" s="43">
        <v>5.0320519419999998</v>
      </c>
      <c r="C196" s="32">
        <v>70.907265050000007</v>
      </c>
    </row>
    <row r="197" spans="2:3" ht="24" customHeight="1" x14ac:dyDescent="0.3">
      <c r="B197" s="43">
        <v>5.0991168819999997</v>
      </c>
      <c r="C197" s="32">
        <v>53.056386459999999</v>
      </c>
    </row>
    <row r="198" spans="2:3" ht="24" customHeight="1" x14ac:dyDescent="0.3">
      <c r="B198" s="43">
        <v>5.1401428530000004</v>
      </c>
      <c r="C198" s="32">
        <v>70.175589849999994</v>
      </c>
    </row>
    <row r="199" spans="2:3" ht="24" customHeight="1" x14ac:dyDescent="0.3">
      <c r="B199" s="43">
        <v>5.1710259709999997</v>
      </c>
      <c r="C199" s="32">
        <v>62.035352419999995</v>
      </c>
    </row>
    <row r="200" spans="2:3" ht="24" customHeight="1" x14ac:dyDescent="0.3">
      <c r="B200" s="43">
        <v>5.1774220739999999</v>
      </c>
      <c r="C200" s="32">
        <v>76.381016500000001</v>
      </c>
    </row>
    <row r="201" spans="2:3" ht="24" customHeight="1" x14ac:dyDescent="0.3">
      <c r="B201" s="43">
        <v>5.2237467500000001</v>
      </c>
      <c r="C201" s="32">
        <v>92.896559969999998</v>
      </c>
    </row>
    <row r="202" spans="2:3" ht="24" customHeight="1" x14ac:dyDescent="0.3">
      <c r="B202" s="43">
        <v>5.2519805149999996</v>
      </c>
      <c r="C202" s="32">
        <v>75.480518134999997</v>
      </c>
    </row>
    <row r="203" spans="2:3" ht="24" customHeight="1" x14ac:dyDescent="0.3">
      <c r="B203" s="43">
        <v>5.2674220739999997</v>
      </c>
      <c r="C203" s="32">
        <v>88.850328410000003</v>
      </c>
    </row>
    <row r="204" spans="2:3" ht="24" customHeight="1" x14ac:dyDescent="0.3">
      <c r="B204" s="43">
        <v>5.3728636329999997</v>
      </c>
      <c r="C204" s="32">
        <v>110.49380594</v>
      </c>
    </row>
    <row r="205" spans="2:3" ht="24" customHeight="1" x14ac:dyDescent="0.3">
      <c r="B205" s="43">
        <v>5.4037467499999998</v>
      </c>
      <c r="C205" s="32">
        <v>71.023659109999997</v>
      </c>
    </row>
    <row r="206" spans="2:3" ht="24" customHeight="1" x14ac:dyDescent="0.3">
      <c r="B206" s="43">
        <v>5.4319805150000002</v>
      </c>
      <c r="C206" s="32">
        <v>89.235825220000009</v>
      </c>
    </row>
    <row r="207" spans="2:3" ht="24" customHeight="1" x14ac:dyDescent="0.3">
      <c r="B207" s="43">
        <v>5.4500714270000001</v>
      </c>
      <c r="C207" s="32">
        <v>82.810460750000004</v>
      </c>
    </row>
    <row r="208" spans="2:3" ht="24" customHeight="1" x14ac:dyDescent="0.3">
      <c r="B208" s="43">
        <v>5.5001428529999998</v>
      </c>
      <c r="C208" s="32">
        <v>90.314818959999997</v>
      </c>
    </row>
    <row r="209" spans="2:3" ht="24" customHeight="1" x14ac:dyDescent="0.3">
      <c r="B209" s="43">
        <v>5.5091883089999998</v>
      </c>
      <c r="C209" s="32">
        <v>59.309413599999999</v>
      </c>
    </row>
    <row r="210" spans="2:3" ht="24" customHeight="1" x14ac:dyDescent="0.3">
      <c r="B210" s="43">
        <v>5.5283766180000002</v>
      </c>
      <c r="C210" s="32">
        <v>67.352734739999988</v>
      </c>
    </row>
    <row r="211" spans="2:3" ht="24" customHeight="1" x14ac:dyDescent="0.3">
      <c r="B211" s="43">
        <v>5.531025971</v>
      </c>
      <c r="C211" s="32">
        <v>135.76520608000001</v>
      </c>
    </row>
    <row r="212" spans="2:3" ht="24" customHeight="1" x14ac:dyDescent="0.3">
      <c r="B212" s="43">
        <v>5.540071427</v>
      </c>
      <c r="C212" s="32">
        <v>69.895511420000005</v>
      </c>
    </row>
    <row r="213" spans="2:3" ht="24" customHeight="1" x14ac:dyDescent="0.3">
      <c r="B213" s="43">
        <v>5.5810973979999998</v>
      </c>
      <c r="C213" s="32">
        <v>84.672616509999997</v>
      </c>
    </row>
    <row r="214" spans="2:3" ht="24" customHeight="1" x14ac:dyDescent="0.3">
      <c r="B214" s="43">
        <v>5.6556558389999996</v>
      </c>
      <c r="C214" s="32">
        <v>75.508895539999997</v>
      </c>
    </row>
    <row r="215" spans="2:3" ht="24" customHeight="1" x14ac:dyDescent="0.3">
      <c r="B215" s="43">
        <v>5.6673506470000001</v>
      </c>
      <c r="C215" s="32">
        <v>76.967506299999997</v>
      </c>
    </row>
    <row r="216" spans="2:3" ht="24" customHeight="1" x14ac:dyDescent="0.3">
      <c r="B216" s="43">
        <v>5.6929350599999999</v>
      </c>
      <c r="C216" s="32">
        <v>64.641637950000003</v>
      </c>
    </row>
    <row r="217" spans="2:3" ht="24" customHeight="1" x14ac:dyDescent="0.3">
      <c r="B217" s="43">
        <v>5.7238181770000001</v>
      </c>
      <c r="C217" s="32">
        <v>98.022886190000008</v>
      </c>
    </row>
    <row r="218" spans="2:3" ht="24" customHeight="1" x14ac:dyDescent="0.3">
      <c r="B218" s="43">
        <v>5.7727922060000001</v>
      </c>
      <c r="C218" s="32">
        <v>88.824725529999995</v>
      </c>
    </row>
    <row r="219" spans="2:3" ht="24" customHeight="1" x14ac:dyDescent="0.3">
      <c r="B219" s="43">
        <v>5.7738896039999998</v>
      </c>
      <c r="C219" s="32">
        <v>61.204680490000001</v>
      </c>
    </row>
    <row r="220" spans="2:3" ht="24" customHeight="1" x14ac:dyDescent="0.3">
      <c r="B220" s="43">
        <v>5.8010259709999996</v>
      </c>
      <c r="C220" s="32">
        <v>74.996548860000004</v>
      </c>
    </row>
    <row r="221" spans="2:3" ht="24" customHeight="1" x14ac:dyDescent="0.3">
      <c r="B221" s="43">
        <v>5.8138181769999999</v>
      </c>
      <c r="C221" s="32">
        <v>124.69813675</v>
      </c>
    </row>
    <row r="222" spans="2:3" ht="24" customHeight="1" x14ac:dyDescent="0.3">
      <c r="B222" s="43">
        <v>5.8691883090000001</v>
      </c>
      <c r="C222" s="32">
        <v>69.477230640000002</v>
      </c>
    </row>
    <row r="223" spans="2:3" ht="24" customHeight="1" x14ac:dyDescent="0.3">
      <c r="B223" s="43">
        <v>5.9000714270000003</v>
      </c>
      <c r="C223" s="32">
        <v>92.865906300000006</v>
      </c>
    </row>
    <row r="224" spans="2:3" ht="24" customHeight="1" x14ac:dyDescent="0.3">
      <c r="B224" s="43">
        <v>5.925655839</v>
      </c>
      <c r="C224" s="32">
        <v>89.066443429999993</v>
      </c>
    </row>
    <row r="225" spans="2:3" ht="24" customHeight="1" x14ac:dyDescent="0.3">
      <c r="B225" s="43">
        <v>5.9847727209999997</v>
      </c>
      <c r="C225" s="32">
        <v>58.409332370000001</v>
      </c>
    </row>
    <row r="226" spans="2:3" ht="24" customHeight="1" x14ac:dyDescent="0.3">
      <c r="B226" s="43">
        <v>6.031097398</v>
      </c>
      <c r="C226" s="32">
        <v>64.397891700000002</v>
      </c>
    </row>
    <row r="227" spans="2:3" ht="24" customHeight="1" x14ac:dyDescent="0.3">
      <c r="B227" s="43">
        <v>6.0955129860000001</v>
      </c>
      <c r="C227" s="32">
        <v>70.07355530000001</v>
      </c>
    </row>
    <row r="228" spans="2:3" ht="24" customHeight="1" x14ac:dyDescent="0.3">
      <c r="B228" s="43">
        <v>6.0966103829999998</v>
      </c>
      <c r="C228" s="32">
        <v>70.352000050000001</v>
      </c>
    </row>
    <row r="229" spans="2:3" ht="24" customHeight="1" x14ac:dyDescent="0.3">
      <c r="B229" s="43">
        <v>6.1056558389999998</v>
      </c>
      <c r="C229" s="32">
        <v>118.28557139999999</v>
      </c>
    </row>
    <row r="230" spans="2:3" ht="24" customHeight="1" x14ac:dyDescent="0.3">
      <c r="B230" s="43">
        <v>6.1173506470000003</v>
      </c>
      <c r="C230" s="32">
        <v>63.22040887</v>
      </c>
    </row>
    <row r="231" spans="2:3" ht="24" customHeight="1" x14ac:dyDescent="0.3">
      <c r="B231" s="43">
        <v>6.1237467499999996</v>
      </c>
      <c r="C231" s="32">
        <v>73.016749290000007</v>
      </c>
    </row>
    <row r="232" spans="2:3" ht="24" customHeight="1" x14ac:dyDescent="0.3">
      <c r="B232" s="43">
        <v>6.1572792209999996</v>
      </c>
      <c r="C232" s="32">
        <v>70.314407579999994</v>
      </c>
    </row>
    <row r="233" spans="2:3" ht="24" customHeight="1" x14ac:dyDescent="0.3">
      <c r="B233" s="43">
        <v>6.1738181770000002</v>
      </c>
      <c r="C233" s="32">
        <v>87.65780642</v>
      </c>
    </row>
    <row r="234" spans="2:3" ht="24" customHeight="1" x14ac:dyDescent="0.3">
      <c r="B234" s="43">
        <v>6.2702142800000003</v>
      </c>
      <c r="C234" s="32">
        <v>67.461141209999994</v>
      </c>
    </row>
    <row r="235" spans="2:3" ht="24" customHeight="1" x14ac:dyDescent="0.3">
      <c r="B235" s="43">
        <v>6.378305192</v>
      </c>
      <c r="C235" s="32">
        <v>84.355117419999999</v>
      </c>
    </row>
    <row r="236" spans="2:3" ht="24" customHeight="1" x14ac:dyDescent="0.3">
      <c r="B236" s="43">
        <v>6.5002857069999997</v>
      </c>
      <c r="C236" s="32">
        <v>63.06548772</v>
      </c>
    </row>
    <row r="237" spans="2:3" ht="24" customHeight="1" x14ac:dyDescent="0.3">
      <c r="B237" s="43">
        <v>6.5838896040000003</v>
      </c>
      <c r="C237" s="32">
        <v>88.614137839999998</v>
      </c>
    </row>
    <row r="238" spans="2:3" ht="24" customHeight="1" x14ac:dyDescent="0.3">
      <c r="B238" s="43">
        <v>6.6057272659999997</v>
      </c>
      <c r="C238" s="32">
        <v>60.133008680000003</v>
      </c>
    </row>
    <row r="239" spans="2:3" ht="24" customHeight="1" x14ac:dyDescent="0.3">
      <c r="B239" s="43">
        <v>6.667493501</v>
      </c>
      <c r="C239" s="32">
        <v>93.783033270000004</v>
      </c>
    </row>
    <row r="240" spans="2:3" ht="24" customHeight="1" x14ac:dyDescent="0.3">
      <c r="B240" s="43">
        <v>6.6893311630000003</v>
      </c>
      <c r="C240" s="32">
        <v>113.11887942999999</v>
      </c>
    </row>
    <row r="241" spans="2:3" ht="24" customHeight="1" x14ac:dyDescent="0.3">
      <c r="B241" s="43">
        <v>6.7074220740000001</v>
      </c>
      <c r="C241" s="32">
        <v>104.50149984000001</v>
      </c>
    </row>
    <row r="242" spans="2:3" ht="24" customHeight="1" x14ac:dyDescent="0.3">
      <c r="B242" s="43">
        <v>6.7266103829999997</v>
      </c>
      <c r="C242" s="32">
        <v>92.126013919999991</v>
      </c>
    </row>
    <row r="243" spans="2:3" ht="24" customHeight="1" x14ac:dyDescent="0.3">
      <c r="B243" s="43">
        <v>6.788376618</v>
      </c>
      <c r="C243" s="32">
        <v>71.727115279999992</v>
      </c>
    </row>
    <row r="244" spans="2:3" ht="24" customHeight="1" x14ac:dyDescent="0.3">
      <c r="B244" s="43">
        <v>6.797422074</v>
      </c>
      <c r="C244" s="32">
        <v>63.883349979999998</v>
      </c>
    </row>
    <row r="245" spans="2:3" ht="24" customHeight="1" x14ac:dyDescent="0.3">
      <c r="B245" s="43">
        <v>6.8011688250000004</v>
      </c>
      <c r="C245" s="32">
        <v>90.098429460000006</v>
      </c>
    </row>
    <row r="246" spans="2:3" ht="24" customHeight="1" x14ac:dyDescent="0.3">
      <c r="B246" s="43">
        <v>6.8064675299999999</v>
      </c>
      <c r="C246" s="32">
        <v>97.945124289999995</v>
      </c>
    </row>
    <row r="247" spans="2:3" ht="24" customHeight="1" x14ac:dyDescent="0.3">
      <c r="B247" s="43">
        <v>6.8128636330000001</v>
      </c>
      <c r="C247" s="32">
        <v>92.849731640000002</v>
      </c>
    </row>
    <row r="248" spans="2:3" ht="24" customHeight="1" x14ac:dyDescent="0.3">
      <c r="B248" s="43">
        <v>6.8410973979999996</v>
      </c>
      <c r="C248" s="32">
        <v>96.704446775000008</v>
      </c>
    </row>
    <row r="249" spans="2:3" ht="24" customHeight="1" x14ac:dyDescent="0.3">
      <c r="B249" s="43">
        <v>6.8629350599999999</v>
      </c>
      <c r="C249" s="32">
        <v>63.791646329999999</v>
      </c>
    </row>
    <row r="250" spans="2:3" ht="24" customHeight="1" x14ac:dyDescent="0.3">
      <c r="B250" s="43">
        <v>6.8757272660000002</v>
      </c>
      <c r="C250" s="32">
        <v>83.132574840000004</v>
      </c>
    </row>
    <row r="251" spans="2:3" ht="24" customHeight="1" x14ac:dyDescent="0.3">
      <c r="B251" s="43">
        <v>6.9002142800000001</v>
      </c>
      <c r="C251" s="32">
        <v>99.754599499999998</v>
      </c>
    </row>
    <row r="252" spans="2:3" ht="24" customHeight="1" x14ac:dyDescent="0.3">
      <c r="B252" s="43">
        <v>6.9092597360000001</v>
      </c>
      <c r="C252" s="32">
        <v>90.669652499999998</v>
      </c>
    </row>
    <row r="253" spans="2:3" ht="24" customHeight="1" x14ac:dyDescent="0.3">
      <c r="B253" s="43">
        <v>6.9348441479999998</v>
      </c>
      <c r="C253" s="32">
        <v>61.016563520000005</v>
      </c>
    </row>
    <row r="254" spans="2:3" ht="24" customHeight="1" x14ac:dyDescent="0.3">
      <c r="B254" s="43">
        <v>7.0030064860000003</v>
      </c>
      <c r="C254" s="32">
        <v>85.492897330000005</v>
      </c>
    </row>
    <row r="255" spans="2:3" ht="24" customHeight="1" x14ac:dyDescent="0.3">
      <c r="B255" s="43">
        <v>7.0429350599999996</v>
      </c>
      <c r="C255" s="32">
        <v>79.527497159999996</v>
      </c>
    </row>
    <row r="256" spans="2:3" ht="24" customHeight="1" x14ac:dyDescent="0.3">
      <c r="B256" s="43">
        <v>7.0455844120000002</v>
      </c>
      <c r="C256" s="32">
        <v>83.82994841</v>
      </c>
    </row>
    <row r="257" spans="2:3" ht="24" customHeight="1" x14ac:dyDescent="0.3">
      <c r="B257" s="43">
        <v>7.0610259710000003</v>
      </c>
      <c r="C257" s="32">
        <v>105.77382098999999</v>
      </c>
    </row>
    <row r="258" spans="2:3" ht="24" customHeight="1" x14ac:dyDescent="0.3">
      <c r="B258" s="43">
        <v>7.0647727209999998</v>
      </c>
      <c r="C258" s="32">
        <v>58.354662019999999</v>
      </c>
    </row>
    <row r="259" spans="2:3" ht="24" customHeight="1" x14ac:dyDescent="0.3">
      <c r="B259" s="43">
        <v>7.1291883089999999</v>
      </c>
      <c r="C259" s="32">
        <v>67.510219599999999</v>
      </c>
    </row>
    <row r="260" spans="2:3" ht="24" customHeight="1" x14ac:dyDescent="0.3">
      <c r="B260" s="43">
        <v>7.1819090890000004</v>
      </c>
      <c r="C260" s="32">
        <v>66.152324859999993</v>
      </c>
    </row>
    <row r="261" spans="2:3" ht="24" customHeight="1" x14ac:dyDescent="0.3">
      <c r="B261" s="43">
        <v>7.192051942</v>
      </c>
      <c r="C261" s="32">
        <v>58.04868175</v>
      </c>
    </row>
    <row r="262" spans="2:3" ht="24" customHeight="1" x14ac:dyDescent="0.3">
      <c r="B262" s="43">
        <v>7.2538181770000003</v>
      </c>
      <c r="C262" s="32">
        <v>57.099091749999999</v>
      </c>
    </row>
    <row r="263" spans="2:3" ht="24" customHeight="1" x14ac:dyDescent="0.3">
      <c r="B263" s="43">
        <v>7.3155844119999998</v>
      </c>
      <c r="C263" s="32">
        <v>63.583355339999997</v>
      </c>
    </row>
    <row r="264" spans="2:3" ht="24" customHeight="1" x14ac:dyDescent="0.3">
      <c r="B264" s="43">
        <v>7.3347727210000002</v>
      </c>
      <c r="C264" s="32">
        <v>107.16196076</v>
      </c>
    </row>
    <row r="265" spans="2:3" ht="24" customHeight="1" x14ac:dyDescent="0.3">
      <c r="B265" s="43">
        <v>7.34646753</v>
      </c>
      <c r="C265" s="32">
        <v>64.574279810000007</v>
      </c>
    </row>
    <row r="266" spans="2:3" ht="24" customHeight="1" x14ac:dyDescent="0.3">
      <c r="B266" s="43">
        <v>7.3619090890000001</v>
      </c>
      <c r="C266" s="32">
        <v>75.627081939999997</v>
      </c>
    </row>
    <row r="267" spans="2:3" ht="24" customHeight="1" x14ac:dyDescent="0.3">
      <c r="B267" s="43">
        <v>7.3720519419999997</v>
      </c>
      <c r="C267" s="32">
        <v>53.164891439999998</v>
      </c>
    </row>
    <row r="268" spans="2:3" ht="24" customHeight="1" x14ac:dyDescent="0.3">
      <c r="B268" s="43">
        <v>7.3784480449999998</v>
      </c>
      <c r="C268" s="32">
        <v>57.457013880000005</v>
      </c>
    </row>
    <row r="269" spans="2:3" ht="24" customHeight="1" x14ac:dyDescent="0.3">
      <c r="B269" s="43">
        <v>7.4157272660000002</v>
      </c>
      <c r="C269" s="32">
        <v>70.187791579999995</v>
      </c>
    </row>
    <row r="270" spans="2:3" ht="24" customHeight="1" x14ac:dyDescent="0.3">
      <c r="B270" s="43">
        <v>7.4710973980000004</v>
      </c>
      <c r="C270" s="32">
        <v>106.10333677</v>
      </c>
    </row>
    <row r="271" spans="2:3" ht="24" customHeight="1" x14ac:dyDescent="0.3">
      <c r="B271" s="43">
        <v>7.4955844120000004</v>
      </c>
      <c r="C271" s="32">
        <v>129.38842733000001</v>
      </c>
    </row>
    <row r="272" spans="2:3" ht="24" customHeight="1" x14ac:dyDescent="0.3">
      <c r="B272" s="43">
        <v>7.5264675299999997</v>
      </c>
      <c r="C272" s="32">
        <v>111.38824740999999</v>
      </c>
    </row>
    <row r="273" spans="2:3" ht="24" customHeight="1" x14ac:dyDescent="0.3">
      <c r="B273" s="43">
        <v>7.53021428</v>
      </c>
      <c r="C273" s="32">
        <v>86.334237720000004</v>
      </c>
    </row>
    <row r="274" spans="2:3" ht="24" customHeight="1" x14ac:dyDescent="0.3">
      <c r="B274" s="43">
        <v>7.5366103830000002</v>
      </c>
      <c r="C274" s="32">
        <v>83.736174009999999</v>
      </c>
    </row>
    <row r="275" spans="2:3" ht="24" customHeight="1" x14ac:dyDescent="0.3">
      <c r="B275" s="43">
        <v>7.5456558390000001</v>
      </c>
      <c r="C275" s="32">
        <v>93.197387489999997</v>
      </c>
    </row>
    <row r="276" spans="2:3" ht="24" customHeight="1" x14ac:dyDescent="0.3">
      <c r="B276" s="43">
        <v>7.5520519420000003</v>
      </c>
      <c r="C276" s="32">
        <v>107.38070977999999</v>
      </c>
    </row>
    <row r="277" spans="2:3" ht="24" customHeight="1" x14ac:dyDescent="0.3">
      <c r="B277" s="43">
        <v>7.5919805150000004</v>
      </c>
      <c r="C277" s="32">
        <v>83.804448829999998</v>
      </c>
    </row>
    <row r="278" spans="2:3" ht="24" customHeight="1" x14ac:dyDescent="0.3">
      <c r="B278" s="43">
        <v>7.5957272659999999</v>
      </c>
      <c r="C278" s="32">
        <v>60.424689749999999</v>
      </c>
    </row>
    <row r="279" spans="2:3" ht="24" customHeight="1" x14ac:dyDescent="0.3">
      <c r="B279" s="43">
        <v>7.6383051919999998</v>
      </c>
      <c r="C279" s="32">
        <v>77.804326919999994</v>
      </c>
    </row>
    <row r="280" spans="2:3" ht="24" customHeight="1" x14ac:dyDescent="0.3">
      <c r="B280" s="43">
        <v>7.6793311629999996</v>
      </c>
      <c r="C280" s="32">
        <v>142.18516325000002</v>
      </c>
    </row>
    <row r="281" spans="2:3" ht="24" customHeight="1" x14ac:dyDescent="0.3">
      <c r="B281" s="43">
        <v>7.707564928</v>
      </c>
      <c r="C281" s="32">
        <v>75.042282540000002</v>
      </c>
    </row>
    <row r="282" spans="2:3" ht="24" customHeight="1" x14ac:dyDescent="0.3">
      <c r="B282" s="43">
        <v>7.7538896040000003</v>
      </c>
      <c r="C282" s="32">
        <v>59.756910959999999</v>
      </c>
    </row>
    <row r="283" spans="2:3" ht="24" customHeight="1" x14ac:dyDescent="0.3">
      <c r="B283" s="43">
        <v>7.7874220740000002</v>
      </c>
      <c r="C283" s="32">
        <v>117.6135702</v>
      </c>
    </row>
    <row r="284" spans="2:3" ht="24" customHeight="1" x14ac:dyDescent="0.3">
      <c r="B284" s="43">
        <v>7.828448045</v>
      </c>
      <c r="C284" s="32">
        <v>74.339924280000005</v>
      </c>
    </row>
    <row r="285" spans="2:3" ht="24" customHeight="1" x14ac:dyDescent="0.3">
      <c r="B285" s="43">
        <v>7.8593311630000002</v>
      </c>
      <c r="C285" s="32">
        <v>92.018090440000009</v>
      </c>
    </row>
    <row r="286" spans="2:3" ht="24" customHeight="1" x14ac:dyDescent="0.3">
      <c r="B286" s="43">
        <v>7.8657272660000004</v>
      </c>
      <c r="C286" s="32">
        <v>102.44732766</v>
      </c>
    </row>
    <row r="287" spans="2:3" ht="24" customHeight="1" x14ac:dyDescent="0.3">
      <c r="B287" s="43">
        <v>7.8774220740000001</v>
      </c>
      <c r="C287" s="32">
        <v>92.612891380000008</v>
      </c>
    </row>
    <row r="288" spans="2:3" ht="24" customHeight="1" x14ac:dyDescent="0.3">
      <c r="B288" s="43">
        <v>7.895512986</v>
      </c>
      <c r="C288" s="32">
        <v>72.033849329999995</v>
      </c>
    </row>
    <row r="289" spans="2:3" ht="24" customHeight="1" x14ac:dyDescent="0.3">
      <c r="B289" s="43">
        <v>7.9301428530000004</v>
      </c>
      <c r="C289" s="32">
        <v>127.27139241</v>
      </c>
    </row>
    <row r="290" spans="2:3" ht="24" customHeight="1" x14ac:dyDescent="0.3">
      <c r="B290" s="43">
        <v>7.958376618</v>
      </c>
      <c r="C290" s="32">
        <v>65.652825019999995</v>
      </c>
    </row>
    <row r="291" spans="2:3" ht="24" customHeight="1" x14ac:dyDescent="0.3">
      <c r="B291" s="43">
        <v>7.9685194719999997</v>
      </c>
      <c r="C291" s="32">
        <v>83.065360850000005</v>
      </c>
    </row>
    <row r="292" spans="2:3" ht="24" customHeight="1" x14ac:dyDescent="0.3">
      <c r="B292" s="43">
        <v>7.9866103830000004</v>
      </c>
      <c r="C292" s="32">
        <v>56.828879960000002</v>
      </c>
    </row>
    <row r="293" spans="2:3" ht="24" customHeight="1" x14ac:dyDescent="0.3">
      <c r="B293" s="43">
        <v>8.0084480449999997</v>
      </c>
      <c r="C293" s="32">
        <v>63.432000190000004</v>
      </c>
    </row>
    <row r="294" spans="2:3" ht="24" customHeight="1" x14ac:dyDescent="0.3">
      <c r="B294" s="43">
        <v>8.0265389569999996</v>
      </c>
      <c r="C294" s="32">
        <v>55.91998581</v>
      </c>
    </row>
    <row r="295" spans="2:3" ht="24" customHeight="1" x14ac:dyDescent="0.3">
      <c r="B295" s="43">
        <v>8.0867532369999999</v>
      </c>
      <c r="C295" s="32">
        <v>65.887944959999999</v>
      </c>
    </row>
    <row r="296" spans="2:3" ht="24" customHeight="1" x14ac:dyDescent="0.3">
      <c r="B296" s="43">
        <v>8.1511688249999992</v>
      </c>
      <c r="C296" s="32">
        <v>59.72497001</v>
      </c>
    </row>
    <row r="297" spans="2:3" ht="24" customHeight="1" x14ac:dyDescent="0.3">
      <c r="B297" s="43">
        <v>8.1783051919999998</v>
      </c>
      <c r="C297" s="32">
        <v>97.071458440000001</v>
      </c>
    </row>
    <row r="298" spans="2:3" ht="24" customHeight="1" x14ac:dyDescent="0.3">
      <c r="B298" s="43">
        <v>8.1910973980000001</v>
      </c>
      <c r="C298" s="32">
        <v>90.768449150000009</v>
      </c>
    </row>
    <row r="299" spans="2:3" ht="24" customHeight="1" x14ac:dyDescent="0.3">
      <c r="B299" s="43">
        <v>8.2129350599999995</v>
      </c>
      <c r="C299" s="32">
        <v>81.955614890000007</v>
      </c>
    </row>
    <row r="300" spans="2:3" ht="24" customHeight="1" x14ac:dyDescent="0.3">
      <c r="B300" s="43">
        <v>8.2720519419999992</v>
      </c>
      <c r="C300" s="32">
        <v>69.524033680000002</v>
      </c>
    </row>
    <row r="301" spans="2:3" ht="24" customHeight="1" x14ac:dyDescent="0.3">
      <c r="B301" s="43">
        <v>8.2874935010000002</v>
      </c>
      <c r="C301" s="32">
        <v>110.76853131</v>
      </c>
    </row>
    <row r="302" spans="2:3" ht="24" customHeight="1" x14ac:dyDescent="0.3">
      <c r="B302" s="43">
        <v>8.2991883089999998</v>
      </c>
      <c r="C302" s="32">
        <v>68.915860769999995</v>
      </c>
    </row>
    <row r="303" spans="2:3" ht="24" customHeight="1" x14ac:dyDescent="0.3">
      <c r="B303" s="43">
        <v>8.4430064859999998</v>
      </c>
      <c r="C303" s="32">
        <v>54.968740079999996</v>
      </c>
    </row>
    <row r="304" spans="2:3" ht="24" customHeight="1" x14ac:dyDescent="0.3">
      <c r="B304" s="43">
        <v>8.5383051919999993</v>
      </c>
      <c r="C304" s="32">
        <v>60.509381959999999</v>
      </c>
    </row>
    <row r="305" spans="2:3" ht="24" customHeight="1" x14ac:dyDescent="0.3">
      <c r="B305" s="43">
        <v>8.5819805149999997</v>
      </c>
      <c r="C305" s="32">
        <v>79.379408009999992</v>
      </c>
    </row>
    <row r="306" spans="2:3" ht="24" customHeight="1" x14ac:dyDescent="0.3">
      <c r="B306" s="43">
        <v>8.740142853</v>
      </c>
      <c r="C306" s="32">
        <v>72.393937930000007</v>
      </c>
    </row>
    <row r="307" spans="2:3" ht="24" customHeight="1" x14ac:dyDescent="0.3">
      <c r="B307" s="43">
        <v>8.8674220740000003</v>
      </c>
      <c r="C307" s="32">
        <v>120.47604195000001</v>
      </c>
    </row>
    <row r="308" spans="2:3" ht="24" customHeight="1" x14ac:dyDescent="0.3">
      <c r="B308" s="43">
        <v>8.9664675299999992</v>
      </c>
      <c r="C308" s="32">
        <v>104.63274047</v>
      </c>
    </row>
    <row r="309" spans="2:3" ht="24" customHeight="1" x14ac:dyDescent="0.3">
      <c r="B309" s="43">
        <v>8.9856558389999996</v>
      </c>
      <c r="C309" s="32">
        <v>100.77178667000001</v>
      </c>
    </row>
    <row r="310" spans="2:3" ht="24" customHeight="1" x14ac:dyDescent="0.3">
      <c r="B310" s="43">
        <v>9.0602142800000003</v>
      </c>
      <c r="C310" s="32">
        <v>115.45200238999999</v>
      </c>
    </row>
    <row r="311" spans="2:3" ht="24" customHeight="1" x14ac:dyDescent="0.3">
      <c r="B311" s="43">
        <v>9.1102857069999992</v>
      </c>
      <c r="C311" s="32">
        <v>124.93671741</v>
      </c>
    </row>
    <row r="312" spans="2:3" ht="24" customHeight="1" x14ac:dyDescent="0.3">
      <c r="B312" s="43">
        <v>9.1720519419999995</v>
      </c>
      <c r="C312" s="32">
        <v>59.591329869999996</v>
      </c>
    </row>
    <row r="313" spans="2:3" ht="24" customHeight="1" x14ac:dyDescent="0.3">
      <c r="B313" s="43">
        <v>9.1938896040000007</v>
      </c>
      <c r="C313" s="32">
        <v>83.656648709999999</v>
      </c>
    </row>
    <row r="314" spans="2:3" ht="24" customHeight="1" x14ac:dyDescent="0.3">
      <c r="B314" s="43">
        <v>9.2657986930000007</v>
      </c>
      <c r="C314" s="32">
        <v>122.71323626</v>
      </c>
    </row>
    <row r="315" spans="2:3" ht="24" customHeight="1" x14ac:dyDescent="0.3">
      <c r="B315" s="43">
        <v>9.2684480449999995</v>
      </c>
      <c r="C315" s="32">
        <v>115.03141884</v>
      </c>
    </row>
    <row r="316" spans="2:3" ht="24" customHeight="1" x14ac:dyDescent="0.3">
      <c r="B316" s="43">
        <v>9.3403571339999996</v>
      </c>
      <c r="C316" s="32">
        <v>52.878634130000002</v>
      </c>
    </row>
    <row r="317" spans="2:3" ht="24" customHeight="1" x14ac:dyDescent="0.3">
      <c r="B317" s="43">
        <v>9.3584480449999994</v>
      </c>
      <c r="C317" s="32">
        <v>65.79539509</v>
      </c>
    </row>
    <row r="318" spans="2:3" ht="24" customHeight="1" x14ac:dyDescent="0.3">
      <c r="B318" s="43">
        <v>9.3893311629999996</v>
      </c>
      <c r="C318" s="32">
        <v>73.568113729999993</v>
      </c>
    </row>
    <row r="319" spans="2:3" ht="24" customHeight="1" x14ac:dyDescent="0.3">
      <c r="B319" s="43">
        <v>9.4111688250000007</v>
      </c>
      <c r="C319" s="32">
        <v>92.30000763999999</v>
      </c>
    </row>
    <row r="320" spans="2:3" ht="24" customHeight="1" x14ac:dyDescent="0.3">
      <c r="B320" s="43">
        <v>9.5166103829999997</v>
      </c>
      <c r="C320" s="32">
        <v>66.594964619999999</v>
      </c>
    </row>
    <row r="321" spans="2:3" ht="24" customHeight="1" x14ac:dyDescent="0.3">
      <c r="B321" s="43">
        <v>9.5538896040000001</v>
      </c>
      <c r="C321" s="32">
        <v>87.026601395</v>
      </c>
    </row>
    <row r="322" spans="2:3" ht="24" customHeight="1" x14ac:dyDescent="0.3">
      <c r="B322" s="43">
        <v>9.5746298680000006</v>
      </c>
      <c r="C322" s="32">
        <v>80.699678079999998</v>
      </c>
    </row>
    <row r="323" spans="2:3" ht="24" customHeight="1" x14ac:dyDescent="0.3">
      <c r="B323" s="43">
        <v>9.6284480450000007</v>
      </c>
      <c r="C323" s="32">
        <v>89.079080839999989</v>
      </c>
    </row>
    <row r="324" spans="2:3" ht="24" customHeight="1" x14ac:dyDescent="0.3">
      <c r="B324" s="43">
        <v>9.6412402509999993</v>
      </c>
      <c r="C324" s="32">
        <v>56.555143970000003</v>
      </c>
    </row>
    <row r="325" spans="2:3" ht="24" customHeight="1" x14ac:dyDescent="0.3">
      <c r="B325" s="43">
        <v>9.7120519420000004</v>
      </c>
      <c r="C325" s="32">
        <v>65.284597070000004</v>
      </c>
    </row>
    <row r="326" spans="2:3" ht="24" customHeight="1" x14ac:dyDescent="0.3">
      <c r="B326" s="43">
        <v>9.7365389570000005</v>
      </c>
      <c r="C326" s="32">
        <v>86.669348220000003</v>
      </c>
    </row>
    <row r="327" spans="2:3" ht="24" customHeight="1" x14ac:dyDescent="0.3">
      <c r="B327" s="43">
        <v>9.740285707</v>
      </c>
      <c r="C327" s="32">
        <v>135.99087906</v>
      </c>
    </row>
    <row r="328" spans="2:3" ht="24" customHeight="1" x14ac:dyDescent="0.3">
      <c r="B328" s="43">
        <v>9.7738181770000008</v>
      </c>
      <c r="C328" s="32">
        <v>99.704701470000003</v>
      </c>
    </row>
    <row r="329" spans="2:3" ht="24" customHeight="1" x14ac:dyDescent="0.3">
      <c r="B329" s="43">
        <v>9.7839610310000005</v>
      </c>
      <c r="C329" s="32">
        <v>75.308436470000004</v>
      </c>
    </row>
    <row r="330" spans="2:3" ht="24" customHeight="1" x14ac:dyDescent="0.3">
      <c r="B330" s="43">
        <v>9.8302857069999998</v>
      </c>
      <c r="C330" s="32">
        <v>103.59253513</v>
      </c>
    </row>
    <row r="331" spans="2:3" ht="24" customHeight="1" x14ac:dyDescent="0.3">
      <c r="B331" s="43">
        <v>9.8340324569999993</v>
      </c>
      <c r="C331" s="32">
        <v>60.662970799999997</v>
      </c>
    </row>
    <row r="332" spans="2:3" ht="24" customHeight="1" x14ac:dyDescent="0.3">
      <c r="B332" s="43">
        <v>9.8803571340000005</v>
      </c>
      <c r="C332" s="32">
        <v>60.611828469999999</v>
      </c>
    </row>
    <row r="333" spans="2:3" ht="24" customHeight="1" x14ac:dyDescent="0.3">
      <c r="B333" s="43">
        <v>9.9266818099999998</v>
      </c>
      <c r="C333" s="32">
        <v>87.025159860000002</v>
      </c>
    </row>
    <row r="334" spans="2:3" ht="24" customHeight="1" x14ac:dyDescent="0.3">
      <c r="B334" s="43">
        <v>10.01028571</v>
      </c>
      <c r="C334" s="32">
        <v>71.005021769999999</v>
      </c>
    </row>
    <row r="335" spans="2:3" ht="24" customHeight="1" x14ac:dyDescent="0.3">
      <c r="B335" s="43">
        <v>10.05396103</v>
      </c>
      <c r="C335" s="32">
        <v>58.183867540000001</v>
      </c>
    </row>
    <row r="336" spans="2:3" ht="24" customHeight="1" x14ac:dyDescent="0.3">
      <c r="B336" s="43">
        <v>10.0863961</v>
      </c>
      <c r="C336" s="32">
        <v>68.337243959999995</v>
      </c>
    </row>
    <row r="337" spans="2:3" ht="24" customHeight="1" x14ac:dyDescent="0.3">
      <c r="B337" s="43">
        <v>10.087493500000001</v>
      </c>
      <c r="C337" s="32">
        <v>142.04177079999999</v>
      </c>
    </row>
    <row r="338" spans="2:3" ht="24" customHeight="1" x14ac:dyDescent="0.3">
      <c r="B338" s="43">
        <v>10.10933116</v>
      </c>
      <c r="C338" s="32">
        <v>75.947073579999994</v>
      </c>
    </row>
    <row r="339" spans="2:3" ht="24" customHeight="1" x14ac:dyDescent="0.3">
      <c r="B339" s="43">
        <v>10.11947402</v>
      </c>
      <c r="C339" s="32">
        <v>75.593422770000004</v>
      </c>
    </row>
    <row r="340" spans="2:3" ht="24" customHeight="1" x14ac:dyDescent="0.3">
      <c r="B340" s="43">
        <v>10.124772719999999</v>
      </c>
      <c r="C340" s="32">
        <v>101.27282661000001</v>
      </c>
    </row>
    <row r="341" spans="2:3" ht="24" customHeight="1" x14ac:dyDescent="0.3">
      <c r="B341" s="43">
        <v>10.13756493</v>
      </c>
      <c r="C341" s="32">
        <v>57.458402149999998</v>
      </c>
    </row>
    <row r="342" spans="2:3" ht="24" customHeight="1" x14ac:dyDescent="0.3">
      <c r="B342" s="43">
        <v>10.153006489999999</v>
      </c>
      <c r="C342" s="32">
        <v>67.525602149999997</v>
      </c>
    </row>
    <row r="343" spans="2:3" ht="24" customHeight="1" x14ac:dyDescent="0.3">
      <c r="B343" s="43">
        <v>10.214772719999999</v>
      </c>
      <c r="C343" s="32">
        <v>91.965870539999997</v>
      </c>
    </row>
    <row r="344" spans="2:3" ht="24" customHeight="1" x14ac:dyDescent="0.3">
      <c r="B344" s="43">
        <v>10.22491557</v>
      </c>
      <c r="C344" s="32">
        <v>67.199334500000006</v>
      </c>
    </row>
    <row r="345" spans="2:3" ht="24" customHeight="1" x14ac:dyDescent="0.3">
      <c r="B345" s="43">
        <v>10.243006490000001</v>
      </c>
      <c r="C345" s="32">
        <v>135.40844902000001</v>
      </c>
    </row>
    <row r="346" spans="2:3" ht="24" customHeight="1" x14ac:dyDescent="0.3">
      <c r="B346" s="43">
        <v>10.329259739999999</v>
      </c>
      <c r="C346" s="32">
        <v>83.119255989999999</v>
      </c>
    </row>
    <row r="347" spans="2:3" ht="24" customHeight="1" x14ac:dyDescent="0.3">
      <c r="B347" s="43">
        <v>10.36124025</v>
      </c>
      <c r="C347" s="32">
        <v>129.50170342000001</v>
      </c>
    </row>
    <row r="348" spans="2:3" ht="24" customHeight="1" x14ac:dyDescent="0.3">
      <c r="B348" s="43">
        <v>10.36763635</v>
      </c>
      <c r="C348" s="32">
        <v>77.659841549999996</v>
      </c>
    </row>
    <row r="349" spans="2:3" ht="24" customHeight="1" x14ac:dyDescent="0.3">
      <c r="B349" s="43">
        <v>10.36918831</v>
      </c>
      <c r="C349" s="32">
        <v>70.598745649999998</v>
      </c>
    </row>
    <row r="350" spans="2:3" ht="24" customHeight="1" x14ac:dyDescent="0.3">
      <c r="B350" s="43">
        <v>10.48851947</v>
      </c>
      <c r="C350" s="32">
        <v>60.55455353</v>
      </c>
    </row>
    <row r="351" spans="2:3" ht="24" customHeight="1" x14ac:dyDescent="0.3">
      <c r="B351" s="43">
        <v>10.58116882</v>
      </c>
      <c r="C351" s="32">
        <v>88.441178859999994</v>
      </c>
    </row>
    <row r="352" spans="2:3" ht="24" customHeight="1" x14ac:dyDescent="0.3">
      <c r="B352" s="43">
        <v>10.6274935</v>
      </c>
      <c r="C352" s="32">
        <v>85.968434479999999</v>
      </c>
    </row>
    <row r="353" spans="2:3" ht="24" customHeight="1" x14ac:dyDescent="0.3">
      <c r="B353" s="43">
        <v>10.6338896</v>
      </c>
      <c r="C353" s="32">
        <v>105.19887780000001</v>
      </c>
    </row>
    <row r="354" spans="2:3" ht="24" customHeight="1" x14ac:dyDescent="0.3">
      <c r="B354" s="43">
        <v>10.70579869</v>
      </c>
      <c r="C354" s="32">
        <v>99.897436130000003</v>
      </c>
    </row>
    <row r="355" spans="2:3" ht="24" customHeight="1" x14ac:dyDescent="0.3">
      <c r="B355" s="43">
        <v>10.932123369999999</v>
      </c>
      <c r="C355" s="32">
        <v>89.662990860000008</v>
      </c>
    </row>
    <row r="356" spans="2:3" ht="24" customHeight="1" x14ac:dyDescent="0.3">
      <c r="B356" s="43">
        <v>10.996538960000001</v>
      </c>
      <c r="C356" s="32">
        <v>71.931972049999999</v>
      </c>
    </row>
    <row r="357" spans="2:3" ht="24" customHeight="1" x14ac:dyDescent="0.3">
      <c r="B357" s="43">
        <v>10.997636350000001</v>
      </c>
      <c r="C357" s="32">
        <v>83.627674900000002</v>
      </c>
    </row>
    <row r="358" spans="2:3" ht="24" customHeight="1" x14ac:dyDescent="0.3">
      <c r="B358" s="43">
        <v>11.02477272</v>
      </c>
      <c r="C358" s="32">
        <v>81.583358290000007</v>
      </c>
    </row>
    <row r="359" spans="2:3" ht="24" customHeight="1" x14ac:dyDescent="0.3">
      <c r="B359" s="43">
        <v>11.03226622</v>
      </c>
      <c r="C359" s="32">
        <v>85.759248450000001</v>
      </c>
    </row>
    <row r="360" spans="2:3" ht="24" customHeight="1" x14ac:dyDescent="0.3">
      <c r="B360" s="43">
        <v>11.034915570000001</v>
      </c>
      <c r="C360" s="32">
        <v>119.05989809</v>
      </c>
    </row>
    <row r="361" spans="2:3" ht="24" customHeight="1" x14ac:dyDescent="0.3">
      <c r="B361" s="43">
        <v>11.05410388</v>
      </c>
      <c r="C361" s="32">
        <v>54.009464620000003</v>
      </c>
    </row>
    <row r="362" spans="2:3" ht="24" customHeight="1" x14ac:dyDescent="0.3">
      <c r="B362" s="43">
        <v>11.084987</v>
      </c>
      <c r="C362" s="32">
        <v>55.800565180000007</v>
      </c>
    </row>
    <row r="363" spans="2:3" ht="24" customHeight="1" x14ac:dyDescent="0.3">
      <c r="B363" s="43">
        <v>11.095584410000001</v>
      </c>
      <c r="C363" s="32">
        <v>102.86841751</v>
      </c>
    </row>
    <row r="364" spans="2:3" ht="24" customHeight="1" x14ac:dyDescent="0.3">
      <c r="B364" s="43">
        <v>11.17763635</v>
      </c>
      <c r="C364" s="32">
        <v>77.223056040000003</v>
      </c>
    </row>
    <row r="365" spans="2:3" ht="24" customHeight="1" x14ac:dyDescent="0.3">
      <c r="B365" s="43">
        <v>11.18668181</v>
      </c>
      <c r="C365" s="32">
        <v>108.19293598</v>
      </c>
    </row>
    <row r="366" spans="2:3" ht="24" customHeight="1" x14ac:dyDescent="0.3">
      <c r="B366" s="43">
        <v>11.21491557</v>
      </c>
      <c r="C366" s="32">
        <v>111.17395702</v>
      </c>
    </row>
    <row r="367" spans="2:3" ht="24" customHeight="1" x14ac:dyDescent="0.3">
      <c r="B367" s="43">
        <v>11.22396103</v>
      </c>
      <c r="C367" s="32">
        <v>89.11220745</v>
      </c>
    </row>
    <row r="368" spans="2:3" ht="24" customHeight="1" x14ac:dyDescent="0.3">
      <c r="B368" s="43">
        <v>11.24205194</v>
      </c>
      <c r="C368" s="32">
        <v>110.13801570000001</v>
      </c>
    </row>
    <row r="369" spans="2:3" ht="24" customHeight="1" x14ac:dyDescent="0.3">
      <c r="B369" s="43">
        <v>11.2521948</v>
      </c>
      <c r="C369" s="32">
        <v>65.451014839999999</v>
      </c>
    </row>
    <row r="370" spans="2:3" ht="24" customHeight="1" x14ac:dyDescent="0.3">
      <c r="B370" s="43">
        <v>11.26124025</v>
      </c>
      <c r="C370" s="32">
        <v>76.378123369999997</v>
      </c>
    </row>
    <row r="371" spans="2:3" ht="24" customHeight="1" x14ac:dyDescent="0.3">
      <c r="B371" s="43">
        <v>11.32035713</v>
      </c>
      <c r="C371" s="32">
        <v>116.91070381</v>
      </c>
    </row>
    <row r="372" spans="2:3" ht="24" customHeight="1" x14ac:dyDescent="0.3">
      <c r="B372" s="43">
        <v>11.435941550000001</v>
      </c>
      <c r="C372" s="32">
        <v>89.337138140000008</v>
      </c>
    </row>
    <row r="373" spans="2:3" ht="24" customHeight="1" x14ac:dyDescent="0.3">
      <c r="B373" s="43">
        <v>11.53763635</v>
      </c>
      <c r="C373" s="32">
        <v>65.352223070000008</v>
      </c>
    </row>
    <row r="374" spans="2:3" ht="24" customHeight="1" x14ac:dyDescent="0.3">
      <c r="B374" s="43">
        <v>11.549331159999999</v>
      </c>
      <c r="C374" s="32">
        <v>112.89185502000001</v>
      </c>
    </row>
    <row r="375" spans="2:3" ht="24" customHeight="1" x14ac:dyDescent="0.3">
      <c r="B375" s="43">
        <v>11.57491557</v>
      </c>
      <c r="C375" s="32">
        <v>117.24922835000001</v>
      </c>
    </row>
    <row r="376" spans="2:3" ht="24" customHeight="1" x14ac:dyDescent="0.3">
      <c r="B376" s="43">
        <v>11.61484415</v>
      </c>
      <c r="C376" s="32">
        <v>73.66470545</v>
      </c>
    </row>
    <row r="377" spans="2:3" ht="24" customHeight="1" x14ac:dyDescent="0.3">
      <c r="B377" s="43">
        <v>11.636681810000001</v>
      </c>
      <c r="C377" s="32">
        <v>124.91358878</v>
      </c>
    </row>
    <row r="378" spans="2:3" ht="24" customHeight="1" x14ac:dyDescent="0.3">
      <c r="B378" s="43">
        <v>11.66116882</v>
      </c>
      <c r="C378" s="32">
        <v>60.840635399999996</v>
      </c>
    </row>
    <row r="379" spans="2:3" ht="24" customHeight="1" x14ac:dyDescent="0.3">
      <c r="B379" s="43">
        <v>11.673961029999999</v>
      </c>
      <c r="C379" s="32">
        <v>144.35484298</v>
      </c>
    </row>
    <row r="380" spans="2:3" ht="24" customHeight="1" x14ac:dyDescent="0.3">
      <c r="B380" s="43">
        <v>11.717636349999999</v>
      </c>
      <c r="C380" s="32">
        <v>111.03785805</v>
      </c>
    </row>
    <row r="381" spans="2:3" ht="24" customHeight="1" x14ac:dyDescent="0.3">
      <c r="B381" s="43">
        <v>11.726681810000001</v>
      </c>
      <c r="C381" s="32">
        <v>114.15913644</v>
      </c>
    </row>
    <row r="382" spans="2:3" ht="24" customHeight="1" x14ac:dyDescent="0.3">
      <c r="B382" s="43">
        <v>11.763961030000001</v>
      </c>
      <c r="C382" s="32">
        <v>121.30463659999999</v>
      </c>
    </row>
    <row r="383" spans="2:3" ht="24" customHeight="1" x14ac:dyDescent="0.3">
      <c r="B383" s="43">
        <v>11.83212337</v>
      </c>
      <c r="C383" s="32">
        <v>143.31467164</v>
      </c>
    </row>
    <row r="384" spans="2:3" ht="24" customHeight="1" x14ac:dyDescent="0.3">
      <c r="B384" s="43">
        <v>11.856610379999999</v>
      </c>
      <c r="C384" s="32">
        <v>74.590991869999996</v>
      </c>
    </row>
    <row r="385" spans="2:3" ht="24" customHeight="1" x14ac:dyDescent="0.3">
      <c r="B385" s="43">
        <v>11.891240249999999</v>
      </c>
      <c r="C385" s="32">
        <v>115.4707698</v>
      </c>
    </row>
    <row r="386" spans="2:3" ht="24" customHeight="1" x14ac:dyDescent="0.3">
      <c r="B386" s="43">
        <v>11.92212337</v>
      </c>
      <c r="C386" s="32">
        <v>146.99282840000001</v>
      </c>
    </row>
    <row r="387" spans="2:3" ht="24" customHeight="1" x14ac:dyDescent="0.3">
      <c r="B387" s="43">
        <v>12.02116882</v>
      </c>
      <c r="C387" s="32">
        <v>87.365511600000005</v>
      </c>
    </row>
    <row r="388" spans="2:3" ht="24" customHeight="1" x14ac:dyDescent="0.3">
      <c r="B388" s="43">
        <v>12.10477272</v>
      </c>
      <c r="C388" s="32">
        <v>109.43329968</v>
      </c>
    </row>
    <row r="389" spans="2:3" ht="24" customHeight="1" x14ac:dyDescent="0.3">
      <c r="B389" s="43">
        <v>12.114915570000001</v>
      </c>
      <c r="C389" s="32">
        <v>115.36885100000001</v>
      </c>
    </row>
    <row r="390" spans="2:3" ht="24" customHeight="1" x14ac:dyDescent="0.3">
      <c r="B390" s="43">
        <v>12.12396103</v>
      </c>
      <c r="C390" s="32">
        <v>133.08523479999999</v>
      </c>
    </row>
    <row r="391" spans="2:3" ht="24" customHeight="1" x14ac:dyDescent="0.3">
      <c r="B391" s="43">
        <v>12.20756493</v>
      </c>
      <c r="C391" s="32">
        <v>65.511892740000008</v>
      </c>
    </row>
    <row r="392" spans="2:3" ht="24" customHeight="1" x14ac:dyDescent="0.3">
      <c r="B392" s="43">
        <v>12.212863629999999</v>
      </c>
      <c r="C392" s="32">
        <v>76.853585049999992</v>
      </c>
    </row>
    <row r="393" spans="2:3" ht="24" customHeight="1" x14ac:dyDescent="0.3">
      <c r="B393" s="43">
        <v>12.25763635</v>
      </c>
      <c r="C393" s="32">
        <v>79.532448900000006</v>
      </c>
    </row>
    <row r="394" spans="2:3" ht="24" customHeight="1" x14ac:dyDescent="0.3">
      <c r="B394" s="43">
        <v>12.307707779999999</v>
      </c>
      <c r="C394" s="32">
        <v>91.179799860000003</v>
      </c>
    </row>
    <row r="395" spans="2:3" ht="24" customHeight="1" x14ac:dyDescent="0.3">
      <c r="B395" s="43">
        <v>12.31035713</v>
      </c>
      <c r="C395" s="32">
        <v>91.420200789999996</v>
      </c>
    </row>
    <row r="396" spans="2:3" ht="24" customHeight="1" x14ac:dyDescent="0.3">
      <c r="B396" s="43">
        <v>12.313006489999999</v>
      </c>
      <c r="C396" s="32">
        <v>118.06110941</v>
      </c>
    </row>
    <row r="397" spans="2:3" ht="24" customHeight="1" x14ac:dyDescent="0.3">
      <c r="B397" s="43">
        <v>12.32470129</v>
      </c>
      <c r="C397" s="32">
        <v>71.106152210000005</v>
      </c>
    </row>
    <row r="398" spans="2:3" ht="24" customHeight="1" x14ac:dyDescent="0.3">
      <c r="B398" s="43">
        <v>12.365727270000001</v>
      </c>
      <c r="C398" s="32">
        <v>111.63964883</v>
      </c>
    </row>
    <row r="399" spans="2:3" ht="24" customHeight="1" x14ac:dyDescent="0.3">
      <c r="B399" s="43">
        <v>12.52124025</v>
      </c>
      <c r="C399" s="32">
        <v>138.10867299</v>
      </c>
    </row>
    <row r="400" spans="2:3" ht="24" customHeight="1" x14ac:dyDescent="0.3">
      <c r="B400" s="43">
        <v>12.65491557</v>
      </c>
      <c r="C400" s="32">
        <v>101.49969253</v>
      </c>
    </row>
    <row r="401" spans="2:3" ht="24" customHeight="1" x14ac:dyDescent="0.3">
      <c r="B401" s="43">
        <v>12.69484415</v>
      </c>
      <c r="C401" s="32">
        <v>91.904955489999992</v>
      </c>
    </row>
    <row r="402" spans="2:3" ht="24" customHeight="1" x14ac:dyDescent="0.3">
      <c r="B402" s="43">
        <v>12.76190909</v>
      </c>
      <c r="C402" s="32">
        <v>64.491669699999989</v>
      </c>
    </row>
    <row r="403" spans="2:3" ht="24" customHeight="1" x14ac:dyDescent="0.3">
      <c r="B403" s="43">
        <v>12.84131168</v>
      </c>
      <c r="C403" s="32">
        <v>63.291129509999998</v>
      </c>
    </row>
    <row r="404" spans="2:3" ht="24" customHeight="1" x14ac:dyDescent="0.3">
      <c r="B404" s="43">
        <v>12.878590900000001</v>
      </c>
      <c r="C404" s="32">
        <v>141.13183960999999</v>
      </c>
    </row>
    <row r="405" spans="2:3" ht="24" customHeight="1" x14ac:dyDescent="0.3">
      <c r="B405" s="43">
        <v>12.92116882</v>
      </c>
      <c r="C405" s="32">
        <v>90.220991159999997</v>
      </c>
    </row>
    <row r="406" spans="2:3" ht="24" customHeight="1" x14ac:dyDescent="0.3">
      <c r="B406" s="43">
        <v>12.945655840000001</v>
      </c>
      <c r="C406" s="32">
        <v>99.297657700000002</v>
      </c>
    </row>
    <row r="407" spans="2:3" ht="24" customHeight="1" x14ac:dyDescent="0.3">
      <c r="B407" s="43">
        <v>13.05594155</v>
      </c>
      <c r="C407" s="32">
        <v>59.492359870000001</v>
      </c>
    </row>
    <row r="408" spans="2:3" ht="24" customHeight="1" x14ac:dyDescent="0.3">
      <c r="B408" s="43">
        <v>13.1421948</v>
      </c>
      <c r="C408" s="32">
        <v>68.632946009999998</v>
      </c>
    </row>
    <row r="409" spans="2:3" ht="24" customHeight="1" x14ac:dyDescent="0.3">
      <c r="B409" s="43">
        <v>13.20131168</v>
      </c>
      <c r="C409" s="32">
        <v>110.09793375</v>
      </c>
    </row>
    <row r="410" spans="2:3" ht="24" customHeight="1" x14ac:dyDescent="0.3">
      <c r="B410" s="43">
        <v>13.260428559999999</v>
      </c>
      <c r="C410" s="32">
        <v>72.168440040000007</v>
      </c>
    </row>
    <row r="411" spans="2:3" ht="24" customHeight="1" x14ac:dyDescent="0.3">
      <c r="B411" s="43">
        <v>13.38396103</v>
      </c>
      <c r="C411" s="32">
        <v>57.677557910000004</v>
      </c>
    </row>
    <row r="412" spans="2:3" ht="24" customHeight="1" x14ac:dyDescent="0.3">
      <c r="B412" s="43">
        <v>13.445727270000001</v>
      </c>
      <c r="C412" s="32">
        <v>81.221543669999988</v>
      </c>
    </row>
    <row r="413" spans="2:3" ht="24" customHeight="1" x14ac:dyDescent="0.3">
      <c r="B413" s="43">
        <v>13.458519470000001</v>
      </c>
      <c r="C413" s="32">
        <v>70.252286380000001</v>
      </c>
    </row>
    <row r="414" spans="2:3" ht="24" customHeight="1" x14ac:dyDescent="0.3">
      <c r="B414" s="43">
        <v>13.507493500000001</v>
      </c>
      <c r="C414" s="32">
        <v>80.408745780000004</v>
      </c>
    </row>
    <row r="415" spans="2:3" ht="24" customHeight="1" x14ac:dyDescent="0.3">
      <c r="B415" s="43">
        <v>13.71682466</v>
      </c>
      <c r="C415" s="32">
        <v>97.043624149999999</v>
      </c>
    </row>
    <row r="416" spans="2:3" ht="24" customHeight="1" x14ac:dyDescent="0.3">
      <c r="B416" s="43">
        <v>13.727422069999999</v>
      </c>
      <c r="C416" s="32">
        <v>67.64181468000001</v>
      </c>
    </row>
    <row r="417" spans="2:3" ht="24" customHeight="1" x14ac:dyDescent="0.3">
      <c r="B417" s="43">
        <v>13.73866233</v>
      </c>
      <c r="C417" s="32">
        <v>122.08954635000001</v>
      </c>
    </row>
    <row r="418" spans="2:3" ht="24" customHeight="1" x14ac:dyDescent="0.3">
      <c r="B418" s="43">
        <v>13.74240908</v>
      </c>
      <c r="C418" s="32">
        <v>149.16075128</v>
      </c>
    </row>
    <row r="419" spans="2:3" ht="24" customHeight="1" x14ac:dyDescent="0.3">
      <c r="B419" s="43">
        <v>13.778590899999999</v>
      </c>
      <c r="C419" s="32">
        <v>87.44559455000001</v>
      </c>
    </row>
    <row r="420" spans="2:3" ht="24" customHeight="1" x14ac:dyDescent="0.3">
      <c r="B420" s="43">
        <v>13.916012970000001</v>
      </c>
      <c r="C420" s="32">
        <v>80.640886600000002</v>
      </c>
    </row>
    <row r="421" spans="2:3" ht="24" customHeight="1" x14ac:dyDescent="0.3">
      <c r="B421" s="43">
        <v>13.971383100000001</v>
      </c>
      <c r="C421" s="32">
        <v>59.12091933</v>
      </c>
    </row>
    <row r="422" spans="2:3" ht="24" customHeight="1" x14ac:dyDescent="0.3">
      <c r="B422" s="43">
        <v>14.030499989999999</v>
      </c>
      <c r="C422" s="32">
        <v>60.539387939999997</v>
      </c>
    </row>
    <row r="423" spans="2:3" ht="24" customHeight="1" x14ac:dyDescent="0.3">
      <c r="B423" s="43">
        <v>14.16042856</v>
      </c>
      <c r="C423" s="32">
        <v>67.175188570000003</v>
      </c>
    </row>
    <row r="424" spans="2:3" ht="24" customHeight="1" x14ac:dyDescent="0.3">
      <c r="B424" s="43">
        <v>14.25307791</v>
      </c>
      <c r="C424" s="32">
        <v>104.06949445000001</v>
      </c>
    </row>
    <row r="425" spans="2:3" ht="24" customHeight="1" x14ac:dyDescent="0.3">
      <c r="B425" s="43">
        <v>14.35322077</v>
      </c>
      <c r="C425" s="32">
        <v>70.27210135</v>
      </c>
    </row>
    <row r="426" spans="2:3" ht="24" customHeight="1" x14ac:dyDescent="0.3">
      <c r="B426" s="43">
        <v>14.372409080000001</v>
      </c>
      <c r="C426" s="32">
        <v>70.05902691</v>
      </c>
    </row>
    <row r="427" spans="2:3" ht="24" customHeight="1" x14ac:dyDescent="0.3">
      <c r="B427" s="43">
        <v>14.514032459999999</v>
      </c>
      <c r="C427" s="32">
        <v>55.904661449999999</v>
      </c>
    </row>
    <row r="428" spans="2:3" ht="24" customHeight="1" x14ac:dyDescent="0.3">
      <c r="B428" s="43">
        <v>14.54601297</v>
      </c>
      <c r="C428" s="32">
        <v>81.4810303</v>
      </c>
    </row>
    <row r="429" spans="2:3" ht="24" customHeight="1" x14ac:dyDescent="0.3">
      <c r="B429" s="43">
        <v>14.557707779999999</v>
      </c>
      <c r="C429" s="32">
        <v>106.89829361</v>
      </c>
    </row>
    <row r="430" spans="2:3" ht="24" customHeight="1" x14ac:dyDescent="0.3">
      <c r="B430" s="43">
        <v>14.61947402</v>
      </c>
      <c r="C430" s="32">
        <v>92.980740370000007</v>
      </c>
    </row>
    <row r="431" spans="2:3" ht="24" customHeight="1" x14ac:dyDescent="0.3">
      <c r="B431" s="43">
        <v>14.703077909999999</v>
      </c>
      <c r="C431" s="32">
        <v>89.134208760000007</v>
      </c>
    </row>
    <row r="432" spans="2:3" ht="24" customHeight="1" x14ac:dyDescent="0.3">
      <c r="B432" s="43">
        <v>14.73880518</v>
      </c>
      <c r="C432" s="32">
        <v>73.305727630000007</v>
      </c>
    </row>
    <row r="433" spans="2:3" ht="24" customHeight="1" x14ac:dyDescent="0.3">
      <c r="B433" s="43">
        <v>14.80587012</v>
      </c>
      <c r="C433" s="32">
        <v>72.314170779999998</v>
      </c>
    </row>
    <row r="434" spans="2:3" ht="24" customHeight="1" x14ac:dyDescent="0.3">
      <c r="B434" s="43">
        <v>14.876681809999999</v>
      </c>
      <c r="C434" s="32">
        <v>113.76866354000001</v>
      </c>
    </row>
    <row r="435" spans="2:3" ht="24" customHeight="1" x14ac:dyDescent="0.3">
      <c r="B435" s="43">
        <v>14.89587012</v>
      </c>
      <c r="C435" s="32">
        <v>107.99711618000001</v>
      </c>
    </row>
    <row r="436" spans="2:3" ht="24" customHeight="1" x14ac:dyDescent="0.3">
      <c r="B436" s="43">
        <v>15.14403246</v>
      </c>
      <c r="C436" s="32">
        <v>108.72947672000001</v>
      </c>
    </row>
    <row r="437" spans="2:3" ht="24" customHeight="1" x14ac:dyDescent="0.3">
      <c r="B437" s="43">
        <v>15.20314934</v>
      </c>
      <c r="C437" s="32">
        <v>101.78201958</v>
      </c>
    </row>
    <row r="438" spans="2:3" ht="24" customHeight="1" x14ac:dyDescent="0.3">
      <c r="B438" s="43">
        <v>15.2313831</v>
      </c>
      <c r="C438" s="32">
        <v>102.48114741000001</v>
      </c>
    </row>
    <row r="439" spans="2:3" ht="24" customHeight="1" x14ac:dyDescent="0.3">
      <c r="B439" s="43">
        <v>15.314987</v>
      </c>
      <c r="C439" s="32">
        <v>78.294917709999993</v>
      </c>
    </row>
    <row r="440" spans="2:3" ht="24" customHeight="1" x14ac:dyDescent="0.3">
      <c r="B440" s="43">
        <v>15.35007143</v>
      </c>
      <c r="C440" s="32">
        <v>69.678802130000008</v>
      </c>
    </row>
    <row r="441" spans="2:3" ht="24" customHeight="1" x14ac:dyDescent="0.3">
      <c r="B441" s="43">
        <v>15.37035713</v>
      </c>
      <c r="C441" s="32">
        <v>91.506934690000008</v>
      </c>
    </row>
    <row r="442" spans="2:3" ht="24" customHeight="1" x14ac:dyDescent="0.3">
      <c r="B442" s="43">
        <v>15.39329219</v>
      </c>
      <c r="C442" s="32">
        <v>85.400543929999998</v>
      </c>
    </row>
    <row r="443" spans="2:3" ht="24" customHeight="1" x14ac:dyDescent="0.3">
      <c r="B443" s="43">
        <v>15.39594155</v>
      </c>
      <c r="C443" s="32">
        <v>80.195136919999996</v>
      </c>
    </row>
    <row r="444" spans="2:3" ht="24" customHeight="1" x14ac:dyDescent="0.3">
      <c r="B444" s="43">
        <v>15.401240250000001</v>
      </c>
      <c r="C444" s="32">
        <v>83.907786610000002</v>
      </c>
    </row>
    <row r="445" spans="2:3" ht="24" customHeight="1" x14ac:dyDescent="0.3">
      <c r="B445" s="43">
        <v>15.40233765</v>
      </c>
      <c r="C445" s="32">
        <v>74.324323410000005</v>
      </c>
    </row>
    <row r="446" spans="2:3" ht="24" customHeight="1" x14ac:dyDescent="0.3">
      <c r="B446" s="43">
        <v>15.407636350000001</v>
      </c>
      <c r="C446" s="32">
        <v>108.75571829</v>
      </c>
    </row>
    <row r="447" spans="2:3" ht="24" customHeight="1" x14ac:dyDescent="0.3">
      <c r="B447" s="43">
        <v>15.49873375</v>
      </c>
      <c r="C447" s="32">
        <v>67.781215589999988</v>
      </c>
    </row>
    <row r="448" spans="2:3" ht="24" customHeight="1" x14ac:dyDescent="0.3">
      <c r="B448" s="43">
        <v>15.533363619999999</v>
      </c>
      <c r="C448" s="32">
        <v>71.459091819999998</v>
      </c>
    </row>
    <row r="449" spans="2:3" ht="24" customHeight="1" x14ac:dyDescent="0.3">
      <c r="B449" s="43">
        <v>15.582337649999999</v>
      </c>
      <c r="C449" s="32">
        <v>97.581812020000001</v>
      </c>
    </row>
    <row r="450" spans="2:3" ht="24" customHeight="1" x14ac:dyDescent="0.3">
      <c r="B450" s="43">
        <v>15.60947402</v>
      </c>
      <c r="C450" s="32">
        <v>65.34765969</v>
      </c>
    </row>
    <row r="451" spans="2:3" ht="24" customHeight="1" x14ac:dyDescent="0.3">
      <c r="B451" s="43">
        <v>15.68668181</v>
      </c>
      <c r="C451" s="32">
        <v>65.756884759999991</v>
      </c>
    </row>
    <row r="452" spans="2:3" ht="24" customHeight="1" x14ac:dyDescent="0.3">
      <c r="B452" s="43">
        <v>15.69947402</v>
      </c>
      <c r="C452" s="32">
        <v>105.01400111999999</v>
      </c>
    </row>
    <row r="453" spans="2:3" ht="24" customHeight="1" x14ac:dyDescent="0.3">
      <c r="B453" s="43">
        <v>15.835798690000001</v>
      </c>
      <c r="C453" s="32">
        <v>93.067441809999991</v>
      </c>
    </row>
    <row r="454" spans="2:3" ht="24" customHeight="1" x14ac:dyDescent="0.3">
      <c r="B454" s="43">
        <v>15.95933116</v>
      </c>
      <c r="C454" s="32">
        <v>78.900322869999997</v>
      </c>
    </row>
    <row r="455" spans="2:3" ht="24" customHeight="1" x14ac:dyDescent="0.3">
      <c r="B455" s="43">
        <v>15.997707780000001</v>
      </c>
      <c r="C455" s="32">
        <v>85.872114760000002</v>
      </c>
    </row>
    <row r="456" spans="2:3" ht="24" customHeight="1" x14ac:dyDescent="0.3">
      <c r="B456" s="43">
        <v>16.06587012</v>
      </c>
      <c r="C456" s="32">
        <v>120.62784035999999</v>
      </c>
    </row>
    <row r="457" spans="2:3" ht="24" customHeight="1" x14ac:dyDescent="0.3">
      <c r="B457" s="43">
        <v>16.16381818</v>
      </c>
      <c r="C457" s="32">
        <v>74.48826244</v>
      </c>
    </row>
    <row r="458" spans="2:3" ht="24" customHeight="1" x14ac:dyDescent="0.3">
      <c r="B458" s="43">
        <v>16.172409080000001</v>
      </c>
      <c r="C458" s="32">
        <v>57.604149300000003</v>
      </c>
    </row>
    <row r="459" spans="2:3" ht="24" customHeight="1" x14ac:dyDescent="0.3">
      <c r="B459" s="43">
        <v>16.184103879999999</v>
      </c>
      <c r="C459" s="32">
        <v>60.579242039999997</v>
      </c>
    </row>
    <row r="460" spans="2:3" ht="24" customHeight="1" x14ac:dyDescent="0.3">
      <c r="B460" s="43">
        <v>16.193149340000002</v>
      </c>
      <c r="C460" s="32">
        <v>100.94079022</v>
      </c>
    </row>
    <row r="461" spans="2:3" ht="24" customHeight="1" x14ac:dyDescent="0.3">
      <c r="B461" s="43">
        <v>16.233077909999999</v>
      </c>
      <c r="C461" s="32">
        <v>69.486223929999994</v>
      </c>
    </row>
    <row r="462" spans="2:3" ht="24" customHeight="1" x14ac:dyDescent="0.3">
      <c r="B462" s="43">
        <v>16.302337649999998</v>
      </c>
      <c r="C462" s="32">
        <v>107.10325517</v>
      </c>
    </row>
    <row r="463" spans="2:3" ht="24" customHeight="1" x14ac:dyDescent="0.3">
      <c r="B463" s="43">
        <v>16.394987</v>
      </c>
      <c r="C463" s="32">
        <v>71.238071840000003</v>
      </c>
    </row>
    <row r="464" spans="2:3" ht="24" customHeight="1" x14ac:dyDescent="0.3">
      <c r="B464" s="43">
        <v>16.51322077</v>
      </c>
      <c r="C464" s="32">
        <v>138.0878117</v>
      </c>
    </row>
    <row r="465" spans="2:3" ht="24" customHeight="1" x14ac:dyDescent="0.3">
      <c r="B465" s="43">
        <v>16.5685909</v>
      </c>
      <c r="C465" s="32">
        <v>58.227868839999999</v>
      </c>
    </row>
    <row r="466" spans="2:3" ht="24" customHeight="1" x14ac:dyDescent="0.3">
      <c r="B466" s="43">
        <v>16.574987</v>
      </c>
      <c r="C466" s="32">
        <v>82.278103420000008</v>
      </c>
    </row>
    <row r="467" spans="2:3" ht="24" customHeight="1" x14ac:dyDescent="0.3">
      <c r="B467" s="43">
        <v>16.605870119999999</v>
      </c>
      <c r="C467" s="32">
        <v>76.25783856999999</v>
      </c>
    </row>
    <row r="468" spans="2:3" ht="24" customHeight="1" x14ac:dyDescent="0.3">
      <c r="B468" s="43">
        <v>16.663889600000001</v>
      </c>
      <c r="C468" s="32">
        <v>67.98197193</v>
      </c>
    </row>
    <row r="469" spans="2:3" ht="24" customHeight="1" x14ac:dyDescent="0.3">
      <c r="B469" s="43">
        <v>16.6713831</v>
      </c>
      <c r="C469" s="32">
        <v>82.097884140000005</v>
      </c>
    </row>
    <row r="470" spans="2:3" ht="24" customHeight="1" x14ac:dyDescent="0.3">
      <c r="B470" s="43">
        <v>16.674032459999999</v>
      </c>
      <c r="C470" s="32">
        <v>91.30699731</v>
      </c>
    </row>
    <row r="471" spans="2:3" ht="24" customHeight="1" x14ac:dyDescent="0.3">
      <c r="B471" s="43">
        <v>16.702266219999998</v>
      </c>
      <c r="C471" s="32">
        <v>131.28435582999998</v>
      </c>
    </row>
    <row r="472" spans="2:3" ht="24" customHeight="1" x14ac:dyDescent="0.3">
      <c r="B472" s="43">
        <v>16.70601297</v>
      </c>
      <c r="C472" s="32">
        <v>114.12530742</v>
      </c>
    </row>
    <row r="473" spans="2:3" ht="24" customHeight="1" x14ac:dyDescent="0.3">
      <c r="B473" s="43">
        <v>16.754987</v>
      </c>
      <c r="C473" s="32">
        <v>122.37756507</v>
      </c>
    </row>
    <row r="474" spans="2:3" ht="24" customHeight="1" x14ac:dyDescent="0.3">
      <c r="B474" s="43">
        <v>16.843889600000001</v>
      </c>
      <c r="C474" s="32">
        <v>101.48485600000001</v>
      </c>
    </row>
    <row r="475" spans="2:3" ht="24" customHeight="1" x14ac:dyDescent="0.3">
      <c r="B475" s="43">
        <v>16.886467530000001</v>
      </c>
      <c r="C475" s="32">
        <v>70.800860020000002</v>
      </c>
    </row>
    <row r="476" spans="2:3" ht="24" customHeight="1" x14ac:dyDescent="0.3">
      <c r="B476" s="43">
        <v>16.915798689999999</v>
      </c>
      <c r="C476" s="32">
        <v>144.10632009</v>
      </c>
    </row>
    <row r="477" spans="2:3" ht="24" customHeight="1" x14ac:dyDescent="0.3">
      <c r="B477" s="43">
        <v>16.923292190000002</v>
      </c>
      <c r="C477" s="32">
        <v>86.412057379999993</v>
      </c>
    </row>
    <row r="478" spans="2:3" ht="24" customHeight="1" x14ac:dyDescent="0.3">
      <c r="B478" s="43">
        <v>16.942480499999999</v>
      </c>
      <c r="C478" s="32">
        <v>71.224157450000007</v>
      </c>
    </row>
    <row r="479" spans="2:3" ht="24" customHeight="1" x14ac:dyDescent="0.3">
      <c r="B479" s="43">
        <v>16.95417531</v>
      </c>
      <c r="C479" s="32">
        <v>84.326820920000003</v>
      </c>
    </row>
    <row r="480" spans="2:3" ht="24" customHeight="1" x14ac:dyDescent="0.3">
      <c r="B480" s="43">
        <v>17.180499990000001</v>
      </c>
      <c r="C480" s="32">
        <v>73.722970709999998</v>
      </c>
    </row>
    <row r="481" spans="2:3" ht="24" customHeight="1" x14ac:dyDescent="0.3">
      <c r="B481" s="43">
        <v>17.242266220000001</v>
      </c>
      <c r="C481" s="32">
        <v>107.54370531000001</v>
      </c>
    </row>
    <row r="482" spans="2:3" ht="24" customHeight="1" x14ac:dyDescent="0.3">
      <c r="B482" s="43">
        <v>17.422266220000001</v>
      </c>
      <c r="C482" s="32">
        <v>76.819599409999995</v>
      </c>
    </row>
    <row r="483" spans="2:3" ht="24" customHeight="1" x14ac:dyDescent="0.3">
      <c r="B483" s="43">
        <v>17.450499990000001</v>
      </c>
      <c r="C483" s="32">
        <v>114.94150345</v>
      </c>
    </row>
    <row r="484" spans="2:3" ht="24" customHeight="1" x14ac:dyDescent="0.3">
      <c r="B484" s="43">
        <v>17.463292190000001</v>
      </c>
      <c r="C484" s="32">
        <v>55.792064359999998</v>
      </c>
    </row>
    <row r="485" spans="2:3" ht="24" customHeight="1" x14ac:dyDescent="0.3">
      <c r="B485" s="43">
        <v>17.481383099999999</v>
      </c>
      <c r="C485" s="32">
        <v>94.762868310000002</v>
      </c>
    </row>
    <row r="486" spans="2:3" ht="24" customHeight="1" x14ac:dyDescent="0.3">
      <c r="B486" s="43">
        <v>17.512266220000001</v>
      </c>
      <c r="C486" s="32">
        <v>94.659389715000003</v>
      </c>
    </row>
    <row r="487" spans="2:3" ht="24" customHeight="1" x14ac:dyDescent="0.3">
      <c r="B487" s="43">
        <v>17.55594155</v>
      </c>
      <c r="C487" s="32">
        <v>92.894420589999996</v>
      </c>
    </row>
    <row r="488" spans="2:3" ht="24" customHeight="1" x14ac:dyDescent="0.3">
      <c r="B488" s="43">
        <v>17.560142849999998</v>
      </c>
      <c r="C488" s="32">
        <v>80.167288339999999</v>
      </c>
    </row>
    <row r="489" spans="2:3" ht="24" customHeight="1" x14ac:dyDescent="0.3">
      <c r="B489" s="43">
        <v>17.705058430000001</v>
      </c>
      <c r="C489" s="32">
        <v>112.49681092</v>
      </c>
    </row>
    <row r="490" spans="2:3" ht="24" customHeight="1" x14ac:dyDescent="0.3">
      <c r="B490" s="43">
        <v>17.724246740000002</v>
      </c>
      <c r="C490" s="32">
        <v>73.970116309999995</v>
      </c>
    </row>
    <row r="491" spans="2:3" ht="24" customHeight="1" x14ac:dyDescent="0.3">
      <c r="B491" s="43">
        <v>17.77587012</v>
      </c>
      <c r="C491" s="32">
        <v>75.081153430000001</v>
      </c>
    </row>
    <row r="492" spans="2:3" ht="24" customHeight="1" x14ac:dyDescent="0.3">
      <c r="B492" s="43">
        <v>17.815798690000001</v>
      </c>
      <c r="C492" s="32">
        <v>84.621963709999989</v>
      </c>
    </row>
    <row r="493" spans="2:3" ht="24" customHeight="1" x14ac:dyDescent="0.3">
      <c r="B493" s="43">
        <v>17.878662330000001</v>
      </c>
      <c r="C493" s="32">
        <v>105.48632749000001</v>
      </c>
    </row>
    <row r="494" spans="2:3" ht="24" customHeight="1" x14ac:dyDescent="0.3">
      <c r="B494" s="43">
        <v>17.896753239999999</v>
      </c>
      <c r="C494" s="32">
        <v>85.206029000000001</v>
      </c>
    </row>
    <row r="495" spans="2:3" ht="24" customHeight="1" x14ac:dyDescent="0.3">
      <c r="B495" s="43">
        <v>17.966012970000001</v>
      </c>
      <c r="C495" s="32">
        <v>108.16013576</v>
      </c>
    </row>
    <row r="496" spans="2:3" ht="24" customHeight="1" x14ac:dyDescent="0.3">
      <c r="B496" s="43">
        <v>18.097493499999999</v>
      </c>
      <c r="C496" s="32">
        <v>141.00831077000001</v>
      </c>
    </row>
    <row r="497" spans="2:3" ht="24" customHeight="1" x14ac:dyDescent="0.3">
      <c r="B497" s="43">
        <v>18.144915569999998</v>
      </c>
      <c r="C497" s="32">
        <v>73.949148190000003</v>
      </c>
    </row>
    <row r="498" spans="2:3" ht="24" customHeight="1" x14ac:dyDescent="0.3">
      <c r="B498" s="43">
        <v>18.16145453</v>
      </c>
      <c r="C498" s="32">
        <v>110.06502313999999</v>
      </c>
    </row>
    <row r="499" spans="2:3" ht="24" customHeight="1" x14ac:dyDescent="0.3">
      <c r="B499" s="43">
        <v>18.188590900000001</v>
      </c>
      <c r="C499" s="32">
        <v>93.56185782</v>
      </c>
    </row>
    <row r="500" spans="2:3" ht="24" customHeight="1" x14ac:dyDescent="0.3">
      <c r="B500" s="43">
        <v>18.21947402</v>
      </c>
      <c r="C500" s="32">
        <v>65.013419339999999</v>
      </c>
    </row>
    <row r="501" spans="2:3" ht="24" customHeight="1" x14ac:dyDescent="0.3">
      <c r="B501" s="43">
        <v>18.223220770000001</v>
      </c>
      <c r="C501" s="32">
        <v>95.284785580000005</v>
      </c>
    </row>
    <row r="502" spans="2:3" ht="24" customHeight="1" x14ac:dyDescent="0.3">
      <c r="B502" s="43">
        <v>18.23866233</v>
      </c>
      <c r="C502" s="32">
        <v>63.146722999999994</v>
      </c>
    </row>
    <row r="503" spans="2:3" ht="24" customHeight="1" x14ac:dyDescent="0.3">
      <c r="B503" s="43">
        <v>18.313220770000001</v>
      </c>
      <c r="C503" s="32">
        <v>129.83508942</v>
      </c>
    </row>
    <row r="504" spans="2:3" ht="24" customHeight="1" x14ac:dyDescent="0.3">
      <c r="B504" s="43">
        <v>18.316967519999999</v>
      </c>
      <c r="C504" s="32">
        <v>123.48563872</v>
      </c>
    </row>
    <row r="505" spans="2:3" ht="24" customHeight="1" x14ac:dyDescent="0.3">
      <c r="B505" s="43">
        <v>18.414915570000002</v>
      </c>
      <c r="C505" s="32">
        <v>134.05128078999999</v>
      </c>
    </row>
    <row r="506" spans="2:3" ht="24" customHeight="1" x14ac:dyDescent="0.3">
      <c r="B506" s="43">
        <v>18.417564930000001</v>
      </c>
      <c r="C506" s="32">
        <v>87.815274560000006</v>
      </c>
    </row>
    <row r="507" spans="2:3" ht="24" customHeight="1" x14ac:dyDescent="0.3">
      <c r="B507" s="43">
        <v>18.436753240000002</v>
      </c>
      <c r="C507" s="32">
        <v>106.55885232</v>
      </c>
    </row>
    <row r="508" spans="2:3" ht="24" customHeight="1" x14ac:dyDescent="0.3">
      <c r="B508" s="43">
        <v>18.498519470000002</v>
      </c>
      <c r="C508" s="32">
        <v>62.976098960000002</v>
      </c>
    </row>
    <row r="509" spans="2:3" ht="24" customHeight="1" x14ac:dyDescent="0.3">
      <c r="B509" s="43">
        <v>18.633292189999999</v>
      </c>
      <c r="C509" s="32">
        <v>68.40461221000001</v>
      </c>
    </row>
    <row r="510" spans="2:3" ht="24" customHeight="1" x14ac:dyDescent="0.3">
      <c r="B510" s="43">
        <v>18.819688299999999</v>
      </c>
      <c r="C510" s="32">
        <v>87.932488579999998</v>
      </c>
    </row>
    <row r="511" spans="2:3" ht="24" customHeight="1" x14ac:dyDescent="0.3">
      <c r="B511" s="43">
        <v>18.82014285</v>
      </c>
      <c r="C511" s="32">
        <v>70.200848649999998</v>
      </c>
    </row>
    <row r="512" spans="2:3" ht="24" customHeight="1" x14ac:dyDescent="0.3">
      <c r="B512" s="43">
        <v>18.868662329999999</v>
      </c>
      <c r="C512" s="32">
        <v>88.784098290000003</v>
      </c>
    </row>
    <row r="513" spans="2:3" ht="24" customHeight="1" x14ac:dyDescent="0.3">
      <c r="B513" s="43">
        <v>18.893149340000001</v>
      </c>
      <c r="C513" s="32">
        <v>71.287295479999997</v>
      </c>
    </row>
    <row r="514" spans="2:3" ht="24" customHeight="1" x14ac:dyDescent="0.3">
      <c r="B514" s="43">
        <v>18.954915570000001</v>
      </c>
      <c r="C514" s="32">
        <v>114.51553849999999</v>
      </c>
    </row>
    <row r="515" spans="2:3" ht="24" customHeight="1" x14ac:dyDescent="0.3">
      <c r="B515" s="43">
        <v>19.026824659999999</v>
      </c>
      <c r="C515" s="32">
        <v>144.16141017000001</v>
      </c>
    </row>
    <row r="516" spans="2:3" ht="24" customHeight="1" x14ac:dyDescent="0.3">
      <c r="B516" s="43">
        <v>19.048662329999999</v>
      </c>
      <c r="C516" s="32">
        <v>96.303259069999996</v>
      </c>
    </row>
    <row r="517" spans="2:3" ht="24" customHeight="1" x14ac:dyDescent="0.3">
      <c r="B517" s="43">
        <v>19.31491557</v>
      </c>
      <c r="C517" s="32">
        <v>89.854288569999994</v>
      </c>
    </row>
    <row r="518" spans="2:3" ht="24" customHeight="1" x14ac:dyDescent="0.3">
      <c r="B518" s="43">
        <v>19.327707780000001</v>
      </c>
      <c r="C518" s="32">
        <v>116.49366866</v>
      </c>
    </row>
    <row r="519" spans="2:3" ht="24" customHeight="1" x14ac:dyDescent="0.3">
      <c r="B519" s="43">
        <v>19.438448050000002</v>
      </c>
      <c r="C519" s="32">
        <v>72.956708469999995</v>
      </c>
    </row>
    <row r="520" spans="2:3" ht="24" customHeight="1" x14ac:dyDescent="0.3">
      <c r="B520" s="43">
        <v>19.449688299999998</v>
      </c>
      <c r="C520" s="32">
        <v>69.71124094000001</v>
      </c>
    </row>
    <row r="521" spans="2:3" ht="24" customHeight="1" x14ac:dyDescent="0.3">
      <c r="B521" s="43">
        <v>19.48057141</v>
      </c>
      <c r="C521" s="32">
        <v>139.10657644</v>
      </c>
    </row>
    <row r="522" spans="2:3" ht="24" customHeight="1" x14ac:dyDescent="0.3">
      <c r="B522" s="43">
        <v>19.530642839999999</v>
      </c>
      <c r="C522" s="32">
        <v>104.44842847000001</v>
      </c>
    </row>
    <row r="523" spans="2:3" ht="24" customHeight="1" x14ac:dyDescent="0.3">
      <c r="B523" s="43">
        <v>19.595058430000002</v>
      </c>
      <c r="C523" s="32">
        <v>66.919206489999993</v>
      </c>
    </row>
    <row r="524" spans="2:3" ht="24" customHeight="1" x14ac:dyDescent="0.3">
      <c r="B524" s="43">
        <v>19.600357129999999</v>
      </c>
      <c r="C524" s="32">
        <v>75.6313636</v>
      </c>
    </row>
    <row r="525" spans="2:3" ht="24" customHeight="1" x14ac:dyDescent="0.3">
      <c r="B525" s="43">
        <v>19.620642839999999</v>
      </c>
      <c r="C525" s="32">
        <v>57.539677470000001</v>
      </c>
    </row>
    <row r="526" spans="2:3" ht="24" customHeight="1" x14ac:dyDescent="0.3">
      <c r="B526" s="43">
        <v>19.691454530000001</v>
      </c>
      <c r="C526" s="32">
        <v>90.345872979999996</v>
      </c>
    </row>
    <row r="527" spans="2:3" ht="24" customHeight="1" x14ac:dyDescent="0.3">
      <c r="B527" s="43">
        <v>19.729831149999999</v>
      </c>
      <c r="C527" s="32">
        <v>71.696835739999997</v>
      </c>
    </row>
    <row r="528" spans="2:3" ht="24" customHeight="1" x14ac:dyDescent="0.3">
      <c r="B528" s="43">
        <v>19.827779209999999</v>
      </c>
      <c r="C528" s="32">
        <v>71.18656587000001</v>
      </c>
    </row>
    <row r="529" spans="2:3" ht="24" customHeight="1" x14ac:dyDescent="0.3">
      <c r="B529" s="43">
        <v>19.84696752</v>
      </c>
      <c r="C529" s="32">
        <v>123.18234586</v>
      </c>
    </row>
    <row r="530" spans="2:3" ht="24" customHeight="1" x14ac:dyDescent="0.3">
      <c r="B530" s="43">
        <v>19.879402590000002</v>
      </c>
      <c r="C530" s="32">
        <v>73.884910869999999</v>
      </c>
    </row>
    <row r="531" spans="2:3" ht="24" customHeight="1" x14ac:dyDescent="0.3">
      <c r="B531" s="43">
        <v>19.926824660000001</v>
      </c>
      <c r="C531" s="32">
        <v>88.641226610000004</v>
      </c>
    </row>
    <row r="532" spans="2:3" ht="24" customHeight="1" x14ac:dyDescent="0.3">
      <c r="B532" s="43">
        <v>19.939616869999998</v>
      </c>
      <c r="C532" s="32">
        <v>145.41393908999999</v>
      </c>
    </row>
    <row r="533" spans="2:3" ht="24" customHeight="1" x14ac:dyDescent="0.3">
      <c r="B533" s="43">
        <v>19.997636350000001</v>
      </c>
      <c r="C533" s="32">
        <v>119.88890142</v>
      </c>
    </row>
    <row r="534" spans="2:3" ht="24" customHeight="1" x14ac:dyDescent="0.3">
      <c r="B534" s="43">
        <v>20.012623359999999</v>
      </c>
      <c r="C534" s="32">
        <v>96.259134930000002</v>
      </c>
    </row>
    <row r="535" spans="2:3" ht="24" customHeight="1" x14ac:dyDescent="0.3">
      <c r="B535" s="43">
        <v>20.028519469999999</v>
      </c>
      <c r="C535" s="32">
        <v>152.78053847000001</v>
      </c>
    </row>
    <row r="536" spans="2:3" ht="24" customHeight="1" x14ac:dyDescent="0.3">
      <c r="B536" s="43">
        <v>20.057850630000001</v>
      </c>
      <c r="C536" s="32">
        <v>92.844319979999995</v>
      </c>
    </row>
    <row r="537" spans="2:3" ht="24" customHeight="1" x14ac:dyDescent="0.3">
      <c r="B537" s="43">
        <v>20.144103879999999</v>
      </c>
      <c r="C537" s="32">
        <v>78.04225418</v>
      </c>
    </row>
    <row r="538" spans="2:3" ht="24" customHeight="1" x14ac:dyDescent="0.3">
      <c r="B538" s="43">
        <v>20.15689609</v>
      </c>
      <c r="C538" s="32">
        <v>123.99580467999999</v>
      </c>
    </row>
    <row r="539" spans="2:3" ht="24" customHeight="1" x14ac:dyDescent="0.3">
      <c r="B539" s="43">
        <v>20.201668810000001</v>
      </c>
      <c r="C539" s="32">
        <v>69.620217279999991</v>
      </c>
    </row>
    <row r="540" spans="2:3" ht="24" customHeight="1" x14ac:dyDescent="0.3">
      <c r="B540" s="43">
        <v>20.292123369999999</v>
      </c>
      <c r="C540" s="32">
        <v>73.622669959999996</v>
      </c>
    </row>
    <row r="541" spans="2:3" ht="24" customHeight="1" x14ac:dyDescent="0.3">
      <c r="B541" s="43">
        <v>20.554175310000002</v>
      </c>
      <c r="C541" s="32">
        <v>89.560226870000008</v>
      </c>
    </row>
    <row r="542" spans="2:3" ht="24" customHeight="1" x14ac:dyDescent="0.3">
      <c r="B542" s="43">
        <v>20.60579869</v>
      </c>
      <c r="C542" s="32">
        <v>70.967445740000002</v>
      </c>
    </row>
    <row r="543" spans="2:3" ht="24" customHeight="1" x14ac:dyDescent="0.3">
      <c r="B543" s="43">
        <v>20.672863629999998</v>
      </c>
      <c r="C543" s="32">
        <v>69.414617390000004</v>
      </c>
    </row>
    <row r="544" spans="2:3" ht="24" customHeight="1" x14ac:dyDescent="0.3">
      <c r="B544" s="43">
        <v>20.691597389999998</v>
      </c>
      <c r="C544" s="32">
        <v>77.040362340000001</v>
      </c>
    </row>
    <row r="545" spans="2:3" ht="24" customHeight="1" x14ac:dyDescent="0.3">
      <c r="B545" s="43">
        <v>20.78579869</v>
      </c>
      <c r="C545" s="32">
        <v>77.398976149999996</v>
      </c>
    </row>
    <row r="546" spans="2:3" ht="24" customHeight="1" x14ac:dyDescent="0.3">
      <c r="B546" s="43">
        <v>20.891240249999999</v>
      </c>
      <c r="C546" s="32">
        <v>137.24654903999999</v>
      </c>
    </row>
    <row r="547" spans="2:3" ht="24" customHeight="1" x14ac:dyDescent="0.3">
      <c r="B547" s="43">
        <v>20.93116882</v>
      </c>
      <c r="C547" s="32">
        <v>74.817205000000001</v>
      </c>
    </row>
    <row r="548" spans="2:3" ht="24" customHeight="1" x14ac:dyDescent="0.3">
      <c r="B548" s="43">
        <v>20.971740239999999</v>
      </c>
      <c r="C548" s="32">
        <v>70.901322210000004</v>
      </c>
    </row>
    <row r="549" spans="2:3" ht="24" customHeight="1" x14ac:dyDescent="0.3">
      <c r="B549" s="43">
        <v>21.009474019999999</v>
      </c>
      <c r="C549" s="32">
        <v>81.462773159999998</v>
      </c>
    </row>
    <row r="550" spans="2:3" ht="24" customHeight="1" x14ac:dyDescent="0.3">
      <c r="B550" s="43">
        <v>21.051597390000001</v>
      </c>
      <c r="C550" s="32">
        <v>138.94889376999998</v>
      </c>
    </row>
    <row r="551" spans="2:3" ht="24" customHeight="1" x14ac:dyDescent="0.3">
      <c r="B551" s="43">
        <v>21.076084399999999</v>
      </c>
      <c r="C551" s="32">
        <v>69.281257859999997</v>
      </c>
    </row>
    <row r="552" spans="2:3" ht="24" customHeight="1" x14ac:dyDescent="0.3">
      <c r="B552" s="43">
        <v>21.085129859999999</v>
      </c>
      <c r="C552" s="32">
        <v>137.44518955000001</v>
      </c>
    </row>
    <row r="553" spans="2:3" ht="24" customHeight="1" x14ac:dyDescent="0.3">
      <c r="B553" s="43">
        <v>21.112266219999999</v>
      </c>
      <c r="C553" s="32">
        <v>82.231000480000006</v>
      </c>
    </row>
    <row r="554" spans="2:3" ht="24" customHeight="1" x14ac:dyDescent="0.3">
      <c r="B554" s="43">
        <v>21.356681810000001</v>
      </c>
      <c r="C554" s="32">
        <v>107.96918690000001</v>
      </c>
    </row>
    <row r="555" spans="2:3" ht="24" customHeight="1" x14ac:dyDescent="0.3">
      <c r="B555" s="43">
        <v>21.380714269999999</v>
      </c>
      <c r="C555" s="32">
        <v>125.77688254</v>
      </c>
    </row>
    <row r="556" spans="2:3" ht="24" customHeight="1" x14ac:dyDescent="0.3">
      <c r="B556" s="43">
        <v>21.40035713</v>
      </c>
      <c r="C556" s="32">
        <v>69.484223900000003</v>
      </c>
    </row>
    <row r="557" spans="2:3" ht="24" customHeight="1" x14ac:dyDescent="0.3">
      <c r="B557" s="43">
        <v>21.4285909</v>
      </c>
      <c r="C557" s="32">
        <v>63.714647169999999</v>
      </c>
    </row>
    <row r="558" spans="2:3" ht="24" customHeight="1" x14ac:dyDescent="0.3">
      <c r="B558" s="43">
        <v>21.510642839999999</v>
      </c>
      <c r="C558" s="32">
        <v>93.771231029999996</v>
      </c>
    </row>
    <row r="559" spans="2:3" ht="24" customHeight="1" x14ac:dyDescent="0.3">
      <c r="B559" s="43">
        <v>21.540428559999999</v>
      </c>
      <c r="C559" s="32">
        <v>63.523206359999996</v>
      </c>
    </row>
    <row r="560" spans="2:3" ht="24" customHeight="1" x14ac:dyDescent="0.3">
      <c r="B560" s="43">
        <v>21.59314934</v>
      </c>
      <c r="C560" s="32">
        <v>84.685244479999994</v>
      </c>
    </row>
    <row r="561" spans="2:3" ht="24" customHeight="1" x14ac:dyDescent="0.3">
      <c r="B561" s="43">
        <v>21.677850629999998</v>
      </c>
      <c r="C561" s="32">
        <v>109.43972156</v>
      </c>
    </row>
    <row r="562" spans="2:3" ht="24" customHeight="1" x14ac:dyDescent="0.3">
      <c r="B562" s="43">
        <v>21.75240908</v>
      </c>
      <c r="C562" s="32">
        <v>76.64890389</v>
      </c>
    </row>
    <row r="563" spans="2:3" ht="24" customHeight="1" x14ac:dyDescent="0.3">
      <c r="B563" s="43">
        <v>21.940357129999999</v>
      </c>
      <c r="C563" s="32">
        <v>68.732325549999999</v>
      </c>
    </row>
    <row r="564" spans="2:3" ht="24" customHeight="1" x14ac:dyDescent="0.3">
      <c r="B564" s="43">
        <v>21.996824660000001</v>
      </c>
      <c r="C564" s="32">
        <v>88.524168290000006</v>
      </c>
    </row>
    <row r="565" spans="2:3" ht="24" customHeight="1" x14ac:dyDescent="0.3">
      <c r="B565" s="43">
        <v>22.127850630000001</v>
      </c>
      <c r="C565" s="32">
        <v>128.84404118</v>
      </c>
    </row>
    <row r="566" spans="2:3" ht="24" customHeight="1" x14ac:dyDescent="0.3">
      <c r="B566" s="43">
        <v>22.173720750000001</v>
      </c>
      <c r="C566" s="32">
        <v>69.583970170000001</v>
      </c>
    </row>
    <row r="567" spans="2:3" ht="24" customHeight="1" x14ac:dyDescent="0.3">
      <c r="B567" s="43">
        <v>22.22689609</v>
      </c>
      <c r="C567" s="32">
        <v>90.147136969999991</v>
      </c>
    </row>
    <row r="568" spans="2:3" ht="24" customHeight="1" x14ac:dyDescent="0.3">
      <c r="B568" s="43">
        <v>22.24233765</v>
      </c>
      <c r="C568" s="32">
        <v>114.21613506</v>
      </c>
    </row>
    <row r="569" spans="2:3" ht="24" customHeight="1" x14ac:dyDescent="0.3">
      <c r="B569" s="43">
        <v>22.243435049999999</v>
      </c>
      <c r="C569" s="32">
        <v>103.15621161</v>
      </c>
    </row>
    <row r="570" spans="2:3" ht="24" customHeight="1" x14ac:dyDescent="0.3">
      <c r="B570" s="43">
        <v>22.27431816</v>
      </c>
      <c r="C570" s="32">
        <v>110.69870925000001</v>
      </c>
    </row>
    <row r="571" spans="2:3" ht="24" customHeight="1" x14ac:dyDescent="0.3">
      <c r="B571" s="43">
        <v>22.346227249999998</v>
      </c>
      <c r="C571" s="32">
        <v>147.98360905000001</v>
      </c>
    </row>
    <row r="572" spans="2:3" ht="24" customHeight="1" x14ac:dyDescent="0.3">
      <c r="B572" s="43">
        <v>22.411097399999999</v>
      </c>
      <c r="C572" s="32">
        <v>72.582553959999998</v>
      </c>
    </row>
    <row r="573" spans="2:3" ht="24" customHeight="1" x14ac:dyDescent="0.3">
      <c r="B573" s="43">
        <v>22.415941549999999</v>
      </c>
      <c r="C573" s="32">
        <v>92.756881710000002</v>
      </c>
    </row>
    <row r="574" spans="2:3" ht="24" customHeight="1" x14ac:dyDescent="0.3">
      <c r="B574" s="43">
        <v>22.437779209999999</v>
      </c>
      <c r="C574" s="32">
        <v>90.576748030000005</v>
      </c>
    </row>
    <row r="575" spans="2:3" ht="24" customHeight="1" x14ac:dyDescent="0.3">
      <c r="B575" s="43">
        <v>22.56925974</v>
      </c>
      <c r="C575" s="32">
        <v>68.529734790000006</v>
      </c>
    </row>
    <row r="576" spans="2:3" ht="24" customHeight="1" x14ac:dyDescent="0.3">
      <c r="B576" s="43">
        <v>22.575201280000002</v>
      </c>
      <c r="C576" s="32">
        <v>87.820588579999992</v>
      </c>
    </row>
    <row r="577" spans="2:3" ht="24" customHeight="1" x14ac:dyDescent="0.3">
      <c r="B577" s="43">
        <v>22.68329219</v>
      </c>
      <c r="C577" s="32">
        <v>111.34009196</v>
      </c>
    </row>
    <row r="578" spans="2:3" ht="24" customHeight="1" x14ac:dyDescent="0.3">
      <c r="B578" s="43">
        <v>22.755201280000001</v>
      </c>
      <c r="C578" s="32">
        <v>78.576410820000007</v>
      </c>
    </row>
    <row r="579" spans="2:3" ht="24" customHeight="1" x14ac:dyDescent="0.3">
      <c r="B579" s="43">
        <v>22.984175310000001</v>
      </c>
      <c r="C579" s="32">
        <v>120.17640541</v>
      </c>
    </row>
    <row r="580" spans="2:3" ht="24" customHeight="1" x14ac:dyDescent="0.3">
      <c r="B580" s="43">
        <v>22.990571410000001</v>
      </c>
      <c r="C580" s="32">
        <v>82.263203860000004</v>
      </c>
    </row>
    <row r="581" spans="2:3" ht="24" customHeight="1" x14ac:dyDescent="0.3">
      <c r="B581" s="43">
        <v>23.06887661</v>
      </c>
      <c r="C581" s="32">
        <v>101.53664024</v>
      </c>
    </row>
    <row r="582" spans="2:3" ht="24" customHeight="1" x14ac:dyDescent="0.3">
      <c r="B582" s="43">
        <v>23.184461020000001</v>
      </c>
      <c r="C582" s="32">
        <v>71.223055930000001</v>
      </c>
    </row>
    <row r="583" spans="2:3" ht="24" customHeight="1" x14ac:dyDescent="0.3">
      <c r="B583" s="43">
        <v>23.330928549999999</v>
      </c>
      <c r="C583" s="32">
        <v>76.641513629999992</v>
      </c>
    </row>
    <row r="584" spans="2:3" ht="24" customHeight="1" x14ac:dyDescent="0.3">
      <c r="B584" s="43">
        <v>23.639759720000001</v>
      </c>
      <c r="C584" s="32">
        <v>90.683657949999997</v>
      </c>
    </row>
    <row r="585" spans="2:3" ht="24" customHeight="1" x14ac:dyDescent="0.3">
      <c r="B585" s="43">
        <v>23.809616869999999</v>
      </c>
      <c r="C585" s="32">
        <v>95.251537509999991</v>
      </c>
    </row>
    <row r="586" spans="2:3" ht="24" customHeight="1" x14ac:dyDescent="0.3">
      <c r="B586" s="43">
        <v>23.84159739</v>
      </c>
      <c r="C586" s="32">
        <v>112.55089945</v>
      </c>
    </row>
    <row r="587" spans="2:3" ht="24" customHeight="1" x14ac:dyDescent="0.3">
      <c r="B587" s="43">
        <v>23.880428559999999</v>
      </c>
      <c r="C587" s="32">
        <v>113.60791302999999</v>
      </c>
    </row>
    <row r="588" spans="2:3" ht="24" customHeight="1" x14ac:dyDescent="0.3">
      <c r="B588" s="43">
        <v>23.965129860000001</v>
      </c>
      <c r="C588" s="32">
        <v>70.968035799999996</v>
      </c>
    </row>
    <row r="589" spans="2:3" ht="24" customHeight="1" x14ac:dyDescent="0.3">
      <c r="B589" s="43">
        <v>24.03438959</v>
      </c>
      <c r="C589" s="32">
        <v>137.97485467000001</v>
      </c>
    </row>
    <row r="590" spans="2:3" ht="24" customHeight="1" x14ac:dyDescent="0.3">
      <c r="B590" s="43">
        <v>24.055129860000001</v>
      </c>
      <c r="C590" s="32">
        <v>103.24712491</v>
      </c>
    </row>
    <row r="591" spans="2:3" ht="24" customHeight="1" x14ac:dyDescent="0.3">
      <c r="B591" s="43">
        <v>24.068376619999999</v>
      </c>
      <c r="C591" s="32">
        <v>68.811638399999993</v>
      </c>
    </row>
    <row r="592" spans="2:3" ht="24" customHeight="1" x14ac:dyDescent="0.3">
      <c r="B592" s="43">
        <v>24.102551930000001</v>
      </c>
      <c r="C592" s="32">
        <v>94.206922200000008</v>
      </c>
    </row>
    <row r="593" spans="2:3" ht="24" customHeight="1" x14ac:dyDescent="0.3">
      <c r="B593" s="43">
        <v>24.18286363</v>
      </c>
      <c r="C593" s="32">
        <v>67.646738060000004</v>
      </c>
    </row>
    <row r="594" spans="2:3" ht="24" customHeight="1" x14ac:dyDescent="0.3">
      <c r="B594" s="43">
        <v>24.26336362</v>
      </c>
      <c r="C594" s="32">
        <v>70.818370900000005</v>
      </c>
    </row>
    <row r="595" spans="2:3" ht="24" customHeight="1" x14ac:dyDescent="0.3">
      <c r="B595" s="43">
        <v>24.328876609999998</v>
      </c>
      <c r="C595" s="32">
        <v>93.685806940000006</v>
      </c>
    </row>
    <row r="596" spans="2:3" ht="24" customHeight="1" x14ac:dyDescent="0.3">
      <c r="B596" s="43">
        <v>24.341668810000002</v>
      </c>
      <c r="C596" s="32">
        <v>88.73352998</v>
      </c>
    </row>
    <row r="597" spans="2:3" ht="24" customHeight="1" x14ac:dyDescent="0.3">
      <c r="B597" s="43">
        <v>24.345870120000001</v>
      </c>
      <c r="C597" s="32">
        <v>78.240733930000005</v>
      </c>
    </row>
    <row r="598" spans="2:3" ht="24" customHeight="1" x14ac:dyDescent="0.3">
      <c r="B598" s="43">
        <v>24.37255193</v>
      </c>
      <c r="C598" s="32">
        <v>66.910877880000001</v>
      </c>
    </row>
    <row r="599" spans="2:3" ht="24" customHeight="1" x14ac:dyDescent="0.3">
      <c r="B599" s="43">
        <v>24.545058430000001</v>
      </c>
      <c r="C599" s="32">
        <v>156.41565701000002</v>
      </c>
    </row>
    <row r="600" spans="2:3" ht="24" customHeight="1" x14ac:dyDescent="0.3">
      <c r="B600" s="43">
        <v>24.582337649999999</v>
      </c>
      <c r="C600" s="32">
        <v>129.18582307</v>
      </c>
    </row>
    <row r="601" spans="2:3" ht="24" customHeight="1" x14ac:dyDescent="0.3">
      <c r="B601" s="43">
        <v>24.647850630000001</v>
      </c>
      <c r="C601" s="32">
        <v>73.322135770000003</v>
      </c>
    </row>
    <row r="602" spans="2:3" ht="24" customHeight="1" x14ac:dyDescent="0.3">
      <c r="B602" s="43">
        <v>24.663746750000001</v>
      </c>
      <c r="C602" s="32">
        <v>66.381393199999991</v>
      </c>
    </row>
    <row r="603" spans="2:3" ht="24" customHeight="1" x14ac:dyDescent="0.3">
      <c r="B603" s="43">
        <v>24.722409079999998</v>
      </c>
      <c r="C603" s="32">
        <v>97.864342880000009</v>
      </c>
    </row>
    <row r="604" spans="2:3" ht="24" customHeight="1" x14ac:dyDescent="0.3">
      <c r="B604" s="43">
        <v>24.769831150000002</v>
      </c>
      <c r="C604" s="32">
        <v>128.45705662</v>
      </c>
    </row>
    <row r="605" spans="2:3" ht="24" customHeight="1" x14ac:dyDescent="0.3">
      <c r="B605" s="43">
        <v>24.978519469999998</v>
      </c>
      <c r="C605" s="32">
        <v>72.235953999999992</v>
      </c>
    </row>
    <row r="606" spans="2:3" ht="24" customHeight="1" x14ac:dyDescent="0.3">
      <c r="B606" s="43">
        <v>25.039831150000001</v>
      </c>
      <c r="C606" s="32">
        <v>76.215364380000011</v>
      </c>
    </row>
    <row r="607" spans="2:3" ht="24" customHeight="1" x14ac:dyDescent="0.3">
      <c r="B607" s="43">
        <v>25.062766209999999</v>
      </c>
      <c r="C607" s="32">
        <v>65.993341530000009</v>
      </c>
    </row>
    <row r="608" spans="2:3" ht="24" customHeight="1" x14ac:dyDescent="0.3">
      <c r="B608" s="43">
        <v>25.064318159999999</v>
      </c>
      <c r="C608" s="32">
        <v>64.266749500000003</v>
      </c>
    </row>
    <row r="609" spans="2:3" ht="24" customHeight="1" x14ac:dyDescent="0.3">
      <c r="B609" s="43">
        <v>25.1260844</v>
      </c>
      <c r="C609" s="32">
        <v>109.63753015</v>
      </c>
    </row>
    <row r="610" spans="2:3" ht="24" customHeight="1" x14ac:dyDescent="0.3">
      <c r="B610" s="43">
        <v>25.135129859999999</v>
      </c>
      <c r="C610" s="32">
        <v>116.49945965000001</v>
      </c>
    </row>
    <row r="611" spans="2:3" ht="24" customHeight="1" x14ac:dyDescent="0.3">
      <c r="B611" s="43">
        <v>25.204389590000002</v>
      </c>
      <c r="C611" s="32">
        <v>76.306457099999989</v>
      </c>
    </row>
    <row r="612" spans="2:3" ht="24" customHeight="1" x14ac:dyDescent="0.3">
      <c r="B612" s="43">
        <v>25.281597390000002</v>
      </c>
      <c r="C612" s="32">
        <v>91.355388860000005</v>
      </c>
    </row>
    <row r="613" spans="2:3" ht="24" customHeight="1" x14ac:dyDescent="0.3">
      <c r="B613" s="43">
        <v>25.295941549999998</v>
      </c>
      <c r="C613" s="32">
        <v>82.772470830000003</v>
      </c>
    </row>
    <row r="614" spans="2:3" ht="24" customHeight="1" x14ac:dyDescent="0.3">
      <c r="B614" s="43">
        <v>25.362551929999999</v>
      </c>
      <c r="C614" s="32">
        <v>75.740681019999997</v>
      </c>
    </row>
    <row r="615" spans="2:3" ht="24" customHeight="1" x14ac:dyDescent="0.3">
      <c r="B615" s="43">
        <v>25.784318160000002</v>
      </c>
      <c r="C615" s="32">
        <v>107.79665023</v>
      </c>
    </row>
    <row r="616" spans="2:3" ht="24" customHeight="1" x14ac:dyDescent="0.3">
      <c r="B616" s="43">
        <v>25.87322077</v>
      </c>
      <c r="C616" s="32">
        <v>72.274247320000001</v>
      </c>
    </row>
    <row r="617" spans="2:3" ht="24" customHeight="1" x14ac:dyDescent="0.3">
      <c r="B617" s="43">
        <v>25.893506469999998</v>
      </c>
      <c r="C617" s="32">
        <v>74.060045070000001</v>
      </c>
    </row>
    <row r="618" spans="2:3" ht="24" customHeight="1" x14ac:dyDescent="0.3">
      <c r="B618" s="43">
        <v>26.076155830000001</v>
      </c>
      <c r="C618" s="32">
        <v>83.780434110000002</v>
      </c>
    </row>
    <row r="619" spans="2:3" ht="24" customHeight="1" x14ac:dyDescent="0.3">
      <c r="B619" s="43">
        <v>26.131525960000001</v>
      </c>
      <c r="C619" s="32">
        <v>113.01963485</v>
      </c>
    </row>
    <row r="620" spans="2:3" ht="24" customHeight="1" x14ac:dyDescent="0.3">
      <c r="B620" s="43">
        <v>26.3774935</v>
      </c>
      <c r="C620" s="32">
        <v>66.90978647</v>
      </c>
    </row>
    <row r="621" spans="2:3" ht="24" customHeight="1" x14ac:dyDescent="0.3">
      <c r="B621" s="43">
        <v>26.438805179999999</v>
      </c>
      <c r="C621" s="32">
        <v>124.21168492999999</v>
      </c>
    </row>
    <row r="622" spans="2:3" ht="24" customHeight="1" x14ac:dyDescent="0.3">
      <c r="B622" s="43">
        <v>26.461740240000001</v>
      </c>
      <c r="C622" s="32">
        <v>111.67359278000001</v>
      </c>
    </row>
    <row r="623" spans="2:3" ht="24" customHeight="1" x14ac:dyDescent="0.3">
      <c r="B623" s="43">
        <v>26.545344140000001</v>
      </c>
      <c r="C623" s="32">
        <v>83.998946060000009</v>
      </c>
    </row>
    <row r="624" spans="2:3" ht="24" customHeight="1" x14ac:dyDescent="0.3">
      <c r="B624" s="43">
        <v>26.560785689999999</v>
      </c>
      <c r="C624" s="32">
        <v>89.956844360000005</v>
      </c>
    </row>
    <row r="625" spans="2:3" ht="24" customHeight="1" x14ac:dyDescent="0.3">
      <c r="B625" s="43">
        <v>26.564532440000001</v>
      </c>
      <c r="C625" s="32">
        <v>72.782413289999994</v>
      </c>
    </row>
    <row r="626" spans="2:3" ht="24" customHeight="1" x14ac:dyDescent="0.3">
      <c r="B626" s="43">
        <v>26.605558420000001</v>
      </c>
      <c r="C626" s="32">
        <v>70.349463220000004</v>
      </c>
    </row>
    <row r="627" spans="2:3" ht="24" customHeight="1" x14ac:dyDescent="0.3">
      <c r="B627" s="43">
        <v>26.63689609</v>
      </c>
      <c r="C627" s="32">
        <v>96.460567679999997</v>
      </c>
    </row>
    <row r="628" spans="2:3" ht="24" customHeight="1" x14ac:dyDescent="0.3">
      <c r="B628" s="43">
        <v>27.010785689999999</v>
      </c>
      <c r="C628" s="32">
        <v>146.17062190999999</v>
      </c>
    </row>
    <row r="629" spans="2:3" ht="24" customHeight="1" x14ac:dyDescent="0.3">
      <c r="B629" s="43">
        <v>27.035272710000001</v>
      </c>
      <c r="C629" s="32">
        <v>120.47010437</v>
      </c>
    </row>
    <row r="630" spans="2:3" ht="24" customHeight="1" x14ac:dyDescent="0.3">
      <c r="B630" s="43">
        <v>27.109831150000002</v>
      </c>
      <c r="C630" s="32">
        <v>116.60233891999999</v>
      </c>
    </row>
    <row r="631" spans="2:3" ht="24" customHeight="1" x14ac:dyDescent="0.3">
      <c r="B631" s="43">
        <v>27.12947402</v>
      </c>
      <c r="C631" s="32">
        <v>67.172192530000004</v>
      </c>
    </row>
    <row r="632" spans="2:3" ht="24" customHeight="1" x14ac:dyDescent="0.3">
      <c r="B632" s="43">
        <v>27.199831150000001</v>
      </c>
      <c r="C632" s="32">
        <v>69.030119900000003</v>
      </c>
    </row>
    <row r="633" spans="2:3" ht="24" customHeight="1" x14ac:dyDescent="0.3">
      <c r="B633" s="43">
        <v>27.2796883</v>
      </c>
      <c r="C633" s="32">
        <v>124.59405375</v>
      </c>
    </row>
    <row r="634" spans="2:3" ht="24" customHeight="1" x14ac:dyDescent="0.3">
      <c r="B634" s="43">
        <v>27.44269478</v>
      </c>
      <c r="C634" s="32">
        <v>70.070395779999998</v>
      </c>
    </row>
    <row r="635" spans="2:3" ht="24" customHeight="1" x14ac:dyDescent="0.3">
      <c r="B635" s="43">
        <v>27.494318159999999</v>
      </c>
      <c r="C635" s="32">
        <v>88.094066789999999</v>
      </c>
    </row>
    <row r="636" spans="2:3" ht="24" customHeight="1" x14ac:dyDescent="0.3">
      <c r="B636" s="43">
        <v>27.659973999999998</v>
      </c>
      <c r="C636" s="32">
        <v>147.63480150999999</v>
      </c>
    </row>
    <row r="637" spans="2:3" ht="24" customHeight="1" x14ac:dyDescent="0.3">
      <c r="B637" s="43">
        <v>27.86446102</v>
      </c>
      <c r="C637" s="32">
        <v>110.07890352000001</v>
      </c>
    </row>
    <row r="638" spans="2:3" ht="24" customHeight="1" x14ac:dyDescent="0.3">
      <c r="B638" s="43">
        <v>28.135558419999999</v>
      </c>
      <c r="C638" s="32">
        <v>139.53814409</v>
      </c>
    </row>
    <row r="639" spans="2:3" ht="24" customHeight="1" x14ac:dyDescent="0.3">
      <c r="B639" s="43">
        <v>28.297922060000001</v>
      </c>
      <c r="C639" s="32">
        <v>106.25239056000001</v>
      </c>
    </row>
    <row r="640" spans="2:3" ht="24" customHeight="1" x14ac:dyDescent="0.3">
      <c r="B640" s="43">
        <v>28.407564929999999</v>
      </c>
      <c r="C640" s="32">
        <v>69.846499120000004</v>
      </c>
    </row>
    <row r="641" spans="2:3" ht="24" customHeight="1" x14ac:dyDescent="0.3">
      <c r="B641" s="43">
        <v>28.45078569</v>
      </c>
      <c r="C641" s="32">
        <v>148.82124443000001</v>
      </c>
    </row>
    <row r="642" spans="2:3" ht="24" customHeight="1" x14ac:dyDescent="0.3">
      <c r="B642" s="43">
        <v>28.45343505</v>
      </c>
      <c r="C642" s="32">
        <v>93.948163800000003</v>
      </c>
    </row>
    <row r="643" spans="2:3" ht="24" customHeight="1" x14ac:dyDescent="0.3">
      <c r="B643" s="43">
        <v>28.465129860000001</v>
      </c>
      <c r="C643" s="32">
        <v>80.37514754</v>
      </c>
    </row>
    <row r="644" spans="2:3" ht="24" customHeight="1" x14ac:dyDescent="0.3">
      <c r="B644" s="43">
        <v>28.477922060000001</v>
      </c>
      <c r="C644" s="32">
        <v>87.226279579999996</v>
      </c>
    </row>
    <row r="645" spans="2:3" ht="24" customHeight="1" x14ac:dyDescent="0.3">
      <c r="B645" s="43">
        <v>28.479474020000001</v>
      </c>
      <c r="C645" s="32">
        <v>85.560116170000001</v>
      </c>
    </row>
    <row r="646" spans="2:3" ht="24" customHeight="1" x14ac:dyDescent="0.3">
      <c r="B646" s="43">
        <v>28.704701289999999</v>
      </c>
      <c r="C646" s="32">
        <v>72.89581896</v>
      </c>
    </row>
    <row r="647" spans="2:3" ht="24" customHeight="1" x14ac:dyDescent="0.3">
      <c r="B647" s="43">
        <v>28.8235779</v>
      </c>
      <c r="C647" s="32">
        <v>95.071466430000001</v>
      </c>
    </row>
    <row r="648" spans="2:3" ht="24" customHeight="1" x14ac:dyDescent="0.3">
      <c r="B648" s="43">
        <v>28.867253219999998</v>
      </c>
      <c r="C648" s="32">
        <v>93.474432699999994</v>
      </c>
    </row>
    <row r="649" spans="2:3" ht="24" customHeight="1" x14ac:dyDescent="0.3">
      <c r="B649" s="43">
        <v>29.186227250000002</v>
      </c>
      <c r="C649" s="32">
        <v>136.37402813</v>
      </c>
    </row>
    <row r="650" spans="2:3" ht="24" customHeight="1" x14ac:dyDescent="0.3">
      <c r="B650" s="43">
        <v>29.260785689999999</v>
      </c>
      <c r="C650" s="32">
        <v>125.25599081000001</v>
      </c>
    </row>
    <row r="651" spans="2:3" ht="24" customHeight="1" x14ac:dyDescent="0.3">
      <c r="B651" s="43">
        <v>29.717181799999999</v>
      </c>
      <c r="C651" s="32">
        <v>113.02368602999999</v>
      </c>
    </row>
    <row r="652" spans="2:3" ht="24" customHeight="1" x14ac:dyDescent="0.3">
      <c r="B652" s="43">
        <v>29.750259710000002</v>
      </c>
      <c r="C652" s="32">
        <v>73.060833689999995</v>
      </c>
    </row>
    <row r="653" spans="2:3" ht="24" customHeight="1" x14ac:dyDescent="0.3">
      <c r="B653" s="43">
        <v>30.03990258</v>
      </c>
      <c r="C653" s="32">
        <v>98.664860309999995</v>
      </c>
    </row>
    <row r="654" spans="2:3" ht="24" customHeight="1" x14ac:dyDescent="0.3">
      <c r="B654" s="43">
        <v>30.100571410000001</v>
      </c>
      <c r="C654" s="32">
        <v>70.058273069999998</v>
      </c>
    </row>
    <row r="655" spans="2:3" ht="24" customHeight="1" x14ac:dyDescent="0.3">
      <c r="B655" s="43">
        <v>30.19057141</v>
      </c>
      <c r="C655" s="32">
        <v>153.56504398000001</v>
      </c>
    </row>
    <row r="656" spans="2:3" ht="24" customHeight="1" x14ac:dyDescent="0.3">
      <c r="B656" s="43">
        <v>30.563818179999998</v>
      </c>
      <c r="C656" s="32">
        <v>72.325556710000001</v>
      </c>
    </row>
    <row r="657" spans="2:3" ht="24" customHeight="1" x14ac:dyDescent="0.3">
      <c r="B657" s="43">
        <v>30.694844150000002</v>
      </c>
      <c r="C657" s="32">
        <v>69.484688809999994</v>
      </c>
    </row>
    <row r="658" spans="2:3" ht="24" customHeight="1" x14ac:dyDescent="0.3">
      <c r="B658" s="43">
        <v>30.73696752</v>
      </c>
      <c r="C658" s="32">
        <v>86.277476800000002</v>
      </c>
    </row>
    <row r="659" spans="2:3" ht="24" customHeight="1" x14ac:dyDescent="0.3">
      <c r="B659" s="43">
        <v>30.821668809999998</v>
      </c>
      <c r="C659" s="32">
        <v>135.88780367999999</v>
      </c>
    </row>
    <row r="660" spans="2:3" ht="24" customHeight="1" x14ac:dyDescent="0.3">
      <c r="B660" s="43">
        <v>31.11944802</v>
      </c>
      <c r="C660" s="32">
        <v>73.013831740000001</v>
      </c>
    </row>
    <row r="661" spans="2:3" ht="24" customHeight="1" x14ac:dyDescent="0.3">
      <c r="B661" s="43">
        <v>31.468207769999999</v>
      </c>
      <c r="C661" s="32">
        <v>124.85240463</v>
      </c>
    </row>
    <row r="662" spans="2:3" ht="24" customHeight="1" x14ac:dyDescent="0.3">
      <c r="B662" s="43">
        <v>31.554461020000002</v>
      </c>
      <c r="C662" s="32">
        <v>92.762500720000006</v>
      </c>
    </row>
    <row r="663" spans="2:3" ht="24" customHeight="1" x14ac:dyDescent="0.3">
      <c r="B663" s="43">
        <v>31.860188279999999</v>
      </c>
      <c r="C663" s="32">
        <v>133.21472595</v>
      </c>
    </row>
    <row r="664" spans="2:3" ht="24" customHeight="1" x14ac:dyDescent="0.3">
      <c r="B664" s="43">
        <v>32.042837640000002</v>
      </c>
      <c r="C664" s="32">
        <v>100.61595270000001</v>
      </c>
    </row>
    <row r="665" spans="2:3" ht="24" customHeight="1" x14ac:dyDescent="0.3">
      <c r="B665" s="43">
        <v>32.151383099999997</v>
      </c>
      <c r="C665" s="32">
        <v>74.813426620000001</v>
      </c>
    </row>
    <row r="666" spans="2:3" ht="24" customHeight="1" x14ac:dyDescent="0.3">
      <c r="B666" s="43">
        <v>32.339973999999998</v>
      </c>
      <c r="C666" s="32">
        <v>93.173548110000013</v>
      </c>
    </row>
    <row r="667" spans="2:3" ht="24" customHeight="1" x14ac:dyDescent="0.3">
      <c r="B667" s="43">
        <v>32.540714270000002</v>
      </c>
      <c r="C667" s="32">
        <v>69.139255730000002</v>
      </c>
    </row>
    <row r="668" spans="2:3" ht="24" customHeight="1" x14ac:dyDescent="0.3">
      <c r="B668" s="43">
        <v>32.701071399999996</v>
      </c>
      <c r="C668" s="32">
        <v>123.17111606</v>
      </c>
    </row>
    <row r="669" spans="2:3" ht="24" customHeight="1" x14ac:dyDescent="0.3">
      <c r="B669" s="43">
        <v>32.784675300000004</v>
      </c>
      <c r="C669" s="32">
        <v>121.90784458</v>
      </c>
    </row>
    <row r="670" spans="2:3" ht="24" customHeight="1" x14ac:dyDescent="0.3">
      <c r="B670" s="43">
        <v>32.859233740000001</v>
      </c>
      <c r="C670" s="32">
        <v>119.92319071</v>
      </c>
    </row>
    <row r="671" spans="2:3" ht="24" customHeight="1" x14ac:dyDescent="0.3">
      <c r="B671" s="43">
        <v>32.957636350000001</v>
      </c>
      <c r="C671" s="32">
        <v>72.062094000000002</v>
      </c>
    </row>
    <row r="672" spans="2:3" ht="24" customHeight="1" x14ac:dyDescent="0.3">
      <c r="B672" s="43">
        <v>32.970428560000002</v>
      </c>
      <c r="C672" s="32">
        <v>79.251861199999993</v>
      </c>
    </row>
    <row r="673" spans="2:3" ht="24" customHeight="1" x14ac:dyDescent="0.3">
      <c r="B673" s="43">
        <v>33.121740240000001</v>
      </c>
      <c r="C673" s="32">
        <v>72.625233350000002</v>
      </c>
    </row>
    <row r="674" spans="2:3" ht="24" customHeight="1" x14ac:dyDescent="0.3">
      <c r="B674" s="43">
        <v>33.230928550000002</v>
      </c>
      <c r="C674" s="32">
        <v>145.37358405999998</v>
      </c>
    </row>
    <row r="675" spans="2:3" ht="24" customHeight="1" x14ac:dyDescent="0.3">
      <c r="B675" s="43">
        <v>33.35820777</v>
      </c>
      <c r="C675" s="32">
        <v>152.51195902000001</v>
      </c>
    </row>
    <row r="676" spans="2:3" ht="24" customHeight="1" x14ac:dyDescent="0.3">
      <c r="B676" s="43">
        <v>33.458350619999997</v>
      </c>
      <c r="C676" s="32">
        <v>107.92354429</v>
      </c>
    </row>
    <row r="677" spans="2:3" ht="24" customHeight="1" x14ac:dyDescent="0.3">
      <c r="B677" s="43">
        <v>33.602623360000003</v>
      </c>
      <c r="C677" s="32">
        <v>74.996295380000007</v>
      </c>
    </row>
    <row r="678" spans="2:3" ht="24" customHeight="1" x14ac:dyDescent="0.3">
      <c r="B678" s="43">
        <v>34.190045429999998</v>
      </c>
      <c r="C678" s="32">
        <v>110.24011073</v>
      </c>
    </row>
    <row r="679" spans="2:3" ht="24" customHeight="1" x14ac:dyDescent="0.3">
      <c r="B679" s="43">
        <v>34.191597389999998</v>
      </c>
      <c r="C679" s="32">
        <v>79.941967129999995</v>
      </c>
    </row>
    <row r="680" spans="2:3" ht="24" customHeight="1" x14ac:dyDescent="0.3">
      <c r="B680" s="43">
        <v>34.312935060000001</v>
      </c>
      <c r="C680" s="32">
        <v>70.566587690000006</v>
      </c>
    </row>
    <row r="681" spans="2:3" ht="24" customHeight="1" x14ac:dyDescent="0.3">
      <c r="B681" s="43">
        <v>34.36785063</v>
      </c>
      <c r="C681" s="32">
        <v>134.34821488</v>
      </c>
    </row>
    <row r="682" spans="2:3" ht="24" customHeight="1" x14ac:dyDescent="0.3">
      <c r="B682" s="43">
        <v>34.604318159999998</v>
      </c>
      <c r="C682" s="32">
        <v>89.892211199999991</v>
      </c>
    </row>
    <row r="683" spans="2:3" ht="24" customHeight="1" x14ac:dyDescent="0.3">
      <c r="B683" s="43">
        <v>34.925032430000002</v>
      </c>
      <c r="C683" s="32">
        <v>80.902325579999996</v>
      </c>
    </row>
    <row r="684" spans="2:3" ht="24" customHeight="1" x14ac:dyDescent="0.3">
      <c r="B684" s="43">
        <v>34.956370110000002</v>
      </c>
      <c r="C684" s="32">
        <v>139.98813303</v>
      </c>
    </row>
    <row r="685" spans="2:3" ht="24" customHeight="1" x14ac:dyDescent="0.3">
      <c r="B685" s="43">
        <v>35.239162309999998</v>
      </c>
      <c r="C685" s="32">
        <v>78.862425610000003</v>
      </c>
    </row>
    <row r="686" spans="2:3" ht="24" customHeight="1" x14ac:dyDescent="0.3">
      <c r="B686" s="43">
        <v>35.571383099999998</v>
      </c>
      <c r="C686" s="32">
        <v>75.339812780000003</v>
      </c>
    </row>
    <row r="687" spans="2:3" ht="24" customHeight="1" x14ac:dyDescent="0.3">
      <c r="B687" s="43">
        <v>35.741883090000002</v>
      </c>
      <c r="C687" s="32">
        <v>115.3689464</v>
      </c>
    </row>
    <row r="688" spans="2:3" ht="24" customHeight="1" x14ac:dyDescent="0.3">
      <c r="B688" s="43">
        <v>35.947467500000002</v>
      </c>
      <c r="C688" s="32">
        <v>151.66615544000001</v>
      </c>
    </row>
    <row r="689" spans="2:3" ht="24" customHeight="1" x14ac:dyDescent="0.3">
      <c r="B689" s="43">
        <v>36.029331159999998</v>
      </c>
      <c r="C689" s="32">
        <v>70.287938749999995</v>
      </c>
    </row>
    <row r="690" spans="2:3" ht="24" customHeight="1" x14ac:dyDescent="0.3">
      <c r="B690" s="43">
        <v>36.055558419999997</v>
      </c>
      <c r="C690" s="32">
        <v>70.670626600000006</v>
      </c>
    </row>
    <row r="691" spans="2:3" ht="24" customHeight="1" x14ac:dyDescent="0.3">
      <c r="B691" s="43">
        <v>36.141811670000003</v>
      </c>
      <c r="C691" s="32">
        <v>79.318879010000003</v>
      </c>
    </row>
    <row r="692" spans="2:3" ht="24" customHeight="1" x14ac:dyDescent="0.3">
      <c r="B692" s="43">
        <v>36.15835062</v>
      </c>
      <c r="C692" s="32">
        <v>94.185179330000011</v>
      </c>
    </row>
    <row r="693" spans="2:3" ht="24" customHeight="1" x14ac:dyDescent="0.3">
      <c r="B693" s="43">
        <v>36.319162310000003</v>
      </c>
      <c r="C693" s="32">
        <v>98.395545170000005</v>
      </c>
    </row>
    <row r="694" spans="2:3" ht="24" customHeight="1" x14ac:dyDescent="0.3">
      <c r="B694" s="43">
        <v>36.333961029999998</v>
      </c>
      <c r="C694" s="32">
        <v>70.997967950000003</v>
      </c>
    </row>
    <row r="695" spans="2:3" ht="24" customHeight="1" x14ac:dyDescent="0.3">
      <c r="B695" s="43">
        <v>36.796753240000001</v>
      </c>
      <c r="C695" s="32">
        <v>74.443689399999997</v>
      </c>
    </row>
    <row r="696" spans="2:3" ht="24" customHeight="1" x14ac:dyDescent="0.3">
      <c r="B696" s="43">
        <v>37.306512959999999</v>
      </c>
      <c r="C696" s="32">
        <v>76.093155120000006</v>
      </c>
    </row>
    <row r="697" spans="2:3" ht="24" customHeight="1" x14ac:dyDescent="0.3">
      <c r="B697" s="43">
        <v>37.54233765</v>
      </c>
      <c r="C697" s="32">
        <v>74.187173779999995</v>
      </c>
    </row>
    <row r="698" spans="2:3" ht="24" customHeight="1" x14ac:dyDescent="0.3">
      <c r="B698" s="43">
        <v>37.6371818</v>
      </c>
      <c r="C698" s="32">
        <v>76.955953569999991</v>
      </c>
    </row>
    <row r="699" spans="2:3" ht="24" customHeight="1" x14ac:dyDescent="0.3">
      <c r="B699" s="43">
        <v>37.66121425</v>
      </c>
      <c r="C699" s="32">
        <v>159.80831319999999</v>
      </c>
    </row>
    <row r="700" spans="2:3" ht="24" customHeight="1" x14ac:dyDescent="0.3">
      <c r="B700" s="43">
        <v>37.686155829999997</v>
      </c>
      <c r="C700" s="32">
        <v>82.279089830000004</v>
      </c>
    </row>
    <row r="701" spans="2:3" ht="24" customHeight="1" x14ac:dyDescent="0.3">
      <c r="B701" s="43">
        <v>37.753863610000003</v>
      </c>
      <c r="C701" s="32">
        <v>155.03032915</v>
      </c>
    </row>
    <row r="702" spans="2:3" ht="24" customHeight="1" x14ac:dyDescent="0.3">
      <c r="B702" s="43">
        <v>37.931214249999996</v>
      </c>
      <c r="C702" s="32">
        <v>143.14518562000001</v>
      </c>
    </row>
    <row r="703" spans="2:3" ht="24" customHeight="1" x14ac:dyDescent="0.3">
      <c r="B703" s="43">
        <v>38.073935030000001</v>
      </c>
      <c r="C703" s="32">
        <v>117.34312721000001</v>
      </c>
    </row>
    <row r="704" spans="2:3" ht="24" customHeight="1" x14ac:dyDescent="0.3">
      <c r="B704" s="43">
        <v>38.0935779</v>
      </c>
      <c r="C704" s="32">
        <v>117.12654750999999</v>
      </c>
    </row>
    <row r="705" spans="2:3" ht="24" customHeight="1" x14ac:dyDescent="0.3">
      <c r="B705" s="43">
        <v>38.10637011</v>
      </c>
      <c r="C705" s="32">
        <v>74.45508925</v>
      </c>
    </row>
    <row r="706" spans="2:3" ht="24" customHeight="1" x14ac:dyDescent="0.3">
      <c r="B706" s="43">
        <v>38.270285710000003</v>
      </c>
      <c r="C706" s="32">
        <v>68.969072170000004</v>
      </c>
    </row>
    <row r="707" spans="2:3" ht="24" customHeight="1" x14ac:dyDescent="0.3">
      <c r="B707" s="43">
        <v>38.289019459999999</v>
      </c>
      <c r="C707" s="32">
        <v>94.957801119999999</v>
      </c>
    </row>
    <row r="708" spans="2:3" ht="24" customHeight="1" x14ac:dyDescent="0.3">
      <c r="B708" s="43">
        <v>38.32474672</v>
      </c>
      <c r="C708" s="32">
        <v>98.532483080000006</v>
      </c>
    </row>
    <row r="709" spans="2:3" ht="24" customHeight="1" x14ac:dyDescent="0.3">
      <c r="B709" s="43">
        <v>38.43658439</v>
      </c>
      <c r="C709" s="32">
        <v>113.31337934</v>
      </c>
    </row>
    <row r="710" spans="2:3" ht="24" customHeight="1" x14ac:dyDescent="0.3">
      <c r="B710" s="43">
        <v>38.719831149999997</v>
      </c>
      <c r="C710" s="32">
        <v>71.081314919999997</v>
      </c>
    </row>
    <row r="711" spans="2:3" ht="24" customHeight="1" x14ac:dyDescent="0.3">
      <c r="B711" s="43">
        <v>38.761499960000002</v>
      </c>
      <c r="C711" s="32">
        <v>74.933708980000006</v>
      </c>
    </row>
    <row r="712" spans="2:3" ht="24" customHeight="1" x14ac:dyDescent="0.3">
      <c r="B712" s="43">
        <v>38.826370109999999</v>
      </c>
      <c r="C712" s="32">
        <v>126.41237459999999</v>
      </c>
    </row>
    <row r="713" spans="2:3" ht="24" customHeight="1" x14ac:dyDescent="0.3">
      <c r="B713" s="43">
        <v>38.862097370000001</v>
      </c>
      <c r="C713" s="32">
        <v>99.329046919999996</v>
      </c>
    </row>
    <row r="714" spans="2:3" ht="24" customHeight="1" x14ac:dyDescent="0.3">
      <c r="B714" s="43">
        <v>39.438279199999997</v>
      </c>
      <c r="C714" s="32">
        <v>149.06366656</v>
      </c>
    </row>
    <row r="715" spans="2:3" ht="24" customHeight="1" x14ac:dyDescent="0.3">
      <c r="B715" s="43">
        <v>39.633720750000002</v>
      </c>
      <c r="C715" s="32">
        <v>139.26492729</v>
      </c>
    </row>
    <row r="716" spans="2:3" ht="24" customHeight="1" x14ac:dyDescent="0.3">
      <c r="B716" s="43">
        <v>39.813720750000002</v>
      </c>
      <c r="C716" s="32">
        <v>114.02077532</v>
      </c>
    </row>
    <row r="717" spans="2:3" ht="24" customHeight="1" x14ac:dyDescent="0.3">
      <c r="B717" s="43">
        <v>39.87438959</v>
      </c>
      <c r="C717" s="32">
        <v>149.14044326999999</v>
      </c>
    </row>
    <row r="718" spans="2:3" ht="24" customHeight="1" x14ac:dyDescent="0.3">
      <c r="B718" s="43">
        <v>40.040045429999999</v>
      </c>
      <c r="C718" s="32">
        <v>151.21198193000001</v>
      </c>
    </row>
    <row r="719" spans="2:3" ht="24" customHeight="1" x14ac:dyDescent="0.3">
      <c r="B719" s="43">
        <v>40.374915569999999</v>
      </c>
      <c r="C719" s="32">
        <v>72.718172339999995</v>
      </c>
    </row>
    <row r="720" spans="2:3" ht="24" customHeight="1" x14ac:dyDescent="0.3">
      <c r="B720" s="43">
        <v>40.522935060000002</v>
      </c>
      <c r="C720" s="32">
        <v>75.213359230000009</v>
      </c>
    </row>
    <row r="721" spans="2:3" ht="24" customHeight="1" x14ac:dyDescent="0.3">
      <c r="B721" s="43">
        <v>41.695129860000002</v>
      </c>
      <c r="C721" s="32">
        <v>73.023437110000003</v>
      </c>
    </row>
    <row r="722" spans="2:3" ht="24" customHeight="1" x14ac:dyDescent="0.3">
      <c r="B722" s="43">
        <v>42.164961009999999</v>
      </c>
      <c r="C722" s="32">
        <v>75.126214489999995</v>
      </c>
    </row>
    <row r="723" spans="2:3" ht="24" customHeight="1" x14ac:dyDescent="0.3">
      <c r="B723" s="43">
        <v>42.372097369999999</v>
      </c>
      <c r="C723" s="32">
        <v>80.456939730000002</v>
      </c>
    </row>
    <row r="724" spans="2:3" ht="24" customHeight="1" x14ac:dyDescent="0.3">
      <c r="B724" s="43">
        <v>42.543961029999998</v>
      </c>
      <c r="C724" s="32">
        <v>74.537554669999992</v>
      </c>
    </row>
    <row r="725" spans="2:3" ht="24" customHeight="1" x14ac:dyDescent="0.3">
      <c r="B725" s="43">
        <v>42.706512959999998</v>
      </c>
      <c r="C725" s="32">
        <v>68.80612859</v>
      </c>
    </row>
    <row r="726" spans="2:3" ht="24" customHeight="1" x14ac:dyDescent="0.3">
      <c r="B726" s="43">
        <v>42.832694779999997</v>
      </c>
      <c r="C726" s="32">
        <v>73.161039329999994</v>
      </c>
    </row>
    <row r="727" spans="2:3" ht="24" customHeight="1" x14ac:dyDescent="0.3">
      <c r="B727" s="43">
        <v>43.063409049999997</v>
      </c>
      <c r="C727" s="32">
        <v>120.58400460999999</v>
      </c>
    </row>
    <row r="728" spans="2:3" ht="24" customHeight="1" x14ac:dyDescent="0.3">
      <c r="B728" s="43">
        <v>43.945772699999999</v>
      </c>
      <c r="C728" s="32">
        <v>153.4720848</v>
      </c>
    </row>
    <row r="729" spans="2:3" ht="24" customHeight="1" x14ac:dyDescent="0.3">
      <c r="B729" s="43">
        <v>44.214675300000003</v>
      </c>
      <c r="C729" s="32">
        <v>67.491845210000008</v>
      </c>
    </row>
    <row r="730" spans="2:3" ht="24" customHeight="1" x14ac:dyDescent="0.3">
      <c r="B730" s="43">
        <v>44.234772720000002</v>
      </c>
      <c r="C730" s="32">
        <v>73.582417399999997</v>
      </c>
    </row>
    <row r="731" spans="2:3" ht="24" customHeight="1" x14ac:dyDescent="0.3">
      <c r="B731" s="43">
        <v>45.982051939999998</v>
      </c>
      <c r="C731" s="32">
        <v>72.658671909999995</v>
      </c>
    </row>
    <row r="732" spans="2:3" ht="24" customHeight="1" x14ac:dyDescent="0.3">
      <c r="B732" s="43">
        <v>46.075344139999999</v>
      </c>
      <c r="C732" s="32">
        <v>84.271642749999998</v>
      </c>
    </row>
    <row r="733" spans="2:3" ht="24" customHeight="1" x14ac:dyDescent="0.3">
      <c r="B733" s="43">
        <v>46.345986979999999</v>
      </c>
      <c r="C733" s="32">
        <v>155.77072698000001</v>
      </c>
    </row>
    <row r="734" spans="2:3" ht="24" customHeight="1" x14ac:dyDescent="0.3">
      <c r="B734" s="43">
        <v>47.161285679999999</v>
      </c>
      <c r="C734" s="32">
        <v>144.67166929999999</v>
      </c>
    </row>
    <row r="735" spans="2:3" ht="24" customHeight="1" x14ac:dyDescent="0.3">
      <c r="B735" s="43">
        <v>47.240499990000004</v>
      </c>
      <c r="C735" s="32">
        <v>78.41297917</v>
      </c>
    </row>
    <row r="736" spans="2:3" ht="24" customHeight="1" x14ac:dyDescent="0.3">
      <c r="B736" s="43">
        <v>47.356727239999998</v>
      </c>
      <c r="C736" s="32">
        <v>138.81322052000002</v>
      </c>
    </row>
    <row r="737" spans="2:3" ht="24" customHeight="1" x14ac:dyDescent="0.3">
      <c r="B737" s="43">
        <v>47.845746699999999</v>
      </c>
      <c r="C737" s="32">
        <v>75.693922079999993</v>
      </c>
    </row>
    <row r="738" spans="2:3" ht="24" customHeight="1" x14ac:dyDescent="0.3">
      <c r="B738" s="43">
        <v>47.972194799999997</v>
      </c>
      <c r="C738" s="32">
        <v>72.542188039999999</v>
      </c>
    </row>
    <row r="739" spans="2:3" ht="24" customHeight="1" x14ac:dyDescent="0.3">
      <c r="B739" s="43">
        <v>48.309448019999998</v>
      </c>
      <c r="C739" s="32">
        <v>157.98961197</v>
      </c>
    </row>
    <row r="740" spans="2:3" ht="24" customHeight="1" x14ac:dyDescent="0.3">
      <c r="B740" s="43">
        <v>48.550116860000003</v>
      </c>
      <c r="C740" s="32">
        <v>95.014102410000007</v>
      </c>
    </row>
    <row r="741" spans="2:3" ht="24" customHeight="1" x14ac:dyDescent="0.3">
      <c r="B741" s="43">
        <v>48.783480480000001</v>
      </c>
      <c r="C741" s="32">
        <v>76.010196280000002</v>
      </c>
    </row>
    <row r="742" spans="2:3" ht="24" customHeight="1" x14ac:dyDescent="0.3">
      <c r="B742" s="43">
        <v>48.834006459999998</v>
      </c>
      <c r="C742" s="32">
        <v>117.10571738000002</v>
      </c>
    </row>
    <row r="743" spans="2:3" ht="24" customHeight="1" x14ac:dyDescent="0.3">
      <c r="B743" s="43">
        <v>49.42298049</v>
      </c>
      <c r="C743" s="32">
        <v>116.16462316</v>
      </c>
    </row>
    <row r="744" spans="2:3" ht="24" customHeight="1" x14ac:dyDescent="0.3">
      <c r="B744" s="43">
        <v>50.163077909999998</v>
      </c>
      <c r="C744" s="32">
        <v>71.37974675000001</v>
      </c>
    </row>
    <row r="745" spans="2:3" ht="24" customHeight="1" x14ac:dyDescent="0.3">
      <c r="B745" s="43">
        <v>50.239831150000001</v>
      </c>
      <c r="C745" s="32">
        <v>73.479034740000003</v>
      </c>
    </row>
    <row r="746" spans="2:3" ht="24" customHeight="1" x14ac:dyDescent="0.3">
      <c r="B746" s="43">
        <v>50.240473989999998</v>
      </c>
      <c r="C746" s="32">
        <v>146.93126482</v>
      </c>
    </row>
    <row r="747" spans="2:3" ht="24" customHeight="1" x14ac:dyDescent="0.3">
      <c r="B747" s="43">
        <v>50.583480479999999</v>
      </c>
      <c r="C747" s="32">
        <v>119.17147197</v>
      </c>
    </row>
    <row r="748" spans="2:3" ht="24" customHeight="1" x14ac:dyDescent="0.3">
      <c r="B748" s="43">
        <v>50.599376589999999</v>
      </c>
      <c r="C748" s="32">
        <v>116.97479333000001</v>
      </c>
    </row>
    <row r="749" spans="2:3" ht="24" customHeight="1" x14ac:dyDescent="0.3">
      <c r="B749" s="43">
        <v>51.841285679999999</v>
      </c>
      <c r="C749" s="32">
        <v>139.06750127999999</v>
      </c>
    </row>
    <row r="750" spans="2:3" ht="24" customHeight="1" x14ac:dyDescent="0.3">
      <c r="B750" s="43">
        <v>51.914292170000003</v>
      </c>
      <c r="C750" s="32">
        <v>83.558503260000009</v>
      </c>
    </row>
    <row r="751" spans="2:3" ht="24" customHeight="1" x14ac:dyDescent="0.3">
      <c r="B751" s="43">
        <v>52.005844119999999</v>
      </c>
      <c r="C751" s="32">
        <v>69.574620019999998</v>
      </c>
    </row>
    <row r="752" spans="2:3" ht="24" customHeight="1" x14ac:dyDescent="0.3">
      <c r="B752" s="43">
        <v>52.564844149999999</v>
      </c>
      <c r="C752" s="32">
        <v>77.996648780000001</v>
      </c>
    </row>
    <row r="753" spans="2:3" ht="24" customHeight="1" x14ac:dyDescent="0.3">
      <c r="B753" s="43">
        <v>52.640499990000002</v>
      </c>
      <c r="C753" s="32">
        <v>77.787251160000011</v>
      </c>
    </row>
    <row r="754" spans="2:3" ht="24" customHeight="1" x14ac:dyDescent="0.3">
      <c r="B754" s="43">
        <v>53.012837640000001</v>
      </c>
      <c r="C754" s="32">
        <v>70.914072500000003</v>
      </c>
    </row>
    <row r="755" spans="2:3" ht="24" customHeight="1" x14ac:dyDescent="0.3">
      <c r="B755" s="43">
        <v>53.53584412</v>
      </c>
      <c r="C755" s="32">
        <v>78.393533819999988</v>
      </c>
    </row>
    <row r="756" spans="2:3" ht="24" customHeight="1" x14ac:dyDescent="0.3">
      <c r="B756" s="43">
        <v>53.61789606</v>
      </c>
      <c r="C756" s="32">
        <v>119.14919162</v>
      </c>
    </row>
    <row r="757" spans="2:3" ht="24" customHeight="1" x14ac:dyDescent="0.3">
      <c r="B757" s="43">
        <v>54.28763635</v>
      </c>
      <c r="C757" s="32">
        <v>77.027279870000001</v>
      </c>
    </row>
    <row r="758" spans="2:3" ht="24" customHeight="1" x14ac:dyDescent="0.3">
      <c r="B758" s="43">
        <v>55.877396079999997</v>
      </c>
      <c r="C758" s="32">
        <v>78.274948609999996</v>
      </c>
    </row>
    <row r="759" spans="2:3" ht="24" customHeight="1" x14ac:dyDescent="0.3">
      <c r="B759" s="43">
        <v>56.00687009</v>
      </c>
      <c r="C759" s="32">
        <v>147.83975101999999</v>
      </c>
    </row>
    <row r="760" spans="2:3" ht="24" customHeight="1" x14ac:dyDescent="0.3">
      <c r="B760" s="43">
        <v>56.202123370000002</v>
      </c>
      <c r="C760" s="32">
        <v>75.798734660000008</v>
      </c>
    </row>
    <row r="761" spans="2:3" ht="24" customHeight="1" x14ac:dyDescent="0.3">
      <c r="B761" s="43">
        <v>56.866941519999997</v>
      </c>
      <c r="C761" s="32">
        <v>157.75895112000001</v>
      </c>
    </row>
    <row r="762" spans="2:3" ht="24" customHeight="1" x14ac:dyDescent="0.3">
      <c r="B762" s="43">
        <v>57.697227230000003</v>
      </c>
      <c r="C762" s="32">
        <v>72.113787790000003</v>
      </c>
    </row>
    <row r="763" spans="2:3" ht="24" customHeight="1" x14ac:dyDescent="0.3">
      <c r="B763" s="43">
        <v>57.912123370000003</v>
      </c>
      <c r="C763" s="32">
        <v>75.217125280000005</v>
      </c>
    </row>
    <row r="764" spans="2:3" ht="24" customHeight="1" x14ac:dyDescent="0.3">
      <c r="B764" s="43">
        <v>58.254220740000001</v>
      </c>
      <c r="C764" s="32">
        <v>124.60548522000001</v>
      </c>
    </row>
    <row r="765" spans="2:3" ht="24" customHeight="1" x14ac:dyDescent="0.3">
      <c r="B765" s="43">
        <v>59.790428560000002</v>
      </c>
      <c r="C765" s="32">
        <v>74.704732280000002</v>
      </c>
    </row>
    <row r="766" spans="2:3" ht="24" customHeight="1" x14ac:dyDescent="0.3">
      <c r="B766" s="43">
        <v>60.615603849999999</v>
      </c>
      <c r="C766" s="32">
        <v>151.06951280999999</v>
      </c>
    </row>
    <row r="767" spans="2:3" ht="24" customHeight="1" x14ac:dyDescent="0.3">
      <c r="B767" s="43">
        <v>61.661428530000002</v>
      </c>
      <c r="C767" s="32">
        <v>142.67291482000002</v>
      </c>
    </row>
    <row r="768" spans="2:3" ht="24" customHeight="1" x14ac:dyDescent="0.3">
      <c r="B768" s="43">
        <v>61.67796749</v>
      </c>
      <c r="C768" s="32">
        <v>107.33924703</v>
      </c>
    </row>
    <row r="769" spans="2:3" ht="24" customHeight="1" x14ac:dyDescent="0.3">
      <c r="B769" s="43">
        <v>62.76345448</v>
      </c>
      <c r="C769" s="32">
        <v>73.11305630999999</v>
      </c>
    </row>
    <row r="770" spans="2:3" ht="24" customHeight="1" x14ac:dyDescent="0.3">
      <c r="B770" s="43">
        <v>63.560019429999997</v>
      </c>
      <c r="C770" s="32">
        <v>153.49312716</v>
      </c>
    </row>
    <row r="771" spans="2:3" ht="24" customHeight="1" x14ac:dyDescent="0.3">
      <c r="B771" s="43">
        <v>66.107155800000001</v>
      </c>
      <c r="C771" s="32">
        <v>127.29462344000001</v>
      </c>
    </row>
    <row r="772" spans="2:3" ht="24" customHeight="1" x14ac:dyDescent="0.3">
      <c r="B772" s="43">
        <v>69.378038919999995</v>
      </c>
      <c r="C772" s="32">
        <v>71.528224840000007</v>
      </c>
    </row>
    <row r="773" spans="2:3" ht="24" customHeight="1" x14ac:dyDescent="0.3">
      <c r="B773" s="43">
        <v>74.065077860000002</v>
      </c>
      <c r="C773" s="32">
        <v>72.836172509999997</v>
      </c>
    </row>
    <row r="774" spans="2:3" ht="24" customHeight="1" x14ac:dyDescent="0.3">
      <c r="B774" s="43">
        <v>74.489948010000006</v>
      </c>
      <c r="C774" s="32">
        <v>136.13567577000001</v>
      </c>
    </row>
    <row r="775" spans="2:3" ht="24" customHeight="1" x14ac:dyDescent="0.3">
      <c r="B775" s="43">
        <v>80.729279169999998</v>
      </c>
      <c r="C775" s="32">
        <v>142.70973552999999</v>
      </c>
    </row>
    <row r="776" spans="2:3" ht="24" customHeight="1" x14ac:dyDescent="0.3">
      <c r="B776" s="43">
        <v>121.87820120000001</v>
      </c>
      <c r="C776" s="32">
        <v>160.10394889</v>
      </c>
    </row>
    <row r="777" spans="2:3" ht="24" customHeight="1" x14ac:dyDescent="0.3">
      <c r="B777" s="43">
        <v>144.0144545</v>
      </c>
      <c r="C777" s="32">
        <v>229.58279568999998</v>
      </c>
    </row>
    <row r="778" spans="2:3" ht="24" customHeight="1" x14ac:dyDescent="0.3">
      <c r="B778" s="43">
        <v>150.79862979999999</v>
      </c>
      <c r="C778" s="32">
        <v>231.03113142999999</v>
      </c>
    </row>
    <row r="779" spans="2:3" ht="24" customHeight="1" x14ac:dyDescent="0.3">
      <c r="B779" s="43">
        <v>161.2529739</v>
      </c>
      <c r="C779" s="32">
        <v>229.57157159000002</v>
      </c>
    </row>
    <row r="780" spans="2:3" ht="24" customHeight="1" x14ac:dyDescent="0.3">
      <c r="B780" s="43">
        <v>161.57149340000001</v>
      </c>
      <c r="C780" s="32">
        <v>237.21137981999999</v>
      </c>
    </row>
    <row r="781" spans="2:3" ht="24" customHeight="1" x14ac:dyDescent="0.3">
      <c r="B781" s="43">
        <v>164.58736350000001</v>
      </c>
      <c r="C781" s="32">
        <v>238.31755765000003</v>
      </c>
    </row>
    <row r="782" spans="2:3" ht="24" customHeight="1" x14ac:dyDescent="0.3">
      <c r="B782" s="43">
        <v>169.63375959999999</v>
      </c>
      <c r="C782" s="32">
        <v>242.25739336999999</v>
      </c>
    </row>
    <row r="783" spans="2:3" ht="24" customHeight="1" x14ac:dyDescent="0.3">
      <c r="B783" s="43">
        <v>177.48404529999999</v>
      </c>
      <c r="C783" s="32">
        <v>248.46485275999999</v>
      </c>
    </row>
    <row r="784" spans="2:3" ht="24" customHeight="1" x14ac:dyDescent="0.3">
      <c r="B784" s="43">
        <v>181.26075309999999</v>
      </c>
      <c r="C784" s="32">
        <v>236.58718138</v>
      </c>
    </row>
    <row r="785" spans="2:3" ht="24" customHeight="1" x14ac:dyDescent="0.3">
      <c r="B785" s="43">
        <v>187.46719469999999</v>
      </c>
      <c r="C785" s="32">
        <v>256.68366993000001</v>
      </c>
    </row>
    <row r="786" spans="2:3" ht="24" customHeight="1" x14ac:dyDescent="0.3">
      <c r="B786" s="43">
        <v>190.13256480000001</v>
      </c>
      <c r="C786" s="32">
        <v>256.9076063</v>
      </c>
    </row>
    <row r="787" spans="2:3" ht="24" customHeight="1" x14ac:dyDescent="0.3">
      <c r="B787" s="43">
        <v>199.36108429999999</v>
      </c>
      <c r="C787" s="32">
        <v>266.97743358000002</v>
      </c>
    </row>
    <row r="788" spans="2:3" ht="24" customHeight="1" x14ac:dyDescent="0.3">
      <c r="B788" s="43">
        <v>199.46698040000001</v>
      </c>
      <c r="C788" s="32">
        <v>238.74400179</v>
      </c>
    </row>
    <row r="789" spans="2:3" ht="24" customHeight="1" x14ac:dyDescent="0.3">
      <c r="B789" s="43">
        <v>201.6834479</v>
      </c>
      <c r="C789" s="32">
        <v>243.54527536000001</v>
      </c>
    </row>
    <row r="790" spans="2:3" ht="24" customHeight="1" x14ac:dyDescent="0.3">
      <c r="B790" s="43">
        <v>214.90924659999999</v>
      </c>
      <c r="C790" s="32">
        <v>247.66496583999998</v>
      </c>
    </row>
    <row r="791" spans="2:3" ht="24" customHeight="1" x14ac:dyDescent="0.3">
      <c r="B791" s="43">
        <v>241.82628560000001</v>
      </c>
      <c r="C791" s="32">
        <v>252.03255235</v>
      </c>
    </row>
    <row r="792" spans="2:3" ht="24" customHeight="1" x14ac:dyDescent="0.3">
      <c r="B792" s="43">
        <v>248.4906751</v>
      </c>
      <c r="C792" s="32">
        <v>310.97853011999996</v>
      </c>
    </row>
    <row r="793" spans="2:3" ht="24" customHeight="1" x14ac:dyDescent="0.3">
      <c r="B793" s="43">
        <v>254.7911297</v>
      </c>
      <c r="C793" s="32">
        <v>258.03584940999997</v>
      </c>
    </row>
    <row r="794" spans="2:3" ht="24" customHeight="1" x14ac:dyDescent="0.3">
      <c r="B794" s="43">
        <v>254.990318</v>
      </c>
      <c r="C794" s="32">
        <v>257.39573151000002</v>
      </c>
    </row>
    <row r="795" spans="2:3" ht="24" customHeight="1" x14ac:dyDescent="0.3">
      <c r="B795" s="43">
        <v>267.58237000000003</v>
      </c>
      <c r="C795" s="32">
        <v>260.51544894</v>
      </c>
    </row>
    <row r="796" spans="2:3" ht="24" customHeight="1" x14ac:dyDescent="0.3">
      <c r="B796" s="43">
        <v>271.5615583</v>
      </c>
      <c r="C796" s="32">
        <v>266.27691191000002</v>
      </c>
    </row>
    <row r="797" spans="2:3" ht="24" customHeight="1" x14ac:dyDescent="0.3">
      <c r="B797" s="43">
        <v>282.07191540000002</v>
      </c>
      <c r="C797" s="32">
        <v>267.52245123</v>
      </c>
    </row>
    <row r="798" spans="2:3" ht="24" customHeight="1" x14ac:dyDescent="0.3">
      <c r="B798" s="43">
        <v>288.27396729999998</v>
      </c>
      <c r="C798" s="32">
        <v>268.16949606999998</v>
      </c>
    </row>
    <row r="799" spans="2:3" ht="24" customHeight="1" x14ac:dyDescent="0.3">
      <c r="B799" s="43">
        <v>298.82955179999999</v>
      </c>
      <c r="C799" s="32">
        <v>273.92115548999999</v>
      </c>
    </row>
    <row r="800" spans="2:3" ht="24" customHeight="1" x14ac:dyDescent="0.3">
      <c r="B800" s="43">
        <v>301.72609069999999</v>
      </c>
      <c r="C800" s="32">
        <v>279.14700174000001</v>
      </c>
    </row>
    <row r="801" spans="2:3" ht="24" customHeight="1" x14ac:dyDescent="0.3">
      <c r="B801" s="43">
        <v>304.83881150000002</v>
      </c>
      <c r="C801" s="32">
        <v>272.66684528000002</v>
      </c>
    </row>
    <row r="802" spans="2:3" ht="24" customHeight="1" x14ac:dyDescent="0.3">
      <c r="B802" s="43">
        <v>314.42842839999997</v>
      </c>
      <c r="C802" s="32">
        <v>283.03189014999998</v>
      </c>
    </row>
    <row r="803" spans="2:3" ht="24" customHeight="1" x14ac:dyDescent="0.3">
      <c r="B803" s="43">
        <v>323.5195258</v>
      </c>
      <c r="C803" s="32">
        <v>284.44651446</v>
      </c>
    </row>
    <row r="804" spans="2:3" ht="24" customHeight="1" x14ac:dyDescent="0.3">
      <c r="B804" s="43">
        <v>325.79401280000002</v>
      </c>
      <c r="C804" s="32">
        <v>289.55649470999998</v>
      </c>
    </row>
    <row r="805" spans="2:3" ht="24" customHeight="1" x14ac:dyDescent="0.3">
      <c r="B805" s="43">
        <v>328.63938289999999</v>
      </c>
      <c r="C805" s="32">
        <v>281.68746044</v>
      </c>
    </row>
    <row r="806" spans="2:3" ht="24" customHeight="1" x14ac:dyDescent="0.3">
      <c r="B806" s="43">
        <v>333.13673349999999</v>
      </c>
      <c r="C806" s="32">
        <v>292.69646031000002</v>
      </c>
    </row>
    <row r="807" spans="2:3" ht="24" customHeight="1" x14ac:dyDescent="0.3">
      <c r="B807" s="43">
        <v>333.89401279999998</v>
      </c>
      <c r="C807" s="32">
        <v>272.28819797</v>
      </c>
    </row>
    <row r="808" spans="2:3" ht="24" customHeight="1" thickBot="1" x14ac:dyDescent="0.35">
      <c r="B808" s="49" t="s">
        <v>5</v>
      </c>
      <c r="C808" s="50">
        <v>94.578209343965014</v>
      </c>
    </row>
  </sheetData>
  <mergeCells count="1">
    <mergeCell ref="B3:C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384BB-E20A-4BA0-B9E7-F804FD7695F8}">
  <dimension ref="B3:C17"/>
  <sheetViews>
    <sheetView workbookViewId="0">
      <selection activeCell="B4" sqref="B4:C16"/>
    </sheetView>
  </sheetViews>
  <sheetFormatPr defaultRowHeight="14.4" x14ac:dyDescent="0.3"/>
  <cols>
    <col min="2" max="2" width="22" customWidth="1"/>
    <col min="3" max="3" width="26.6640625" customWidth="1"/>
  </cols>
  <sheetData>
    <row r="3" spans="2:3" ht="15" thickBot="1" x14ac:dyDescent="0.35"/>
    <row r="4" spans="2:3" ht="24" customHeight="1" thickTop="1" x14ac:dyDescent="0.3">
      <c r="B4" s="73" t="s">
        <v>75</v>
      </c>
      <c r="C4" s="82"/>
    </row>
    <row r="5" spans="2:3" ht="24" customHeight="1" x14ac:dyDescent="0.3">
      <c r="B5" s="27" t="s">
        <v>73</v>
      </c>
      <c r="C5" s="24" t="s">
        <v>74</v>
      </c>
    </row>
    <row r="6" spans="2:3" ht="24" customHeight="1" x14ac:dyDescent="0.3">
      <c r="B6" s="29" t="s">
        <v>14</v>
      </c>
      <c r="C6" s="24">
        <v>1</v>
      </c>
    </row>
    <row r="7" spans="2:3" ht="24" customHeight="1" x14ac:dyDescent="0.3">
      <c r="B7" s="29" t="s">
        <v>37</v>
      </c>
      <c r="C7" s="24">
        <v>2</v>
      </c>
    </row>
    <row r="8" spans="2:3" ht="24" customHeight="1" x14ac:dyDescent="0.3">
      <c r="B8" s="29" t="s">
        <v>12</v>
      </c>
      <c r="C8" s="24">
        <v>3</v>
      </c>
    </row>
    <row r="9" spans="2:3" ht="24" customHeight="1" x14ac:dyDescent="0.3">
      <c r="B9" s="29" t="s">
        <v>16</v>
      </c>
      <c r="C9" s="24">
        <v>4</v>
      </c>
    </row>
    <row r="10" spans="2:3" ht="24" customHeight="1" x14ac:dyDescent="0.3">
      <c r="B10" s="29" t="s">
        <v>18</v>
      </c>
      <c r="C10" s="24">
        <v>5</v>
      </c>
    </row>
    <row r="11" spans="2:3" ht="24" customHeight="1" x14ac:dyDescent="0.3">
      <c r="B11" s="29" t="s">
        <v>15</v>
      </c>
      <c r="C11" s="24">
        <v>6</v>
      </c>
    </row>
    <row r="12" spans="2:3" ht="24" customHeight="1" x14ac:dyDescent="0.3">
      <c r="B12" s="29" t="s">
        <v>9</v>
      </c>
      <c r="C12" s="24">
        <v>7</v>
      </c>
    </row>
    <row r="13" spans="2:3" ht="24" customHeight="1" x14ac:dyDescent="0.3">
      <c r="B13" s="29" t="s">
        <v>29</v>
      </c>
      <c r="C13" s="24">
        <v>8</v>
      </c>
    </row>
    <row r="14" spans="2:3" ht="24" customHeight="1" x14ac:dyDescent="0.3">
      <c r="B14" s="29" t="s">
        <v>27</v>
      </c>
      <c r="C14" s="24">
        <v>9</v>
      </c>
    </row>
    <row r="15" spans="2:3" ht="24" customHeight="1" x14ac:dyDescent="0.3">
      <c r="B15" s="29" t="s">
        <v>7</v>
      </c>
      <c r="C15" s="24">
        <v>10</v>
      </c>
    </row>
    <row r="16" spans="2:3" ht="24" customHeight="1" thickBot="1" x14ac:dyDescent="0.35">
      <c r="B16" s="44" t="s">
        <v>5</v>
      </c>
      <c r="C16" s="42"/>
    </row>
    <row r="17" ht="15" thickTop="1" x14ac:dyDescent="0.3"/>
  </sheetData>
  <mergeCells count="1">
    <mergeCell ref="B4:C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F9FB-1810-4953-AA10-9A72AE8C2E70}">
  <dimension ref="B2:C10"/>
  <sheetViews>
    <sheetView workbookViewId="0">
      <selection activeCell="I18" sqref="I18"/>
    </sheetView>
  </sheetViews>
  <sheetFormatPr defaultRowHeight="14.4" x14ac:dyDescent="0.3"/>
  <cols>
    <col min="2" max="2" width="12.88671875" customWidth="1"/>
    <col min="3" max="3" width="33.44140625" customWidth="1"/>
  </cols>
  <sheetData>
    <row r="2" spans="2:3" ht="15" thickBot="1" x14ac:dyDescent="0.35"/>
    <row r="3" spans="2:3" ht="24" customHeight="1" thickTop="1" x14ac:dyDescent="0.3">
      <c r="B3" s="80" t="s">
        <v>79</v>
      </c>
      <c r="C3" s="81"/>
    </row>
    <row r="4" spans="2:3" ht="24" customHeight="1" x14ac:dyDescent="0.3">
      <c r="B4" s="33" t="s">
        <v>0</v>
      </c>
      <c r="C4" s="28" t="s">
        <v>78</v>
      </c>
    </row>
    <row r="5" spans="2:3" ht="24" customHeight="1" x14ac:dyDescent="0.3">
      <c r="B5" s="25" t="s">
        <v>1</v>
      </c>
      <c r="C5" s="32">
        <v>70.548643969230767</v>
      </c>
    </row>
    <row r="6" spans="2:3" ht="24" customHeight="1" x14ac:dyDescent="0.3">
      <c r="B6" s="25" t="s">
        <v>2</v>
      </c>
      <c r="C6" s="32">
        <v>213.04463774193547</v>
      </c>
    </row>
    <row r="7" spans="2:3" ht="24" customHeight="1" x14ac:dyDescent="0.3">
      <c r="B7" s="25" t="s">
        <v>3</v>
      </c>
      <c r="C7" s="32">
        <v>43.751227766233775</v>
      </c>
    </row>
    <row r="8" spans="2:3" ht="24" customHeight="1" x14ac:dyDescent="0.3">
      <c r="B8" s="25" t="s">
        <v>4</v>
      </c>
      <c r="C8" s="32">
        <v>33.062480058348974</v>
      </c>
    </row>
    <row r="9" spans="2:3" ht="24" customHeight="1" thickBot="1" x14ac:dyDescent="0.35">
      <c r="B9" s="36" t="s">
        <v>5</v>
      </c>
      <c r="C9" s="46">
        <v>45.254512922209273</v>
      </c>
    </row>
    <row r="10" spans="2:3" ht="15" thickTop="1" x14ac:dyDescent="0.3"/>
  </sheetData>
  <mergeCells count="1">
    <mergeCell ref="B3:C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BDF5B-FEF5-42F1-8129-FE1D2BD8E343}">
  <dimension ref="A1:T2"/>
  <sheetViews>
    <sheetView showGridLines="0" zoomScale="45" zoomScaleNormal="45" workbookViewId="0">
      <selection activeCell="Z54" sqref="Z54"/>
    </sheetView>
  </sheetViews>
  <sheetFormatPr defaultRowHeight="14.4" x14ac:dyDescent="0.3"/>
  <cols>
    <col min="20" max="20" width="3.6640625" customWidth="1"/>
  </cols>
  <sheetData>
    <row r="1" spans="1:20" x14ac:dyDescent="0.3">
      <c r="A1" s="83" t="s">
        <v>80</v>
      </c>
      <c r="B1" s="83"/>
      <c r="C1" s="83"/>
      <c r="D1" s="83"/>
      <c r="E1" s="83"/>
      <c r="F1" s="83"/>
      <c r="G1" s="83"/>
      <c r="H1" s="83"/>
      <c r="I1" s="83"/>
      <c r="J1" s="83"/>
      <c r="K1" s="83"/>
      <c r="L1" s="83"/>
      <c r="M1" s="83"/>
      <c r="N1" s="83"/>
      <c r="O1" s="83"/>
      <c r="P1" s="83"/>
      <c r="Q1" s="83"/>
      <c r="R1" s="83"/>
      <c r="S1" s="83"/>
      <c r="T1" s="83"/>
    </row>
    <row r="2" spans="1:20" x14ac:dyDescent="0.3">
      <c r="A2" s="83"/>
      <c r="B2" s="83"/>
      <c r="C2" s="83"/>
      <c r="D2" s="83"/>
      <c r="E2" s="83"/>
      <c r="F2" s="83"/>
      <c r="G2" s="83"/>
      <c r="H2" s="83"/>
      <c r="I2" s="83"/>
      <c r="J2" s="83"/>
      <c r="K2" s="83"/>
      <c r="L2" s="83"/>
      <c r="M2" s="83"/>
      <c r="N2" s="83"/>
      <c r="O2" s="83"/>
      <c r="P2" s="83"/>
      <c r="Q2" s="83"/>
      <c r="R2" s="83"/>
      <c r="S2" s="83"/>
      <c r="T2" s="83"/>
    </row>
  </sheetData>
  <mergeCells count="1">
    <mergeCell ref="A1:T2"/>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128DF-9BB5-4D1D-8C55-526445AC2D75}">
  <dimension ref="A1:AE53"/>
  <sheetViews>
    <sheetView showGridLines="0" topLeftCell="A12" zoomScale="62" zoomScaleNormal="62" workbookViewId="0">
      <selection activeCell="AK51" sqref="AK51"/>
    </sheetView>
  </sheetViews>
  <sheetFormatPr defaultRowHeight="14.4" x14ac:dyDescent="0.3"/>
  <cols>
    <col min="20" max="20" width="9.109375" customWidth="1"/>
    <col min="21" max="21" width="8.88671875" hidden="1" customWidth="1"/>
    <col min="22" max="22" width="7.77734375" hidden="1" customWidth="1"/>
    <col min="23" max="29" width="8.88671875" hidden="1" customWidth="1"/>
    <col min="30" max="30" width="9" hidden="1" customWidth="1"/>
    <col min="31" max="31" width="8.88671875" customWidth="1"/>
  </cols>
  <sheetData>
    <row r="1" spans="1:31" ht="14.4" customHeight="1" x14ac:dyDescent="0.3">
      <c r="A1" s="84" t="s">
        <v>81</v>
      </c>
      <c r="B1" s="85"/>
      <c r="C1" s="85"/>
      <c r="D1" s="85"/>
      <c r="E1" s="85"/>
      <c r="F1" s="85"/>
      <c r="G1" s="85"/>
      <c r="H1" s="85"/>
      <c r="I1" s="85"/>
      <c r="J1" s="85"/>
      <c r="K1" s="85"/>
      <c r="L1" s="85"/>
      <c r="M1" s="85"/>
      <c r="N1" s="85"/>
      <c r="O1" s="85"/>
      <c r="P1" s="85"/>
      <c r="Q1" s="85"/>
      <c r="R1" s="85"/>
      <c r="S1" s="85"/>
      <c r="T1" s="85"/>
      <c r="U1" s="85"/>
      <c r="V1" s="85"/>
      <c r="W1" s="85"/>
      <c r="X1" s="85"/>
      <c r="Y1" s="85"/>
      <c r="Z1" s="85"/>
      <c r="AA1" s="85"/>
      <c r="AB1" s="85"/>
      <c r="AC1" s="85"/>
      <c r="AD1" s="85"/>
      <c r="AE1" s="86"/>
    </row>
    <row r="2" spans="1:31" x14ac:dyDescent="0.3">
      <c r="A2" s="87"/>
      <c r="B2" s="88"/>
      <c r="C2" s="88"/>
      <c r="D2" s="88"/>
      <c r="E2" s="88"/>
      <c r="F2" s="88"/>
      <c r="G2" s="88"/>
      <c r="H2" s="88"/>
      <c r="I2" s="88"/>
      <c r="J2" s="88"/>
      <c r="K2" s="88"/>
      <c r="L2" s="88"/>
      <c r="M2" s="88"/>
      <c r="N2" s="88"/>
      <c r="O2" s="88"/>
      <c r="P2" s="88"/>
      <c r="Q2" s="88"/>
      <c r="R2" s="88"/>
      <c r="S2" s="88"/>
      <c r="T2" s="88"/>
      <c r="U2" s="88"/>
      <c r="V2" s="88"/>
      <c r="W2" s="88"/>
      <c r="X2" s="88"/>
      <c r="Y2" s="88"/>
      <c r="Z2" s="88"/>
      <c r="AA2" s="88"/>
      <c r="AB2" s="88"/>
      <c r="AC2" s="88"/>
      <c r="AD2" s="88"/>
      <c r="AE2" s="89"/>
    </row>
    <row r="3" spans="1:31" x14ac:dyDescent="0.3">
      <c r="A3" s="31"/>
      <c r="AE3" s="28"/>
    </row>
    <row r="4" spans="1:31" x14ac:dyDescent="0.3">
      <c r="A4" s="31"/>
      <c r="AE4" s="28"/>
    </row>
    <row r="5" spans="1:31" x14ac:dyDescent="0.3">
      <c r="A5" s="31"/>
      <c r="AE5" s="28"/>
    </row>
    <row r="6" spans="1:31" x14ac:dyDescent="0.3">
      <c r="A6" s="31"/>
      <c r="AE6" s="28"/>
    </row>
    <row r="7" spans="1:31" x14ac:dyDescent="0.3">
      <c r="A7" s="31"/>
      <c r="AE7" s="28"/>
    </row>
    <row r="8" spans="1:31" x14ac:dyDescent="0.3">
      <c r="A8" s="31"/>
      <c r="AE8" s="28"/>
    </row>
    <row r="9" spans="1:31" x14ac:dyDescent="0.3">
      <c r="A9" s="31"/>
      <c r="AE9" s="28"/>
    </row>
    <row r="10" spans="1:31" x14ac:dyDescent="0.3">
      <c r="A10" s="31"/>
      <c r="AE10" s="28"/>
    </row>
    <row r="11" spans="1:31" x14ac:dyDescent="0.3">
      <c r="A11" s="31"/>
      <c r="AE11" s="28"/>
    </row>
    <row r="12" spans="1:31" x14ac:dyDescent="0.3">
      <c r="A12" s="31"/>
      <c r="AE12" s="28"/>
    </row>
    <row r="13" spans="1:31" x14ac:dyDescent="0.3">
      <c r="A13" s="31"/>
      <c r="AE13" s="28"/>
    </row>
    <row r="14" spans="1:31" x14ac:dyDescent="0.3">
      <c r="A14" s="31"/>
      <c r="AE14" s="28"/>
    </row>
    <row r="15" spans="1:31" x14ac:dyDescent="0.3">
      <c r="A15" s="31"/>
      <c r="AE15" s="28"/>
    </row>
    <row r="16" spans="1:31" x14ac:dyDescent="0.3">
      <c r="A16" s="31"/>
      <c r="AE16" s="28"/>
    </row>
    <row r="17" spans="1:31" x14ac:dyDescent="0.3">
      <c r="A17" s="31"/>
      <c r="AE17" s="28"/>
    </row>
    <row r="18" spans="1:31" x14ac:dyDescent="0.3">
      <c r="A18" s="31"/>
      <c r="AE18" s="28"/>
    </row>
    <row r="19" spans="1:31" x14ac:dyDescent="0.3">
      <c r="A19" s="31"/>
      <c r="AE19" s="28"/>
    </row>
    <row r="20" spans="1:31" x14ac:dyDescent="0.3">
      <c r="A20" s="31"/>
      <c r="AE20" s="28"/>
    </row>
    <row r="21" spans="1:31" x14ac:dyDescent="0.3">
      <c r="A21" s="31"/>
      <c r="AE21" s="28"/>
    </row>
    <row r="22" spans="1:31" x14ac:dyDescent="0.3">
      <c r="A22" s="31"/>
      <c r="AE22" s="28"/>
    </row>
    <row r="23" spans="1:31" x14ac:dyDescent="0.3">
      <c r="A23" s="31"/>
      <c r="AE23" s="28"/>
    </row>
    <row r="24" spans="1:31" x14ac:dyDescent="0.3">
      <c r="A24" s="31"/>
      <c r="AE24" s="28"/>
    </row>
    <row r="25" spans="1:31" x14ac:dyDescent="0.3">
      <c r="A25" s="31"/>
      <c r="AE25" s="28"/>
    </row>
    <row r="26" spans="1:31" x14ac:dyDescent="0.3">
      <c r="A26" s="31"/>
      <c r="AE26" s="28"/>
    </row>
    <row r="27" spans="1:31" x14ac:dyDescent="0.3">
      <c r="A27" s="31"/>
      <c r="AE27" s="28"/>
    </row>
    <row r="28" spans="1:31" x14ac:dyDescent="0.3">
      <c r="A28" s="31"/>
      <c r="AE28" s="28"/>
    </row>
    <row r="29" spans="1:31" x14ac:dyDescent="0.3">
      <c r="A29" s="31"/>
      <c r="AE29" s="28"/>
    </row>
    <row r="30" spans="1:31" x14ac:dyDescent="0.3">
      <c r="A30" s="31"/>
      <c r="AE30" s="28"/>
    </row>
    <row r="31" spans="1:31" x14ac:dyDescent="0.3">
      <c r="A31" s="31"/>
      <c r="AE31" s="28"/>
    </row>
    <row r="32" spans="1:31" x14ac:dyDescent="0.3">
      <c r="A32" s="31"/>
      <c r="AE32" s="28"/>
    </row>
    <row r="33" spans="1:31" x14ac:dyDescent="0.3">
      <c r="A33" s="31"/>
      <c r="AE33" s="28"/>
    </row>
    <row r="34" spans="1:31" x14ac:dyDescent="0.3">
      <c r="A34" s="31"/>
      <c r="AE34" s="28"/>
    </row>
    <row r="35" spans="1:31" x14ac:dyDescent="0.3">
      <c r="A35" s="31"/>
      <c r="AE35" s="28"/>
    </row>
    <row r="36" spans="1:31" x14ac:dyDescent="0.3">
      <c r="A36" s="31"/>
      <c r="AE36" s="28"/>
    </row>
    <row r="37" spans="1:31" x14ac:dyDescent="0.3">
      <c r="A37" s="31"/>
      <c r="AE37" s="28"/>
    </row>
    <row r="38" spans="1:31" x14ac:dyDescent="0.3">
      <c r="A38" s="31"/>
      <c r="AE38" s="28"/>
    </row>
    <row r="39" spans="1:31" x14ac:dyDescent="0.3">
      <c r="A39" s="31"/>
      <c r="AE39" s="28"/>
    </row>
    <row r="40" spans="1:31" x14ac:dyDescent="0.3">
      <c r="A40" s="31"/>
      <c r="AE40" s="28"/>
    </row>
    <row r="41" spans="1:31" x14ac:dyDescent="0.3">
      <c r="A41" s="31"/>
      <c r="AE41" s="28"/>
    </row>
    <row r="42" spans="1:31" x14ac:dyDescent="0.3">
      <c r="A42" s="31"/>
      <c r="AE42" s="28"/>
    </row>
    <row r="43" spans="1:31" x14ac:dyDescent="0.3">
      <c r="A43" s="31"/>
      <c r="AE43" s="28"/>
    </row>
    <row r="44" spans="1:31" x14ac:dyDescent="0.3">
      <c r="A44" s="31"/>
      <c r="AE44" s="28"/>
    </row>
    <row r="45" spans="1:31" x14ac:dyDescent="0.3">
      <c r="A45" s="31"/>
      <c r="AE45" s="28"/>
    </row>
    <row r="46" spans="1:31" x14ac:dyDescent="0.3">
      <c r="A46" s="31"/>
      <c r="AE46" s="28"/>
    </row>
    <row r="47" spans="1:31" x14ac:dyDescent="0.3">
      <c r="A47" s="31"/>
      <c r="AE47" s="28"/>
    </row>
    <row r="48" spans="1:31" x14ac:dyDescent="0.3">
      <c r="A48" s="31"/>
      <c r="AE48" s="28"/>
    </row>
    <row r="49" spans="1:31" x14ac:dyDescent="0.3">
      <c r="A49" s="31"/>
      <c r="AE49" s="28"/>
    </row>
    <row r="50" spans="1:31" x14ac:dyDescent="0.3">
      <c r="A50" s="31"/>
      <c r="AE50" s="28"/>
    </row>
    <row r="51" spans="1:31" x14ac:dyDescent="0.3">
      <c r="A51" s="31"/>
      <c r="AE51" s="28"/>
    </row>
    <row r="52" spans="1:31" x14ac:dyDescent="0.3">
      <c r="A52" s="31"/>
      <c r="AE52" s="28"/>
    </row>
    <row r="53" spans="1:31" ht="15" thickBot="1" x14ac:dyDescent="0.35">
      <c r="A53" s="47"/>
      <c r="B53" s="48"/>
      <c r="C53" s="48"/>
      <c r="D53" s="48"/>
      <c r="E53" s="48"/>
      <c r="F53" s="48"/>
      <c r="G53" s="48"/>
      <c r="H53" s="48"/>
      <c r="I53" s="48"/>
      <c r="J53" s="48"/>
      <c r="K53" s="48"/>
      <c r="L53" s="48"/>
      <c r="M53" s="48"/>
      <c r="N53" s="48"/>
      <c r="O53" s="48"/>
      <c r="P53" s="48"/>
      <c r="Q53" s="48"/>
      <c r="R53" s="48"/>
      <c r="S53" s="48"/>
      <c r="T53" s="48"/>
      <c r="U53" s="48"/>
      <c r="V53" s="48"/>
      <c r="W53" s="48"/>
      <c r="X53" s="48"/>
      <c r="Y53" s="48"/>
      <c r="Z53" s="48"/>
      <c r="AA53" s="48"/>
      <c r="AB53" s="48"/>
      <c r="AC53" s="48"/>
      <c r="AD53" s="48"/>
      <c r="AE53" s="51"/>
    </row>
  </sheetData>
  <mergeCells count="1">
    <mergeCell ref="A1:AE2"/>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A8731-F0DC-411F-A14D-3D44EC3DFDBE}">
  <dimension ref="A1:P36"/>
  <sheetViews>
    <sheetView showGridLines="0" workbookViewId="0">
      <selection activeCell="K20" sqref="K20"/>
    </sheetView>
  </sheetViews>
  <sheetFormatPr defaultRowHeight="14.4" x14ac:dyDescent="0.3"/>
  <sheetData>
    <row r="1" spans="1:16" ht="15.6" x14ac:dyDescent="0.3">
      <c r="A1" s="69" t="s">
        <v>82</v>
      </c>
      <c r="B1" s="70"/>
      <c r="C1" s="70"/>
      <c r="D1" s="70"/>
      <c r="E1" s="70"/>
      <c r="F1" s="70"/>
      <c r="G1" s="70"/>
      <c r="H1" s="70"/>
      <c r="I1" s="70"/>
      <c r="J1" s="70"/>
      <c r="K1" s="70"/>
      <c r="L1" s="70"/>
      <c r="M1" s="70"/>
      <c r="N1" s="70"/>
      <c r="O1" s="70"/>
      <c r="P1" s="70"/>
    </row>
    <row r="2" spans="1:16" ht="15.6" x14ac:dyDescent="0.3">
      <c r="A2" s="61" t="s">
        <v>105</v>
      </c>
      <c r="B2" s="70"/>
      <c r="C2" s="70"/>
      <c r="D2" s="70"/>
      <c r="E2" s="70"/>
      <c r="F2" s="70"/>
      <c r="G2" s="70"/>
      <c r="H2" s="70"/>
      <c r="I2" s="70"/>
      <c r="J2" s="70"/>
      <c r="K2" s="70"/>
      <c r="L2" s="70"/>
      <c r="M2" s="70"/>
      <c r="N2" s="70"/>
      <c r="O2" s="70"/>
      <c r="P2" s="70"/>
    </row>
    <row r="3" spans="1:16" ht="15.6" x14ac:dyDescent="0.3">
      <c r="A3" s="62" t="s">
        <v>83</v>
      </c>
      <c r="B3" s="70"/>
      <c r="C3" s="70"/>
      <c r="D3" s="70"/>
      <c r="E3" s="70"/>
      <c r="F3" s="70"/>
      <c r="G3" s="70"/>
      <c r="H3" s="70"/>
      <c r="I3" s="70"/>
      <c r="J3" s="70"/>
      <c r="K3" s="70"/>
      <c r="L3" s="70"/>
      <c r="M3" s="70"/>
      <c r="N3" s="70"/>
      <c r="O3" s="70"/>
      <c r="P3" s="70"/>
    </row>
    <row r="4" spans="1:16" ht="15.6" x14ac:dyDescent="0.3">
      <c r="A4" s="63" t="s">
        <v>84</v>
      </c>
      <c r="B4" s="70"/>
      <c r="C4" s="70"/>
      <c r="D4" s="70"/>
      <c r="E4" s="70"/>
      <c r="F4" s="70"/>
      <c r="G4" s="70"/>
      <c r="H4" s="70"/>
      <c r="I4" s="70"/>
      <c r="J4" s="70"/>
      <c r="K4" s="70"/>
      <c r="L4" s="70"/>
      <c r="M4" s="70"/>
      <c r="N4" s="70"/>
      <c r="O4" s="70"/>
      <c r="P4" s="70"/>
    </row>
    <row r="5" spans="1:16" ht="15" x14ac:dyDescent="0.3">
      <c r="A5" s="64" t="s">
        <v>85</v>
      </c>
      <c r="B5" s="70"/>
      <c r="C5" s="70"/>
      <c r="D5" s="70"/>
      <c r="E5" s="70"/>
      <c r="F5" s="70"/>
      <c r="G5" s="70"/>
      <c r="H5" s="70"/>
      <c r="I5" s="70"/>
      <c r="J5" s="70"/>
      <c r="K5" s="70"/>
      <c r="L5" s="70"/>
      <c r="M5" s="70"/>
      <c r="N5" s="70"/>
      <c r="O5" s="70"/>
      <c r="P5" s="70"/>
    </row>
    <row r="6" spans="1:16" ht="15" x14ac:dyDescent="0.3">
      <c r="A6" s="64" t="s">
        <v>86</v>
      </c>
      <c r="B6" s="70"/>
      <c r="C6" s="70"/>
      <c r="D6" s="70"/>
      <c r="E6" s="70"/>
      <c r="F6" s="70"/>
      <c r="G6" s="70"/>
      <c r="H6" s="70"/>
      <c r="I6" s="70"/>
      <c r="J6" s="70"/>
      <c r="K6" s="70"/>
      <c r="L6" s="70"/>
      <c r="M6" s="70"/>
      <c r="N6" s="70"/>
      <c r="O6" s="70"/>
      <c r="P6" s="70"/>
    </row>
    <row r="7" spans="1:16" ht="15" x14ac:dyDescent="0.3">
      <c r="A7" s="64" t="s">
        <v>87</v>
      </c>
      <c r="B7" s="70"/>
      <c r="C7" s="70"/>
      <c r="D7" s="70"/>
      <c r="E7" s="70"/>
      <c r="F7" s="70"/>
      <c r="G7" s="70"/>
      <c r="H7" s="70"/>
      <c r="I7" s="70"/>
      <c r="J7" s="70"/>
      <c r="K7" s="70"/>
      <c r="L7" s="70"/>
      <c r="M7" s="70"/>
      <c r="N7" s="70"/>
      <c r="O7" s="70"/>
      <c r="P7" s="70"/>
    </row>
    <row r="8" spans="1:16" ht="15" x14ac:dyDescent="0.3">
      <c r="A8" s="64" t="s">
        <v>88</v>
      </c>
      <c r="B8" s="70"/>
      <c r="C8" s="70"/>
      <c r="D8" s="70"/>
      <c r="E8" s="70"/>
      <c r="F8" s="70"/>
      <c r="G8" s="70"/>
      <c r="H8" s="70"/>
      <c r="I8" s="70"/>
      <c r="J8" s="70"/>
      <c r="K8" s="70"/>
      <c r="L8" s="70"/>
      <c r="M8" s="70"/>
      <c r="N8" s="70"/>
      <c r="O8" s="70"/>
      <c r="P8" s="70"/>
    </row>
    <row r="9" spans="1:16" x14ac:dyDescent="0.3">
      <c r="A9" s="64"/>
      <c r="B9" s="70"/>
      <c r="C9" s="70"/>
      <c r="D9" s="70"/>
      <c r="E9" s="70"/>
      <c r="F9" s="70"/>
      <c r="G9" s="70"/>
      <c r="H9" s="70"/>
      <c r="I9" s="70"/>
      <c r="J9" s="70"/>
      <c r="K9" s="70"/>
      <c r="L9" s="70"/>
      <c r="M9" s="70"/>
      <c r="N9" s="70"/>
      <c r="O9" s="70"/>
      <c r="P9" s="70"/>
    </row>
    <row r="10" spans="1:16" ht="15.6" x14ac:dyDescent="0.3">
      <c r="A10" s="71" t="s">
        <v>89</v>
      </c>
      <c r="B10" s="70"/>
      <c r="C10" s="70"/>
      <c r="D10" s="70"/>
      <c r="E10" s="70"/>
      <c r="F10" s="70"/>
      <c r="G10" s="70"/>
      <c r="H10" s="70"/>
      <c r="I10" s="70"/>
      <c r="J10" s="70"/>
      <c r="K10" s="70"/>
      <c r="L10" s="70"/>
      <c r="M10" s="70"/>
      <c r="N10" s="70"/>
      <c r="O10" s="70"/>
      <c r="P10" s="70"/>
    </row>
    <row r="11" spans="1:16" ht="15" x14ac:dyDescent="0.3">
      <c r="A11" s="64" t="s">
        <v>90</v>
      </c>
      <c r="B11" s="70"/>
      <c r="C11" s="70"/>
      <c r="D11" s="70"/>
      <c r="E11" s="70"/>
      <c r="F11" s="70"/>
      <c r="G11" s="70"/>
      <c r="H11" s="70"/>
      <c r="I11" s="70"/>
      <c r="J11" s="70"/>
      <c r="K11" s="70"/>
      <c r="L11" s="70"/>
      <c r="M11" s="70"/>
      <c r="N11" s="70"/>
      <c r="O11" s="70"/>
      <c r="P11" s="70"/>
    </row>
    <row r="12" spans="1:16" ht="15" x14ac:dyDescent="0.3">
      <c r="A12" s="64" t="s">
        <v>91</v>
      </c>
      <c r="B12" s="70"/>
      <c r="C12" s="70"/>
      <c r="D12" s="70"/>
      <c r="E12" s="70"/>
      <c r="F12" s="70"/>
      <c r="G12" s="70"/>
      <c r="H12" s="70"/>
      <c r="I12" s="70"/>
      <c r="J12" s="70"/>
      <c r="K12" s="70"/>
      <c r="L12" s="70"/>
      <c r="M12" s="70"/>
      <c r="N12" s="70"/>
      <c r="O12" s="70"/>
      <c r="P12" s="70"/>
    </row>
    <row r="13" spans="1:16" ht="15" x14ac:dyDescent="0.3">
      <c r="A13" s="64" t="s">
        <v>92</v>
      </c>
      <c r="B13" s="70"/>
      <c r="C13" s="70"/>
      <c r="D13" s="70"/>
      <c r="E13" s="70"/>
      <c r="F13" s="70"/>
      <c r="G13" s="70"/>
      <c r="H13" s="70"/>
      <c r="I13" s="70"/>
      <c r="J13" s="70"/>
      <c r="K13" s="70"/>
      <c r="L13" s="70"/>
      <c r="M13" s="70"/>
      <c r="N13" s="70"/>
      <c r="O13" s="70"/>
      <c r="P13" s="70"/>
    </row>
    <row r="14" spans="1:16" ht="15" x14ac:dyDescent="0.3">
      <c r="A14" s="64" t="s">
        <v>93</v>
      </c>
      <c r="B14" s="70"/>
      <c r="C14" s="70"/>
      <c r="D14" s="70"/>
      <c r="E14" s="70"/>
      <c r="F14" s="70"/>
      <c r="G14" s="70"/>
      <c r="H14" s="70"/>
      <c r="I14" s="70"/>
      <c r="J14" s="70"/>
      <c r="K14" s="70"/>
      <c r="L14" s="70"/>
      <c r="M14" s="70"/>
      <c r="N14" s="70"/>
      <c r="O14" s="70"/>
      <c r="P14" s="70"/>
    </row>
    <row r="15" spans="1:16" ht="15.6" x14ac:dyDescent="0.3">
      <c r="A15" s="71" t="s">
        <v>94</v>
      </c>
      <c r="B15" s="70"/>
      <c r="C15" s="70"/>
      <c r="D15" s="70"/>
      <c r="E15" s="70"/>
      <c r="F15" s="70"/>
      <c r="G15" s="70"/>
      <c r="H15" s="70"/>
      <c r="I15" s="70"/>
      <c r="J15" s="70"/>
      <c r="K15" s="70"/>
      <c r="L15" s="70"/>
      <c r="M15" s="70"/>
      <c r="N15" s="70"/>
      <c r="O15" s="70"/>
      <c r="P15" s="70"/>
    </row>
    <row r="16" spans="1:16" ht="15" x14ac:dyDescent="0.3">
      <c r="A16" s="65" t="s">
        <v>95</v>
      </c>
      <c r="B16" s="70"/>
      <c r="C16" s="70"/>
      <c r="D16" s="70"/>
      <c r="E16" s="70"/>
      <c r="F16" s="70"/>
      <c r="G16" s="70"/>
      <c r="H16" s="70"/>
      <c r="I16" s="70"/>
      <c r="J16" s="70"/>
      <c r="K16" s="70"/>
      <c r="L16" s="70"/>
      <c r="M16" s="70"/>
      <c r="N16" s="70"/>
      <c r="O16" s="70"/>
      <c r="P16" s="70"/>
    </row>
    <row r="17" spans="1:16" ht="15" x14ac:dyDescent="0.3">
      <c r="A17" s="65"/>
      <c r="B17" s="70"/>
      <c r="C17" s="70"/>
      <c r="D17" s="70"/>
      <c r="E17" s="70"/>
      <c r="F17" s="70"/>
      <c r="G17" s="70"/>
      <c r="H17" s="70"/>
      <c r="I17" s="70"/>
      <c r="J17" s="70"/>
      <c r="K17" s="70"/>
      <c r="L17" s="70"/>
      <c r="M17" s="70"/>
      <c r="N17" s="70"/>
      <c r="O17" s="70"/>
      <c r="P17" s="70"/>
    </row>
    <row r="18" spans="1:16" ht="15.6" x14ac:dyDescent="0.3">
      <c r="A18" s="72" t="s">
        <v>96</v>
      </c>
      <c r="B18" s="70"/>
      <c r="C18" s="70"/>
      <c r="D18" s="70"/>
      <c r="E18" s="70"/>
      <c r="F18" s="70"/>
      <c r="G18" s="70"/>
      <c r="H18" s="70"/>
      <c r="I18" s="70"/>
      <c r="J18" s="70"/>
      <c r="K18" s="70"/>
      <c r="L18" s="70"/>
      <c r="M18" s="70"/>
      <c r="N18" s="70"/>
      <c r="O18" s="70"/>
      <c r="P18" s="70"/>
    </row>
    <row r="19" spans="1:16" ht="15" x14ac:dyDescent="0.3">
      <c r="A19" s="64" t="s">
        <v>97</v>
      </c>
      <c r="B19" s="70"/>
      <c r="C19" s="70"/>
      <c r="D19" s="70"/>
      <c r="E19" s="70"/>
      <c r="F19" s="70"/>
      <c r="G19" s="70"/>
      <c r="H19" s="70"/>
      <c r="I19" s="70"/>
      <c r="J19" s="70"/>
      <c r="K19" s="70"/>
      <c r="L19" s="70"/>
      <c r="M19" s="70"/>
      <c r="N19" s="70"/>
      <c r="O19" s="70"/>
      <c r="P19" s="70"/>
    </row>
    <row r="20" spans="1:16" ht="15" x14ac:dyDescent="0.3">
      <c r="A20" s="64" t="s">
        <v>98</v>
      </c>
      <c r="B20" s="70"/>
      <c r="C20" s="70"/>
      <c r="D20" s="70"/>
      <c r="E20" s="70"/>
      <c r="F20" s="70"/>
      <c r="G20" s="70"/>
      <c r="H20" s="70"/>
      <c r="I20" s="70"/>
      <c r="J20" s="70"/>
      <c r="K20" s="70"/>
      <c r="L20" s="70"/>
      <c r="M20" s="70"/>
      <c r="N20" s="70"/>
      <c r="O20" s="70"/>
      <c r="P20" s="70"/>
    </row>
    <row r="21" spans="1:16" ht="15" x14ac:dyDescent="0.3">
      <c r="A21" s="64" t="s">
        <v>99</v>
      </c>
      <c r="B21" s="70"/>
      <c r="C21" s="70"/>
      <c r="D21" s="70"/>
      <c r="E21" s="70"/>
      <c r="F21" s="70"/>
      <c r="G21" s="70"/>
      <c r="H21" s="70"/>
      <c r="I21" s="70"/>
      <c r="J21" s="70"/>
      <c r="K21" s="70"/>
      <c r="L21" s="70"/>
      <c r="M21" s="70"/>
      <c r="N21" s="70"/>
      <c r="O21" s="70"/>
      <c r="P21" s="70"/>
    </row>
    <row r="22" spans="1:16" x14ac:dyDescent="0.3">
      <c r="A22" s="64"/>
      <c r="B22" s="70"/>
      <c r="C22" s="70"/>
      <c r="D22" s="70"/>
      <c r="E22" s="70"/>
      <c r="F22" s="70"/>
      <c r="G22" s="70"/>
      <c r="H22" s="70"/>
      <c r="I22" s="70"/>
      <c r="J22" s="70"/>
      <c r="K22" s="70"/>
      <c r="L22" s="70"/>
      <c r="M22" s="70"/>
      <c r="N22" s="70"/>
      <c r="O22" s="70"/>
      <c r="P22" s="70"/>
    </row>
    <row r="23" spans="1:16" ht="15.6" x14ac:dyDescent="0.3">
      <c r="A23" s="71" t="s">
        <v>100</v>
      </c>
      <c r="B23" s="70"/>
      <c r="C23" s="70"/>
      <c r="D23" s="70"/>
      <c r="E23" s="70"/>
      <c r="F23" s="70"/>
      <c r="G23" s="70"/>
      <c r="H23" s="70"/>
      <c r="I23" s="70"/>
      <c r="J23" s="70"/>
      <c r="K23" s="70"/>
      <c r="L23" s="70"/>
      <c r="M23" s="70"/>
      <c r="N23" s="70"/>
      <c r="O23" s="70"/>
      <c r="P23" s="70"/>
    </row>
    <row r="24" spans="1:16" ht="15.6" x14ac:dyDescent="0.3">
      <c r="A24" s="71"/>
      <c r="B24" s="70"/>
      <c r="C24" s="70"/>
      <c r="D24" s="70"/>
      <c r="E24" s="70"/>
      <c r="F24" s="70"/>
      <c r="G24" s="70"/>
      <c r="H24" s="70"/>
      <c r="I24" s="70"/>
      <c r="J24" s="70"/>
      <c r="K24" s="70"/>
      <c r="L24" s="70"/>
      <c r="M24" s="70"/>
      <c r="N24" s="70"/>
      <c r="O24" s="70"/>
      <c r="P24" s="70"/>
    </row>
    <row r="25" spans="1:16" ht="15.6" x14ac:dyDescent="0.3">
      <c r="A25" s="61" t="s">
        <v>106</v>
      </c>
      <c r="B25" s="70"/>
      <c r="C25" s="70"/>
      <c r="D25" s="70"/>
      <c r="E25" s="70"/>
      <c r="F25" s="70"/>
      <c r="G25" s="70"/>
      <c r="H25" s="70"/>
      <c r="I25" s="70"/>
      <c r="J25" s="70"/>
      <c r="K25" s="70"/>
      <c r="L25" s="70"/>
      <c r="M25" s="70"/>
      <c r="N25" s="70"/>
      <c r="O25" s="70"/>
      <c r="P25" s="70"/>
    </row>
    <row r="26" spans="1:16" ht="15" x14ac:dyDescent="0.3">
      <c r="A26" s="66" t="s">
        <v>101</v>
      </c>
      <c r="B26" s="70"/>
      <c r="C26" s="70"/>
      <c r="D26" s="70"/>
      <c r="E26" s="70"/>
      <c r="F26" s="70"/>
      <c r="G26" s="70"/>
      <c r="H26" s="70"/>
      <c r="I26" s="70"/>
      <c r="J26" s="70"/>
      <c r="K26" s="70"/>
      <c r="L26" s="70"/>
      <c r="M26" s="70"/>
      <c r="N26" s="70"/>
      <c r="O26" s="70"/>
      <c r="P26" s="70"/>
    </row>
    <row r="27" spans="1:16" ht="15" x14ac:dyDescent="0.3">
      <c r="A27" s="66" t="s">
        <v>102</v>
      </c>
      <c r="B27" s="70"/>
      <c r="C27" s="70"/>
      <c r="D27" s="70"/>
      <c r="E27" s="70"/>
      <c r="F27" s="70"/>
      <c r="G27" s="70"/>
      <c r="H27" s="70"/>
      <c r="I27" s="70"/>
      <c r="J27" s="70"/>
      <c r="K27" s="70"/>
      <c r="L27" s="70"/>
      <c r="M27" s="70"/>
      <c r="N27" s="70"/>
      <c r="O27" s="70"/>
      <c r="P27" s="70"/>
    </row>
    <row r="28" spans="1:16" ht="15" x14ac:dyDescent="0.3">
      <c r="A28" s="66" t="s">
        <v>103</v>
      </c>
      <c r="B28" s="70"/>
      <c r="C28" s="70"/>
      <c r="D28" s="70"/>
      <c r="E28" s="70"/>
      <c r="F28" s="70"/>
      <c r="G28" s="70"/>
      <c r="H28" s="70"/>
      <c r="I28" s="70"/>
      <c r="J28" s="70"/>
      <c r="K28" s="70"/>
      <c r="L28" s="70"/>
      <c r="M28" s="70"/>
      <c r="N28" s="70"/>
      <c r="O28" s="70"/>
      <c r="P28" s="70"/>
    </row>
    <row r="29" spans="1:16" ht="15" x14ac:dyDescent="0.3">
      <c r="A29" s="66"/>
      <c r="B29" s="70"/>
      <c r="C29" s="70"/>
      <c r="D29" s="70"/>
      <c r="E29" s="70"/>
      <c r="F29" s="70"/>
      <c r="G29" s="70"/>
      <c r="H29" s="70"/>
      <c r="I29" s="70"/>
      <c r="J29" s="70"/>
      <c r="K29" s="70"/>
      <c r="L29" s="70"/>
      <c r="M29" s="70"/>
      <c r="N29" s="70"/>
      <c r="O29" s="70"/>
      <c r="P29" s="70"/>
    </row>
    <row r="30" spans="1:16" ht="15.6" x14ac:dyDescent="0.3">
      <c r="A30" s="61" t="s">
        <v>107</v>
      </c>
      <c r="B30" s="70"/>
      <c r="C30" s="70"/>
      <c r="D30" s="70"/>
      <c r="E30" s="70"/>
      <c r="F30" s="70"/>
      <c r="G30" s="70"/>
      <c r="H30" s="70"/>
      <c r="I30" s="70"/>
      <c r="J30" s="70"/>
      <c r="K30" s="70"/>
      <c r="L30" s="70"/>
      <c r="M30" s="70"/>
      <c r="N30" s="70"/>
      <c r="O30" s="70"/>
      <c r="P30" s="70"/>
    </row>
    <row r="31" spans="1:16" ht="15" x14ac:dyDescent="0.3">
      <c r="A31" s="67" t="s">
        <v>108</v>
      </c>
      <c r="B31" s="70"/>
      <c r="C31" s="70"/>
      <c r="D31" s="70"/>
      <c r="E31" s="70"/>
      <c r="F31" s="70"/>
      <c r="G31" s="70"/>
      <c r="H31" s="70"/>
      <c r="I31" s="70"/>
      <c r="J31" s="70"/>
      <c r="K31" s="70"/>
      <c r="L31" s="70"/>
      <c r="M31" s="70"/>
      <c r="N31" s="70"/>
      <c r="O31" s="70"/>
      <c r="P31" s="70"/>
    </row>
    <row r="32" spans="1:16" ht="15" x14ac:dyDescent="0.3">
      <c r="A32" s="67" t="s">
        <v>109</v>
      </c>
      <c r="B32" s="70"/>
      <c r="C32" s="70"/>
      <c r="D32" s="70"/>
      <c r="E32" s="70"/>
      <c r="F32" s="70"/>
      <c r="G32" s="70"/>
      <c r="H32" s="70"/>
      <c r="I32" s="70"/>
      <c r="J32" s="70"/>
      <c r="K32" s="70"/>
      <c r="L32" s="70"/>
      <c r="M32" s="70"/>
      <c r="N32" s="70"/>
      <c r="O32" s="70"/>
      <c r="P32" s="70"/>
    </row>
    <row r="33" spans="1:16" ht="15" x14ac:dyDescent="0.3">
      <c r="A33" s="67" t="s">
        <v>110</v>
      </c>
      <c r="B33" s="70"/>
      <c r="C33" s="70"/>
      <c r="D33" s="70"/>
      <c r="E33" s="70"/>
      <c r="F33" s="70"/>
      <c r="G33" s="70"/>
      <c r="H33" s="70"/>
      <c r="I33" s="70"/>
      <c r="J33" s="70"/>
      <c r="K33" s="70"/>
      <c r="L33" s="70"/>
      <c r="M33" s="70"/>
      <c r="N33" s="70"/>
      <c r="O33" s="70"/>
      <c r="P33" s="70"/>
    </row>
    <row r="34" spans="1:16" ht="15" x14ac:dyDescent="0.3">
      <c r="A34" s="68"/>
      <c r="B34" s="70"/>
      <c r="C34" s="70"/>
      <c r="D34" s="70"/>
      <c r="E34" s="70"/>
      <c r="F34" s="70"/>
      <c r="G34" s="70"/>
      <c r="H34" s="70"/>
      <c r="I34" s="70"/>
      <c r="J34" s="70"/>
      <c r="K34" s="70"/>
      <c r="L34" s="70"/>
      <c r="M34" s="70"/>
      <c r="N34" s="70"/>
      <c r="O34" s="70"/>
      <c r="P34" s="70"/>
    </row>
    <row r="35" spans="1:16" ht="15.6" x14ac:dyDescent="0.3">
      <c r="A35" s="69" t="s">
        <v>111</v>
      </c>
      <c r="B35" s="70"/>
      <c r="C35" s="70"/>
      <c r="D35" s="70"/>
      <c r="E35" s="70"/>
      <c r="F35" s="70"/>
      <c r="G35" s="70"/>
      <c r="H35" s="70"/>
      <c r="I35" s="70"/>
      <c r="J35" s="70"/>
      <c r="K35" s="70"/>
      <c r="L35" s="70"/>
      <c r="M35" s="70"/>
      <c r="N35" s="70"/>
      <c r="O35" s="70"/>
      <c r="P35" s="70"/>
    </row>
    <row r="36" spans="1:16" ht="63.6" customHeight="1" x14ac:dyDescent="0.3">
      <c r="A36" s="90" t="s">
        <v>104</v>
      </c>
      <c r="B36" s="90"/>
      <c r="C36" s="90"/>
      <c r="D36" s="90"/>
      <c r="E36" s="90"/>
      <c r="F36" s="90"/>
      <c r="G36" s="90"/>
      <c r="H36" s="90"/>
      <c r="I36" s="90"/>
      <c r="J36" s="90"/>
      <c r="K36" s="90"/>
      <c r="L36" s="90"/>
      <c r="M36" s="90"/>
      <c r="N36" s="90"/>
      <c r="O36" s="90"/>
      <c r="P36" s="90"/>
    </row>
  </sheetData>
  <mergeCells count="1">
    <mergeCell ref="A36:P3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Mini Project_Solar Ref Acc.,</vt:lpstr>
      <vt:lpstr>Average Solar Resource by State</vt:lpstr>
      <vt:lpstr>Avg Total Energy cost by State</vt:lpstr>
      <vt:lpstr>Total Installed Cap by State</vt:lpstr>
      <vt:lpstr>Dis to Grid Vs Avg Total Costl</vt:lpstr>
      <vt:lpstr>Top 10 Lowest Cost Sites</vt:lpstr>
      <vt:lpstr>Cost Impact Analysis</vt:lpstr>
      <vt:lpstr>Pivot Chart</vt:lpstr>
      <vt:lpstr>Power BI Dashboard &amp; Measure</vt:lpstr>
      <vt:lpstr>Analysis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mano n</dc:creator>
  <cp:lastModifiedBy>mano n</cp:lastModifiedBy>
  <dcterms:created xsi:type="dcterms:W3CDTF">2026-03-02T16:25:13Z</dcterms:created>
  <dcterms:modified xsi:type="dcterms:W3CDTF">2026-03-03T19:21:26Z</dcterms:modified>
</cp:coreProperties>
</file>